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8="http://schemas.microsoft.com/office/spreadsheetml/2010/11/main" xmlns:r="http://schemas.openxmlformats.org/officeDocument/2006/relationships" ns1:Ignorable="x15 xr xr6 xr10 xr2">
  <fileVersion appName="xl" lastEdited="7" lowestEdited="6" rupBuild="20404"/>
  <workbookPr codeName="ThisWorkbook" defaultThemeVersion="166925"/>
  <ns1:AlternateContent>
    <ns1:Choice Requires="x15">
      <ns2:absPath url="F:\אגף תמק\גיל אנגל\משימות לביא\ענן\מחשבון ענן\מחשבון ענן\מחשבון מתוקן ומעודכן 10092024\"/>
    </ns1:Choice>
  </ns1:AlternateContent>
  <ns3:revisionPtr revIDLastSave="0" documentId="13_ncr:1_{F49D0056-B2A7-41B4-ABD1-6A3D9354C560}" ns4:coauthVersionLast="36" ns4:coauthVersionMax="36" ns5:uidLastSave="{00000000-0000-0000-0000-000000000000}"/>
  <workbookProtection workbookAlgorithmName="SHA-512" workbookHashValue="wQ+Skw2YNMZU3oLGCrNJH3Yh1z0Ci0D8J+zatsW2WV0RPesTTLxj/Wissw6mVj0stdeDl/HbssidPuvGh/B+PQ==" workbookSaltValue="Afv+z3G/pkZ2iDLUcfth+Q==" workbookSpinCount="100000" lockStructure="1"/>
  <bookViews>
    <workbookView xWindow="0" yWindow="0" windowWidth="28800" windowHeight="12255" tabRatio="851" activeTab="1" ns6:uid="{1844B33E-4ECB-4C7F-8172-EB3642E91882}"/>
  </bookViews>
  <sheets>
    <sheet name="כללי (0)" sheetId="1" r:id="rId1"/>
    <sheet name="כשירות ארגונית (1)" sheetId="20" r:id="rId2"/>
    <sheet name="פרופיל מערכת (2)" sheetId="19" r:id="rId3"/>
    <sheet name="חישובים" sheetId="13" state="hidden" r:id="rId4"/>
    <sheet name="חישוב תמק" sheetId="24" state="hidden" r:id="rId5"/>
    <sheet name="שרשרת אספקה (3)" sheetId="22" r:id="rId6"/>
    <sheet name="סיווג אופי מידע במערכת (4)" sheetId="3" r:id="rId7"/>
    <sheet name="הערכת נזק פוטנציאלי למערכת (5)" sheetId="5" r:id="rId8"/>
    <sheet name="מערכות הגנה (6)" sheetId="23" r:id="rId9"/>
    <sheet name="ארכיטקטורה מלאה (7)" sheetId="21" r:id="rId10"/>
    <sheet name="פרופיל בקרות דרוש (8)" sheetId="12" r:id="rId11"/>
    <sheet name="חישובים ונתונים" sheetId="4" state="hidden" r:id="rId12"/>
    <sheet name="תמצ המערכת" sheetId="6" r:id="rId13"/>
    <sheet name="פרופיל בקרות טכני" sheetId="18" r:id="rId14"/>
    <sheet name="הערות הארגון" sheetId="8" r:id="rId15"/>
    <sheet name="מושגים" sheetId="7" r:id="rId16"/>
    <sheet name="בקרות להפחתת סיכון AWS (EN)" sheetId="26" state="hidden" r:id="rId17"/>
    <sheet name="בקרות להפחתת סיכון AWS (HEB)" sheetId="27" state="hidden" r:id="rId18"/>
    <sheet name="בקרות להפחתת סיכון GCP (EN)" sheetId="28" state="hidden" r:id="rId19"/>
    <sheet name="בקרות להפחתת סיכון GCP (HEB)" sheetId="29" state="hidden" r:id="rId20"/>
    <sheet name="שרותי רובד 5" sheetId="25" state="hidden" r:id="rId21"/>
  </sheets>
  <definedNames>
    <definedName name="_xlnm._FilterDatabase" localSheetId="1" hidden="1">'כשירות ארגונית (1)'!$A$3:$D$21</definedName>
    <definedName name="_xlnm._FilterDatabase" localSheetId="10" hidden="1">'פרופיל בקרות דרוש (8)'!$B$9:$I$203</definedName>
    <definedName name="_xlnm._FilterDatabase" localSheetId="13" hidden="1">'פרופיל בקרות טכני'!$B$3:$O$225</definedName>
    <definedName name="_xlnm._FilterDatabase" localSheetId="5" hidden="1">'שרשרת אספקה (3)'!$B$3:$D$11</definedName>
  </definedNames>
  <calcPr calcId="191029" fullCalcOnLoad="1"/>
  <extLst>
    <ext uri="{140A7094-0E35-4892-8432-C4D2E57EDEB5}">
      <ns8:workbookPr chartTrackingRefBase="1"/>
    </ext>
  </extLst>
</workbook>
</file>

<file path=xl/calcChain.xml><?xml version="1.0" encoding="utf-8"?>
<calcChain xmlns="http://schemas.openxmlformats.org/spreadsheetml/2006/main">
  <c r="E3" i="12" l="1"/>
  <c r="F15" i="19"/>
  <c r="B3" i="18" a="1"/>
  <c r="B9" i="12" a="1"/>
  <c r="F12" i="19" l="1"/>
  <c r="F8" i="19"/>
  <c r="F7" i="19"/>
  <c r="F6" i="19"/>
  <c r="F20" i="20"/>
  <c r="F52" i="19"/>
  <c r="AC248" i="29" l="1"/>
  <c r="B248" i="29" s="1"/>
  <c r="AB248" i="29"/>
  <c r="AA248" i="29"/>
  <c r="AC247" i="29"/>
  <c r="B247" i="29" s="1"/>
  <c r="AB247" i="29"/>
  <c r="AA247" i="29"/>
  <c r="AC246" i="29"/>
  <c r="B246" i="29" s="1"/>
  <c r="AB246" i="29"/>
  <c r="AA246" i="29"/>
  <c r="AC245" i="29"/>
  <c r="B245" i="29" s="1"/>
  <c r="AB245" i="29"/>
  <c r="AA245" i="29"/>
  <c r="AC244" i="29"/>
  <c r="B244" i="29" s="1"/>
  <c r="AB244" i="29"/>
  <c r="AA244" i="29"/>
  <c r="AC243" i="29"/>
  <c r="AC242" i="29"/>
  <c r="B242" i="29" s="1"/>
  <c r="AB242" i="29"/>
  <c r="AA242" i="29"/>
  <c r="AC241" i="29"/>
  <c r="B241" i="29" s="1"/>
  <c r="AB241" i="29"/>
  <c r="AA241" i="29"/>
  <c r="AC240" i="29"/>
  <c r="B240" i="29" s="1"/>
  <c r="AB240" i="29"/>
  <c r="AA240" i="29"/>
  <c r="AC239" i="29"/>
  <c r="B239" i="29" s="1"/>
  <c r="AB239" i="29"/>
  <c r="AA239" i="29"/>
  <c r="AC238" i="29"/>
  <c r="B238" i="29" s="1"/>
  <c r="AB238" i="29"/>
  <c r="AA238" i="29"/>
  <c r="AC237" i="29"/>
  <c r="B237" i="29" s="1"/>
  <c r="AB237" i="29"/>
  <c r="AA237" i="29"/>
  <c r="AC236" i="29"/>
  <c r="B236" i="29" s="1"/>
  <c r="AB236" i="29"/>
  <c r="AA236" i="29"/>
  <c r="AC235" i="29"/>
  <c r="B235" i="29" s="1"/>
  <c r="AB235" i="29"/>
  <c r="AA235" i="29"/>
  <c r="AC234" i="29"/>
  <c r="B234" i="29" s="1"/>
  <c r="AB234" i="29"/>
  <c r="AA234" i="29"/>
  <c r="AC233" i="29"/>
  <c r="AC232" i="29"/>
  <c r="B232" i="29" s="1"/>
  <c r="AB232" i="29"/>
  <c r="AA232" i="29"/>
  <c r="AC231" i="29"/>
  <c r="B231" i="29" s="1"/>
  <c r="AB231" i="29"/>
  <c r="AA231" i="29"/>
  <c r="AC230" i="29"/>
  <c r="B230" i="29" s="1"/>
  <c r="AB230" i="29"/>
  <c r="AA230" i="29"/>
  <c r="AC229" i="29"/>
  <c r="B229" i="29" s="1"/>
  <c r="AB229" i="29"/>
  <c r="AA229" i="29"/>
  <c r="AC228" i="29"/>
  <c r="B228" i="29" s="1"/>
  <c r="AB228" i="29"/>
  <c r="AA228" i="29"/>
  <c r="AC227" i="29"/>
  <c r="B227" i="29" s="1"/>
  <c r="AB227" i="29"/>
  <c r="AA227" i="29"/>
  <c r="AC226" i="29"/>
  <c r="B226" i="29" s="1"/>
  <c r="AB226" i="29"/>
  <c r="AA226" i="29"/>
  <c r="AC225" i="29"/>
  <c r="B225" i="29" s="1"/>
  <c r="AB225" i="29"/>
  <c r="AA225" i="29"/>
  <c r="AC224" i="29"/>
  <c r="B224" i="29" s="1"/>
  <c r="AB224" i="29"/>
  <c r="AA224" i="29"/>
  <c r="AC223" i="29"/>
  <c r="B223" i="29" s="1"/>
  <c r="AB223" i="29"/>
  <c r="AA223" i="29"/>
  <c r="AC222" i="29"/>
  <c r="B222" i="29" s="1"/>
  <c r="AB222" i="29"/>
  <c r="AA222" i="29"/>
  <c r="AC221" i="29"/>
  <c r="B221" i="29" s="1"/>
  <c r="AB221" i="29"/>
  <c r="AA221" i="29"/>
  <c r="AC220" i="29"/>
  <c r="AB220" i="29"/>
  <c r="AA220" i="29"/>
  <c r="B220" i="29"/>
  <c r="AC219" i="29"/>
  <c r="B219" i="29" s="1"/>
  <c r="AB219" i="29"/>
  <c r="AA219" i="29"/>
  <c r="AC218" i="29"/>
  <c r="B218" i="29" s="1"/>
  <c r="AB218" i="29"/>
  <c r="AA218" i="29"/>
  <c r="AC217" i="29"/>
  <c r="B217" i="29" s="1"/>
  <c r="AB217" i="29"/>
  <c r="AA217" i="29"/>
  <c r="AC216" i="29"/>
  <c r="B216" i="29" s="1"/>
  <c r="AB216" i="29"/>
  <c r="AA216" i="29"/>
  <c r="AC215" i="29"/>
  <c r="AC214" i="29"/>
  <c r="B214" i="29" s="1"/>
  <c r="AB214" i="29"/>
  <c r="AA214" i="29"/>
  <c r="AC213" i="29"/>
  <c r="B213" i="29" s="1"/>
  <c r="AB213" i="29"/>
  <c r="AA213" i="29"/>
  <c r="AC212" i="29"/>
  <c r="B212" i="29" s="1"/>
  <c r="AB212" i="29"/>
  <c r="AA212" i="29"/>
  <c r="AC211" i="29"/>
  <c r="B211" i="29" s="1"/>
  <c r="AB211" i="29"/>
  <c r="AA211" i="29"/>
  <c r="AC210" i="29"/>
  <c r="B210" i="29" s="1"/>
  <c r="AB210" i="29"/>
  <c r="AA210" i="29"/>
  <c r="AC209" i="29"/>
  <c r="AB209" i="29"/>
  <c r="AA209" i="29"/>
  <c r="B209" i="29"/>
  <c r="AC208" i="29"/>
  <c r="B208" i="29" s="1"/>
  <c r="AB208" i="29"/>
  <c r="AA208" i="29"/>
  <c r="AC207" i="29"/>
  <c r="AC206" i="29"/>
  <c r="B206" i="29" s="1"/>
  <c r="AB206" i="29"/>
  <c r="AA206" i="29"/>
  <c r="AC205" i="29"/>
  <c r="B205" i="29" s="1"/>
  <c r="AB205" i="29"/>
  <c r="AA205" i="29"/>
  <c r="AC204" i="29"/>
  <c r="AB204" i="29"/>
  <c r="AA204" i="29"/>
  <c r="B204" i="29"/>
  <c r="AC203" i="29"/>
  <c r="B203" i="29" s="1"/>
  <c r="AB203" i="29"/>
  <c r="AA203" i="29"/>
  <c r="AC202" i="29"/>
  <c r="B202" i="29" s="1"/>
  <c r="AB202" i="29"/>
  <c r="AA202" i="29"/>
  <c r="AC201" i="29"/>
  <c r="B201" i="29" s="1"/>
  <c r="AB201" i="29"/>
  <c r="AA201" i="29"/>
  <c r="AC200" i="29"/>
  <c r="B200" i="29" s="1"/>
  <c r="AB200" i="29"/>
  <c r="AA200" i="29"/>
  <c r="AC199" i="29"/>
  <c r="B199" i="29" s="1"/>
  <c r="AB199" i="29"/>
  <c r="AA199" i="29"/>
  <c r="AC198" i="29"/>
  <c r="B198" i="29" s="1"/>
  <c r="AB198" i="29"/>
  <c r="AA198" i="29"/>
  <c r="AC197" i="29"/>
  <c r="AC196" i="29"/>
  <c r="B196" i="29" s="1"/>
  <c r="AB196" i="29"/>
  <c r="AA196" i="29"/>
  <c r="AC195" i="29"/>
  <c r="B195" i="29" s="1"/>
  <c r="AB195" i="29"/>
  <c r="AA195" i="29"/>
  <c r="AC194" i="29"/>
  <c r="B194" i="29" s="1"/>
  <c r="AB194" i="29"/>
  <c r="AA194" i="29"/>
  <c r="AC193" i="29"/>
  <c r="B193" i="29" s="1"/>
  <c r="AB193" i="29"/>
  <c r="AA193" i="29"/>
  <c r="AC192" i="29"/>
  <c r="B192" i="29" s="1"/>
  <c r="AB192" i="29"/>
  <c r="AA192" i="29"/>
  <c r="AC191" i="29"/>
  <c r="B191" i="29" s="1"/>
  <c r="AB191" i="29"/>
  <c r="AA191" i="29"/>
  <c r="AC190" i="29"/>
  <c r="B190" i="29" s="1"/>
  <c r="AB190" i="29"/>
  <c r="AA190" i="29"/>
  <c r="AC189" i="29"/>
  <c r="AB189" i="29"/>
  <c r="AA189" i="29"/>
  <c r="B189" i="29"/>
  <c r="AC188" i="29"/>
  <c r="AB188" i="29"/>
  <c r="AA188" i="29"/>
  <c r="B188" i="29"/>
  <c r="AC187" i="29"/>
  <c r="B187" i="29" s="1"/>
  <c r="AB187" i="29"/>
  <c r="AA187" i="29"/>
  <c r="AC186" i="29"/>
  <c r="B186" i="29" s="1"/>
  <c r="AB186" i="29"/>
  <c r="AA186" i="29"/>
  <c r="AC185" i="29"/>
  <c r="B185" i="29" s="1"/>
  <c r="AB185" i="29"/>
  <c r="AA185" i="29"/>
  <c r="AC184" i="29"/>
  <c r="B184" i="29" s="1"/>
  <c r="AB184" i="29"/>
  <c r="AA184" i="29"/>
  <c r="AC183" i="29"/>
  <c r="AC182" i="29"/>
  <c r="B182" i="29" s="1"/>
  <c r="AB182" i="29"/>
  <c r="AA182" i="29"/>
  <c r="AC181" i="29"/>
  <c r="B181" i="29" s="1"/>
  <c r="AB181" i="29"/>
  <c r="AA181" i="29"/>
  <c r="AC180" i="29"/>
  <c r="AB180" i="29"/>
  <c r="AA180" i="29"/>
  <c r="B180" i="29"/>
  <c r="AC179" i="29"/>
  <c r="B179" i="29" s="1"/>
  <c r="AB179" i="29"/>
  <c r="AA179" i="29"/>
  <c r="AC178" i="29"/>
  <c r="B178" i="29" s="1"/>
  <c r="AB178" i="29"/>
  <c r="AA178" i="29"/>
  <c r="AC177" i="29"/>
  <c r="AB177" i="29"/>
  <c r="AA177" i="29"/>
  <c r="B177" i="29"/>
  <c r="AC176" i="29"/>
  <c r="AB176" i="29"/>
  <c r="AA176" i="29"/>
  <c r="B176" i="29"/>
  <c r="AC175" i="29"/>
  <c r="B175" i="29" s="1"/>
  <c r="AB175" i="29"/>
  <c r="AA175" i="29"/>
  <c r="AC174" i="29"/>
  <c r="AC173" i="29"/>
  <c r="AB173" i="29"/>
  <c r="AA173" i="29"/>
  <c r="B173" i="29"/>
  <c r="AC172" i="29"/>
  <c r="AB172" i="29"/>
  <c r="AA172" i="29"/>
  <c r="B172" i="29"/>
  <c r="AC171" i="29"/>
  <c r="B171" i="29" s="1"/>
  <c r="AB171" i="29"/>
  <c r="AA171" i="29"/>
  <c r="AC170" i="29"/>
  <c r="B170" i="29" s="1"/>
  <c r="AB170" i="29"/>
  <c r="AA170" i="29"/>
  <c r="AC169" i="29"/>
  <c r="B169" i="29" s="1"/>
  <c r="AB169" i="29"/>
  <c r="AA169" i="29"/>
  <c r="AC168" i="29"/>
  <c r="AC167" i="29"/>
  <c r="B167" i="29" s="1"/>
  <c r="AB167" i="29"/>
  <c r="AA167" i="29"/>
  <c r="AC166" i="29"/>
  <c r="B166" i="29" s="1"/>
  <c r="AB166" i="29"/>
  <c r="AA166" i="29"/>
  <c r="AC165" i="29"/>
  <c r="AB165" i="29"/>
  <c r="AA165" i="29"/>
  <c r="B165" i="29"/>
  <c r="AC164" i="29"/>
  <c r="B164" i="29" s="1"/>
  <c r="AB164" i="29"/>
  <c r="AA164" i="29"/>
  <c r="AC163" i="29"/>
  <c r="B163" i="29" s="1"/>
  <c r="AB163" i="29"/>
  <c r="AA163" i="29"/>
  <c r="AC162" i="29"/>
  <c r="B162" i="29" s="1"/>
  <c r="AB162" i="29"/>
  <c r="AA162" i="29"/>
  <c r="AC161" i="29"/>
  <c r="B161" i="29" s="1"/>
  <c r="AB161" i="29"/>
  <c r="AA161" i="29"/>
  <c r="AC160" i="29"/>
  <c r="AC159" i="29"/>
  <c r="B159" i="29" s="1"/>
  <c r="AB159" i="29"/>
  <c r="AA159" i="29"/>
  <c r="AC158" i="29"/>
  <c r="B158" i="29" s="1"/>
  <c r="AB158" i="29"/>
  <c r="AA158" i="29"/>
  <c r="AC157" i="29"/>
  <c r="AB157" i="29"/>
  <c r="AA157" i="29"/>
  <c r="B157" i="29"/>
  <c r="AC156" i="29"/>
  <c r="B156" i="29" s="1"/>
  <c r="AB156" i="29"/>
  <c r="AA156" i="29"/>
  <c r="AC155" i="29"/>
  <c r="B155" i="29" s="1"/>
  <c r="AB155" i="29"/>
  <c r="AA155" i="29"/>
  <c r="AC154" i="29"/>
  <c r="B154" i="29" s="1"/>
  <c r="AB154" i="29"/>
  <c r="AA154" i="29"/>
  <c r="AC153" i="29"/>
  <c r="B153" i="29" s="1"/>
  <c r="AB153" i="29"/>
  <c r="AA153" i="29"/>
  <c r="AC152" i="29"/>
  <c r="AC151" i="29"/>
  <c r="B151" i="29" s="1"/>
  <c r="AB151" i="29"/>
  <c r="AA151" i="29"/>
  <c r="AC150" i="29"/>
  <c r="B150" i="29" s="1"/>
  <c r="AB150" i="29"/>
  <c r="AA150" i="29"/>
  <c r="AC149" i="29"/>
  <c r="AB149" i="29"/>
  <c r="AA149" i="29"/>
  <c r="B149" i="29"/>
  <c r="AC148" i="29"/>
  <c r="B148" i="29" s="1"/>
  <c r="AB148" i="29"/>
  <c r="AA148" i="29"/>
  <c r="AC147" i="29"/>
  <c r="B147" i="29" s="1"/>
  <c r="AB147" i="29"/>
  <c r="AA147" i="29"/>
  <c r="AC146" i="29"/>
  <c r="B146" i="29" s="1"/>
  <c r="AB146" i="29"/>
  <c r="AA146" i="29"/>
  <c r="AC145" i="29"/>
  <c r="B145" i="29" s="1"/>
  <c r="AB145" i="29"/>
  <c r="AA145" i="29"/>
  <c r="AC144" i="29"/>
  <c r="B144" i="29" s="1"/>
  <c r="AB144" i="29"/>
  <c r="AA144" i="29"/>
  <c r="AC143" i="29"/>
  <c r="B143" i="29" s="1"/>
  <c r="AB143" i="29"/>
  <c r="AA143" i="29"/>
  <c r="AC142" i="29"/>
  <c r="B142" i="29" s="1"/>
  <c r="AB142" i="29"/>
  <c r="AA142" i="29"/>
  <c r="AC141" i="29"/>
  <c r="B141" i="29" s="1"/>
  <c r="AB141" i="29"/>
  <c r="AA141" i="29"/>
  <c r="AC140" i="29"/>
  <c r="B140" i="29" s="1"/>
  <c r="AB140" i="29"/>
  <c r="AA140" i="29"/>
  <c r="AC139" i="29"/>
  <c r="B139" i="29" s="1"/>
  <c r="AB139" i="29"/>
  <c r="AA139" i="29"/>
  <c r="AC138" i="29"/>
  <c r="B138" i="29" s="1"/>
  <c r="AB138" i="29"/>
  <c r="AA138" i="29"/>
  <c r="AC137" i="29"/>
  <c r="B137" i="29" s="1"/>
  <c r="AB137" i="29"/>
  <c r="AA137" i="29"/>
  <c r="AC136" i="29"/>
  <c r="AB136" i="29"/>
  <c r="AA136" i="29"/>
  <c r="B136" i="29"/>
  <c r="AC135" i="29"/>
  <c r="B135" i="29" s="1"/>
  <c r="AB135" i="29"/>
  <c r="AA135" i="29"/>
  <c r="AC134" i="29"/>
  <c r="B134" i="29" s="1"/>
  <c r="AB134" i="29"/>
  <c r="AA134" i="29"/>
  <c r="AC133" i="29"/>
  <c r="AB133" i="29"/>
  <c r="AA133" i="29"/>
  <c r="B133" i="29"/>
  <c r="AC132" i="29"/>
  <c r="B132" i="29" s="1"/>
  <c r="AB132" i="29"/>
  <c r="AA132" i="29"/>
  <c r="AC131" i="29"/>
  <c r="B131" i="29" s="1"/>
  <c r="AB131" i="29"/>
  <c r="AA131" i="29"/>
  <c r="AC130" i="29"/>
  <c r="B130" i="29" s="1"/>
  <c r="AB130" i="29"/>
  <c r="AA130" i="29"/>
  <c r="AC129" i="29"/>
  <c r="B129" i="29" s="1"/>
  <c r="AB129" i="29"/>
  <c r="AA129" i="29"/>
  <c r="AC128" i="29"/>
  <c r="B128" i="29" s="1"/>
  <c r="AB128" i="29"/>
  <c r="AA128" i="29"/>
  <c r="AC127" i="29"/>
  <c r="B127" i="29" s="1"/>
  <c r="AB127" i="29"/>
  <c r="AA127" i="29"/>
  <c r="AC126" i="29"/>
  <c r="B126" i="29" s="1"/>
  <c r="AB126" i="29"/>
  <c r="AA126" i="29"/>
  <c r="AC125" i="29"/>
  <c r="B125" i="29" s="1"/>
  <c r="AB125" i="29"/>
  <c r="AA125" i="29"/>
  <c r="AC124" i="29"/>
  <c r="AB124" i="29"/>
  <c r="AA124" i="29"/>
  <c r="B124" i="29"/>
  <c r="AC123" i="29"/>
  <c r="B123" i="29" s="1"/>
  <c r="AB123" i="29"/>
  <c r="AA123" i="29"/>
  <c r="AC122" i="29"/>
  <c r="B122" i="29" s="1"/>
  <c r="AB122" i="29"/>
  <c r="AA122" i="29"/>
  <c r="AC121" i="29"/>
  <c r="B121" i="29" s="1"/>
  <c r="AB121" i="29"/>
  <c r="AA121" i="29"/>
  <c r="AC120" i="29"/>
  <c r="B120" i="29" s="1"/>
  <c r="AB120" i="29"/>
  <c r="AA120" i="29"/>
  <c r="AC119" i="29"/>
  <c r="B119" i="29" s="1"/>
  <c r="AB119" i="29"/>
  <c r="AA119" i="29"/>
  <c r="AC118" i="29"/>
  <c r="B118" i="29" s="1"/>
  <c r="AB118" i="29"/>
  <c r="AA118" i="29"/>
  <c r="AC117" i="29"/>
  <c r="AB117" i="29"/>
  <c r="AA117" i="29"/>
  <c r="B117" i="29"/>
  <c r="AC116" i="29"/>
  <c r="B116" i="29" s="1"/>
  <c r="AB116" i="29"/>
  <c r="AA116" i="29"/>
  <c r="AC115" i="29"/>
  <c r="B115" i="29" s="1"/>
  <c r="AB115" i="29"/>
  <c r="AA115" i="29"/>
  <c r="AC114" i="29"/>
  <c r="B114" i="29" s="1"/>
  <c r="AB114" i="29"/>
  <c r="AA114" i="29"/>
  <c r="AC113" i="29"/>
  <c r="B113" i="29" s="1"/>
  <c r="AB113" i="29"/>
  <c r="AA113" i="29"/>
  <c r="AC112" i="29"/>
  <c r="B112" i="29" s="1"/>
  <c r="AB112" i="29"/>
  <c r="AA112" i="29"/>
  <c r="AC111" i="29"/>
  <c r="B111" i="29" s="1"/>
  <c r="AB111" i="29"/>
  <c r="AA111" i="29"/>
  <c r="AC110" i="29"/>
  <c r="AC109" i="29"/>
  <c r="B109" i="29" s="1"/>
  <c r="AB109" i="29"/>
  <c r="AA109" i="29"/>
  <c r="AC108" i="29"/>
  <c r="B108" i="29" s="1"/>
  <c r="AB108" i="29"/>
  <c r="AA108" i="29"/>
  <c r="AC107" i="29"/>
  <c r="B107" i="29" s="1"/>
  <c r="AB107" i="29"/>
  <c r="AA107" i="29"/>
  <c r="AC106" i="29"/>
  <c r="B106" i="29" s="1"/>
  <c r="AB106" i="29"/>
  <c r="AA106" i="29"/>
  <c r="AC105" i="29"/>
  <c r="AB105" i="29"/>
  <c r="AA105" i="29"/>
  <c r="B105" i="29"/>
  <c r="AC104" i="29"/>
  <c r="B104" i="29" s="1"/>
  <c r="AB104" i="29"/>
  <c r="AA104" i="29"/>
  <c r="AC103" i="29"/>
  <c r="B103" i="29" s="1"/>
  <c r="AB103" i="29"/>
  <c r="AA103" i="29"/>
  <c r="AC102" i="29"/>
  <c r="AC101" i="29"/>
  <c r="B101" i="29" s="1"/>
  <c r="AB101" i="29"/>
  <c r="AA101" i="29"/>
  <c r="AC100" i="29"/>
  <c r="B100" i="29" s="1"/>
  <c r="AB100" i="29"/>
  <c r="AA100" i="29"/>
  <c r="AC99" i="29"/>
  <c r="B99" i="29" s="1"/>
  <c r="AB99" i="29"/>
  <c r="AA99" i="29"/>
  <c r="AC98" i="29"/>
  <c r="B98" i="29" s="1"/>
  <c r="AB98" i="29"/>
  <c r="AA98" i="29"/>
  <c r="AC97" i="29"/>
  <c r="B97" i="29" s="1"/>
  <c r="AB97" i="29"/>
  <c r="AA97" i="29"/>
  <c r="AC96" i="29"/>
  <c r="B96" i="29" s="1"/>
  <c r="AB96" i="29"/>
  <c r="AA96" i="29"/>
  <c r="AC95" i="29"/>
  <c r="B95" i="29" s="1"/>
  <c r="AB95" i="29"/>
  <c r="AA95" i="29"/>
  <c r="AC94" i="29"/>
  <c r="B94" i="29" s="1"/>
  <c r="AB94" i="29"/>
  <c r="AA94" i="29"/>
  <c r="AC93" i="29"/>
  <c r="B93" i="29" s="1"/>
  <c r="AB93" i="29"/>
  <c r="AA93" i="29"/>
  <c r="AC92" i="29"/>
  <c r="AC91" i="29"/>
  <c r="B91" i="29" s="1"/>
  <c r="AB91" i="29"/>
  <c r="AA91" i="29"/>
  <c r="AC90" i="29"/>
  <c r="B90" i="29" s="1"/>
  <c r="AB90" i="29"/>
  <c r="AA90" i="29"/>
  <c r="AC89" i="29"/>
  <c r="B89" i="29" s="1"/>
  <c r="AB89" i="29"/>
  <c r="AA89" i="29"/>
  <c r="AC88" i="29"/>
  <c r="B88" i="29" s="1"/>
  <c r="AB88" i="29"/>
  <c r="AA88" i="29"/>
  <c r="AC87" i="29"/>
  <c r="B87" i="29" s="1"/>
  <c r="AB87" i="29"/>
  <c r="AA87" i="29"/>
  <c r="AC86" i="29"/>
  <c r="B86" i="29" s="1"/>
  <c r="AB86" i="29"/>
  <c r="AA86" i="29"/>
  <c r="AC85" i="29"/>
  <c r="B85" i="29" s="1"/>
  <c r="AB85" i="29"/>
  <c r="AA85" i="29"/>
  <c r="AC84" i="29"/>
  <c r="AB84" i="29"/>
  <c r="AA84" i="29"/>
  <c r="B84" i="29"/>
  <c r="AC83" i="29"/>
  <c r="B83" i="29" s="1"/>
  <c r="AB83" i="29"/>
  <c r="AA83" i="29"/>
  <c r="AC82" i="29"/>
  <c r="AC81" i="29"/>
  <c r="AB81" i="29"/>
  <c r="AA81" i="29"/>
  <c r="B81" i="29"/>
  <c r="AC80" i="29"/>
  <c r="B80" i="29" s="1"/>
  <c r="AB80" i="29"/>
  <c r="AA80" i="29"/>
  <c r="AC79" i="29"/>
  <c r="B79" i="29" s="1"/>
  <c r="AB79" i="29"/>
  <c r="AA79" i="29"/>
  <c r="AC78" i="29"/>
  <c r="B78" i="29" s="1"/>
  <c r="AB78" i="29"/>
  <c r="AA78" i="29"/>
  <c r="AC77" i="29"/>
  <c r="B77" i="29" s="1"/>
  <c r="AB77" i="29"/>
  <c r="AA77" i="29"/>
  <c r="AC76" i="29"/>
  <c r="AB76" i="29"/>
  <c r="AA76" i="29"/>
  <c r="B76" i="29"/>
  <c r="AC75" i="29"/>
  <c r="B75" i="29" s="1"/>
  <c r="AB75" i="29"/>
  <c r="AA75" i="29"/>
  <c r="AC74" i="29"/>
  <c r="B74" i="29" s="1"/>
  <c r="AB74" i="29"/>
  <c r="AA74" i="29"/>
  <c r="AC73" i="29"/>
  <c r="AB73" i="29"/>
  <c r="AA73" i="29"/>
  <c r="B73" i="29"/>
  <c r="AC72" i="29"/>
  <c r="AB72" i="29"/>
  <c r="AA72" i="29"/>
  <c r="B72" i="29"/>
  <c r="AC71" i="29"/>
  <c r="B71" i="29" s="1"/>
  <c r="AB71" i="29"/>
  <c r="AA71" i="29"/>
  <c r="AC70" i="29"/>
  <c r="B70" i="29" s="1"/>
  <c r="AB70" i="29"/>
  <c r="AA70" i="29"/>
  <c r="AC69" i="29"/>
  <c r="AB69" i="29"/>
  <c r="AA69" i="29"/>
  <c r="B69" i="29"/>
  <c r="AC68" i="29"/>
  <c r="B68" i="29" s="1"/>
  <c r="AB68" i="29"/>
  <c r="AA68" i="29"/>
  <c r="AC67" i="29"/>
  <c r="B67" i="29" s="1"/>
  <c r="AB67" i="29"/>
  <c r="AA67" i="29"/>
  <c r="AC66" i="29"/>
  <c r="B66" i="29" s="1"/>
  <c r="AB66" i="29"/>
  <c r="AA66" i="29"/>
  <c r="AC65" i="29"/>
  <c r="B65" i="29" s="1"/>
  <c r="AB65" i="29"/>
  <c r="AA65" i="29"/>
  <c r="AC64" i="29"/>
  <c r="B64" i="29" s="1"/>
  <c r="AB64" i="29"/>
  <c r="AA64" i="29"/>
  <c r="AC63" i="29"/>
  <c r="B63" i="29" s="1"/>
  <c r="AB63" i="29"/>
  <c r="AA63" i="29"/>
  <c r="AC62" i="29"/>
  <c r="B62" i="29" s="1"/>
  <c r="AB62" i="29"/>
  <c r="AA62" i="29"/>
  <c r="AC61" i="29"/>
  <c r="B61" i="29" s="1"/>
  <c r="AB61" i="29"/>
  <c r="AA61" i="29"/>
  <c r="AC60" i="29"/>
  <c r="AB60" i="29"/>
  <c r="AA60" i="29"/>
  <c r="B60" i="29"/>
  <c r="AC59" i="29"/>
  <c r="B59" i="29" s="1"/>
  <c r="AB59" i="29"/>
  <c r="AA59" i="29"/>
  <c r="AC58" i="29"/>
  <c r="B58" i="29" s="1"/>
  <c r="AB58" i="29"/>
  <c r="AA58" i="29"/>
  <c r="AC57" i="29"/>
  <c r="AB57" i="29"/>
  <c r="AA57" i="29"/>
  <c r="B57" i="29"/>
  <c r="AC56" i="29"/>
  <c r="AC55" i="29"/>
  <c r="B55" i="29" s="1"/>
  <c r="AB55" i="29"/>
  <c r="AA55" i="29"/>
  <c r="AC54" i="29"/>
  <c r="B54" i="29" s="1"/>
  <c r="AB54" i="29"/>
  <c r="AA54" i="29"/>
  <c r="AC53" i="29"/>
  <c r="B53" i="29" s="1"/>
  <c r="AB53" i="29"/>
  <c r="AA53" i="29"/>
  <c r="AC52" i="29"/>
  <c r="AB52" i="29"/>
  <c r="AA52" i="29"/>
  <c r="B52" i="29"/>
  <c r="AC51" i="29"/>
  <c r="B51" i="29" s="1"/>
  <c r="AB51" i="29"/>
  <c r="AA51" i="29"/>
  <c r="AC50" i="29"/>
  <c r="B50" i="29" s="1"/>
  <c r="AB50" i="29"/>
  <c r="AA50" i="29"/>
  <c r="AC49" i="29"/>
  <c r="B49" i="29" s="1"/>
  <c r="AB49" i="29"/>
  <c r="AA49" i="29"/>
  <c r="AC48" i="29"/>
  <c r="B48" i="29" s="1"/>
  <c r="AB48" i="29"/>
  <c r="AA48" i="29"/>
  <c r="AC47" i="29"/>
  <c r="B47" i="29" s="1"/>
  <c r="AB47" i="29"/>
  <c r="AA47" i="29"/>
  <c r="AC46" i="29"/>
  <c r="B46" i="29" s="1"/>
  <c r="AB46" i="29"/>
  <c r="AA46" i="29"/>
  <c r="AC45" i="29"/>
  <c r="B45" i="29" s="1"/>
  <c r="AB45" i="29"/>
  <c r="AA45" i="29"/>
  <c r="AC44" i="29"/>
  <c r="B44" i="29" s="1"/>
  <c r="AB44" i="29"/>
  <c r="AA44" i="29"/>
  <c r="AC43" i="29"/>
  <c r="B43" i="29" s="1"/>
  <c r="AB43" i="29"/>
  <c r="AA43" i="29"/>
  <c r="AC42" i="29"/>
  <c r="B42" i="29" s="1"/>
  <c r="AB42" i="29"/>
  <c r="AA42" i="29"/>
  <c r="AC41" i="29"/>
  <c r="B41" i="29" s="1"/>
  <c r="AB41" i="29"/>
  <c r="AA41" i="29"/>
  <c r="AC40" i="29"/>
  <c r="B40" i="29" s="1"/>
  <c r="AB40" i="29"/>
  <c r="AA40" i="29"/>
  <c r="AC39" i="29"/>
  <c r="B39" i="29" s="1"/>
  <c r="AB39" i="29"/>
  <c r="AA39" i="29"/>
  <c r="AC38" i="29"/>
  <c r="B38" i="29" s="1"/>
  <c r="AB38" i="29"/>
  <c r="AA38" i="29"/>
  <c r="AC37" i="29"/>
  <c r="B37" i="29" s="1"/>
  <c r="AB37" i="29"/>
  <c r="AA37" i="29"/>
  <c r="AC36" i="29"/>
  <c r="AB36" i="29"/>
  <c r="AA36" i="29"/>
  <c r="B36" i="29"/>
  <c r="AC35" i="29"/>
  <c r="B35" i="29" s="1"/>
  <c r="AB35" i="29"/>
  <c r="AA35" i="29"/>
  <c r="AC34" i="29"/>
  <c r="B34" i="29" s="1"/>
  <c r="AB34" i="29"/>
  <c r="AA34" i="29"/>
  <c r="AC33" i="29"/>
  <c r="B33" i="29" s="1"/>
  <c r="AB33" i="29"/>
  <c r="AA33" i="29"/>
  <c r="AC32" i="29"/>
  <c r="B32" i="29" s="1"/>
  <c r="AB32" i="29"/>
  <c r="AA32" i="29"/>
  <c r="AC31" i="29"/>
  <c r="B31" i="29" s="1"/>
  <c r="AB31" i="29"/>
  <c r="AA31" i="29"/>
  <c r="AC30" i="29"/>
  <c r="B30" i="29" s="1"/>
  <c r="AB30" i="29"/>
  <c r="AA30" i="29"/>
  <c r="AC29" i="29"/>
  <c r="AB29" i="29"/>
  <c r="AA29" i="29"/>
  <c r="B29" i="29"/>
  <c r="AC28" i="29"/>
  <c r="B28" i="29" s="1"/>
  <c r="AB28" i="29"/>
  <c r="AA28" i="29"/>
  <c r="AC27" i="29"/>
  <c r="B27" i="29" s="1"/>
  <c r="AB27" i="29"/>
  <c r="AA27" i="29"/>
  <c r="AC26" i="29"/>
  <c r="B26" i="29" s="1"/>
  <c r="AB26" i="29"/>
  <c r="AA26" i="29"/>
  <c r="AC25" i="29"/>
  <c r="B25" i="29" s="1"/>
  <c r="AB25" i="29"/>
  <c r="AA25" i="29"/>
  <c r="AC24" i="29"/>
  <c r="B24" i="29" s="1"/>
  <c r="AB24" i="29"/>
  <c r="AA24" i="29"/>
  <c r="AC23" i="29"/>
  <c r="B23" i="29" s="1"/>
  <c r="AB23" i="29"/>
  <c r="AA23" i="29"/>
  <c r="AC22" i="29"/>
  <c r="B22" i="29" s="1"/>
  <c r="AB22" i="29"/>
  <c r="AA22" i="29"/>
  <c r="AC21" i="29"/>
  <c r="B21" i="29" s="1"/>
  <c r="AB21" i="29"/>
  <c r="AA21" i="29"/>
  <c r="AC20" i="29"/>
  <c r="B20" i="29" s="1"/>
  <c r="AB20" i="29"/>
  <c r="AA20" i="29"/>
  <c r="AC19" i="29"/>
  <c r="B19" i="29" s="1"/>
  <c r="AB19" i="29"/>
  <c r="AA19" i="29"/>
  <c r="AC18" i="29"/>
  <c r="B18" i="29" s="1"/>
  <c r="AB18" i="29"/>
  <c r="AA18" i="29"/>
  <c r="AC17" i="29"/>
  <c r="AC16" i="29"/>
  <c r="B16" i="29" s="1"/>
  <c r="AB16" i="29"/>
  <c r="AA16" i="29"/>
  <c r="AC15" i="29"/>
  <c r="B15" i="29" s="1"/>
  <c r="AB15" i="29"/>
  <c r="AA15" i="29"/>
  <c r="AC14" i="29"/>
  <c r="B14" i="29" s="1"/>
  <c r="AB14" i="29"/>
  <c r="AA14" i="29"/>
  <c r="AC13" i="29"/>
  <c r="AB13" i="29"/>
  <c r="AA13" i="29"/>
  <c r="B13" i="29"/>
  <c r="AC12" i="29"/>
  <c r="B12" i="29" s="1"/>
  <c r="AB12" i="29"/>
  <c r="AA12" i="29"/>
  <c r="AC11" i="29"/>
  <c r="B11" i="29" s="1"/>
  <c r="AB11" i="29"/>
  <c r="AA11" i="29"/>
  <c r="AC10" i="29"/>
  <c r="B10" i="29" s="1"/>
  <c r="AB10" i="29"/>
  <c r="AA10" i="29"/>
  <c r="AC9" i="29"/>
  <c r="AC8" i="29"/>
  <c r="B8" i="29" s="1"/>
  <c r="AB8" i="29"/>
  <c r="AA8" i="29"/>
  <c r="AC7" i="29"/>
  <c r="B7" i="29" s="1"/>
  <c r="AB7" i="29"/>
  <c r="AA7" i="29"/>
  <c r="AC6" i="29"/>
  <c r="B6" i="29" s="1"/>
  <c r="AB6" i="29"/>
  <c r="AA6" i="29"/>
  <c r="AC5" i="29"/>
  <c r="B5" i="29" s="1"/>
  <c r="AB5" i="29"/>
  <c r="AA5" i="29"/>
  <c r="AC4" i="29"/>
  <c r="B4" i="29" s="1"/>
  <c r="AB4" i="29"/>
  <c r="AA4" i="29"/>
  <c r="AC248" i="28"/>
  <c r="B248" i="28" s="1"/>
  <c r="AB248" i="28"/>
  <c r="AA248" i="28"/>
  <c r="AC247" i="28"/>
  <c r="B247" i="28" s="1"/>
  <c r="AB247" i="28"/>
  <c r="AA247" i="28"/>
  <c r="AC246" i="28"/>
  <c r="B246" i="28" s="1"/>
  <c r="AB246" i="28"/>
  <c r="AA246" i="28"/>
  <c r="AC245" i="28"/>
  <c r="AB245" i="28"/>
  <c r="AA245" i="28"/>
  <c r="B245" i="28"/>
  <c r="AC244" i="28"/>
  <c r="B244" i="28" s="1"/>
  <c r="AB244" i="28"/>
  <c r="AA244" i="28"/>
  <c r="AC243" i="28"/>
  <c r="AC242" i="28"/>
  <c r="B242" i="28" s="1"/>
  <c r="AB242" i="28"/>
  <c r="AA242" i="28"/>
  <c r="AC241" i="28"/>
  <c r="B241" i="28" s="1"/>
  <c r="AB241" i="28"/>
  <c r="AA241" i="28"/>
  <c r="AC240" i="28"/>
  <c r="B240" i="28" s="1"/>
  <c r="AB240" i="28"/>
  <c r="AA240" i="28"/>
  <c r="AC239" i="28"/>
  <c r="B239" i="28" s="1"/>
  <c r="AB239" i="28"/>
  <c r="AA239" i="28"/>
  <c r="AC238" i="28"/>
  <c r="B238" i="28" s="1"/>
  <c r="AB238" i="28"/>
  <c r="AA238" i="28"/>
  <c r="AC237" i="28"/>
  <c r="AB237" i="28"/>
  <c r="AA237" i="28"/>
  <c r="B237" i="28"/>
  <c r="AC236" i="28"/>
  <c r="B236" i="28" s="1"/>
  <c r="AB236" i="28"/>
  <c r="AA236" i="28"/>
  <c r="AC235" i="28"/>
  <c r="B235" i="28" s="1"/>
  <c r="AB235" i="28"/>
  <c r="AA235" i="28"/>
  <c r="AC234" i="28"/>
  <c r="B234" i="28" s="1"/>
  <c r="AB234" i="28"/>
  <c r="AA234" i="28"/>
  <c r="AC233" i="28"/>
  <c r="AC232" i="28"/>
  <c r="B232" i="28" s="1"/>
  <c r="AB232" i="28"/>
  <c r="AA232" i="28"/>
  <c r="AC231" i="28"/>
  <c r="AB231" i="28"/>
  <c r="AA231" i="28"/>
  <c r="B231" i="28"/>
  <c r="AC230" i="28"/>
  <c r="B230" i="28" s="1"/>
  <c r="AB230" i="28"/>
  <c r="AA230" i="28"/>
  <c r="AC229" i="28"/>
  <c r="B229" i="28" s="1"/>
  <c r="AB229" i="28"/>
  <c r="AA229" i="28"/>
  <c r="AC228" i="28"/>
  <c r="B228" i="28" s="1"/>
  <c r="AB228" i="28"/>
  <c r="AA228" i="28"/>
  <c r="AC227" i="28"/>
  <c r="B227" i="28" s="1"/>
  <c r="AB227" i="28"/>
  <c r="AA227" i="28"/>
  <c r="AC226" i="28"/>
  <c r="B226" i="28" s="1"/>
  <c r="AB226" i="28"/>
  <c r="AA226" i="28"/>
  <c r="AC225" i="28"/>
  <c r="AB225" i="28"/>
  <c r="AA225" i="28"/>
  <c r="B225" i="28"/>
  <c r="AC224" i="28"/>
  <c r="B224" i="28" s="1"/>
  <c r="AB224" i="28"/>
  <c r="AA224" i="28"/>
  <c r="AC223" i="28"/>
  <c r="B223" i="28" s="1"/>
  <c r="AB223" i="28"/>
  <c r="AA223" i="28"/>
  <c r="AC222" i="28"/>
  <c r="B222" i="28" s="1"/>
  <c r="AB222" i="28"/>
  <c r="AA222" i="28"/>
  <c r="AC221" i="28"/>
  <c r="AB221" i="28"/>
  <c r="AA221" i="28"/>
  <c r="B221" i="28"/>
  <c r="AC220" i="28"/>
  <c r="B220" i="28" s="1"/>
  <c r="AB220" i="28"/>
  <c r="AA220" i="28"/>
  <c r="AC219" i="28"/>
  <c r="B219" i="28" s="1"/>
  <c r="AB219" i="28"/>
  <c r="AA219" i="28"/>
  <c r="AC218" i="28"/>
  <c r="B218" i="28" s="1"/>
  <c r="AB218" i="28"/>
  <c r="AA218" i="28"/>
  <c r="AC217" i="28"/>
  <c r="B217" i="28" s="1"/>
  <c r="AB217" i="28"/>
  <c r="AA217" i="28"/>
  <c r="AC216" i="28"/>
  <c r="B216" i="28" s="1"/>
  <c r="AB216" i="28"/>
  <c r="AA216" i="28"/>
  <c r="AC215" i="28"/>
  <c r="AC214" i="28"/>
  <c r="B214" i="28" s="1"/>
  <c r="AB214" i="28"/>
  <c r="AA214" i="28"/>
  <c r="AC213" i="28"/>
  <c r="AB213" i="28"/>
  <c r="AA213" i="28"/>
  <c r="B213" i="28"/>
  <c r="AC212" i="28"/>
  <c r="B212" i="28" s="1"/>
  <c r="AB212" i="28"/>
  <c r="AA212" i="28"/>
  <c r="AC211" i="28"/>
  <c r="B211" i="28" s="1"/>
  <c r="AB211" i="28"/>
  <c r="AA211" i="28"/>
  <c r="AC210" i="28"/>
  <c r="B210" i="28" s="1"/>
  <c r="AB210" i="28"/>
  <c r="AA210" i="28"/>
  <c r="AC209" i="28"/>
  <c r="AB209" i="28"/>
  <c r="AA209" i="28"/>
  <c r="B209" i="28"/>
  <c r="AC208" i="28"/>
  <c r="B208" i="28" s="1"/>
  <c r="AB208" i="28"/>
  <c r="AA208" i="28"/>
  <c r="AC207" i="28"/>
  <c r="AC206" i="28"/>
  <c r="B206" i="28" s="1"/>
  <c r="AB206" i="28"/>
  <c r="AA206" i="28"/>
  <c r="AC205" i="28"/>
  <c r="B205" i="28" s="1"/>
  <c r="AB205" i="28"/>
  <c r="AA205" i="28"/>
  <c r="AC204" i="28"/>
  <c r="B204" i="28" s="1"/>
  <c r="AB204" i="28"/>
  <c r="AA204" i="28"/>
  <c r="AC203" i="28"/>
  <c r="B203" i="28" s="1"/>
  <c r="AB203" i="28"/>
  <c r="AA203" i="28"/>
  <c r="AC202" i="28"/>
  <c r="B202" i="28" s="1"/>
  <c r="AB202" i="28"/>
  <c r="AA202" i="28"/>
  <c r="AC201" i="28"/>
  <c r="AB201" i="28"/>
  <c r="AA201" i="28"/>
  <c r="B201" i="28"/>
  <c r="AC200" i="28"/>
  <c r="B200" i="28" s="1"/>
  <c r="AB200" i="28"/>
  <c r="AA200" i="28"/>
  <c r="AC199" i="28"/>
  <c r="B199" i="28" s="1"/>
  <c r="AB199" i="28"/>
  <c r="AA199" i="28"/>
  <c r="AC198" i="28"/>
  <c r="B198" i="28" s="1"/>
  <c r="AB198" i="28"/>
  <c r="AA198" i="28"/>
  <c r="AC197" i="28"/>
  <c r="AC196" i="28"/>
  <c r="B196" i="28" s="1"/>
  <c r="AB196" i="28"/>
  <c r="AA196" i="28"/>
  <c r="AC195" i="28"/>
  <c r="AB195" i="28"/>
  <c r="AA195" i="28"/>
  <c r="B195" i="28"/>
  <c r="AC194" i="28"/>
  <c r="B194" i="28" s="1"/>
  <c r="AB194" i="28"/>
  <c r="AA194" i="28"/>
  <c r="AC193" i="28"/>
  <c r="B193" i="28" s="1"/>
  <c r="AB193" i="28"/>
  <c r="AA193" i="28"/>
  <c r="AC192" i="28"/>
  <c r="B192" i="28" s="1"/>
  <c r="AB192" i="28"/>
  <c r="AA192" i="28"/>
  <c r="AC191" i="28"/>
  <c r="B191" i="28" s="1"/>
  <c r="AB191" i="28"/>
  <c r="AA191" i="28"/>
  <c r="AC190" i="28"/>
  <c r="B190" i="28" s="1"/>
  <c r="AB190" i="28"/>
  <c r="AA190" i="28"/>
  <c r="AC189" i="28"/>
  <c r="AB189" i="28"/>
  <c r="AA189" i="28"/>
  <c r="B189" i="28"/>
  <c r="AC188" i="28"/>
  <c r="B188" i="28" s="1"/>
  <c r="AB188" i="28"/>
  <c r="AA188" i="28"/>
  <c r="AC187" i="28"/>
  <c r="AB187" i="28"/>
  <c r="AA187" i="28"/>
  <c r="B187" i="28"/>
  <c r="AC186" i="28"/>
  <c r="B186" i="28" s="1"/>
  <c r="AB186" i="28"/>
  <c r="AA186" i="28"/>
  <c r="AC185" i="28"/>
  <c r="AB185" i="28"/>
  <c r="AA185" i="28"/>
  <c r="B185" i="28"/>
  <c r="AC184" i="28"/>
  <c r="B184" i="28" s="1"/>
  <c r="AB184" i="28"/>
  <c r="AA184" i="28"/>
  <c r="AC183" i="28"/>
  <c r="AC182" i="28"/>
  <c r="B182" i="28" s="1"/>
  <c r="AB182" i="28"/>
  <c r="AA182" i="28"/>
  <c r="AC181" i="28"/>
  <c r="B181" i="28" s="1"/>
  <c r="AB181" i="28"/>
  <c r="AA181" i="28"/>
  <c r="AC180" i="28"/>
  <c r="B180" i="28" s="1"/>
  <c r="AB180" i="28"/>
  <c r="AA180" i="28"/>
  <c r="AC179" i="28"/>
  <c r="B179" i="28" s="1"/>
  <c r="AB179" i="28"/>
  <c r="AA179" i="28"/>
  <c r="AC178" i="28"/>
  <c r="B178" i="28" s="1"/>
  <c r="AB178" i="28"/>
  <c r="AA178" i="28"/>
  <c r="AC177" i="28"/>
  <c r="AB177" i="28"/>
  <c r="AA177" i="28"/>
  <c r="B177" i="28"/>
  <c r="AC176" i="28"/>
  <c r="B176" i="28" s="1"/>
  <c r="AB176" i="28"/>
  <c r="AA176" i="28"/>
  <c r="AC175" i="28"/>
  <c r="B175" i="28" s="1"/>
  <c r="AB175" i="28"/>
  <c r="AA175" i="28"/>
  <c r="AC174" i="28"/>
  <c r="AC173" i="28"/>
  <c r="B173" i="28" s="1"/>
  <c r="AB173" i="28"/>
  <c r="AA173" i="28"/>
  <c r="AC172" i="28"/>
  <c r="B172" i="28" s="1"/>
  <c r="AB172" i="28"/>
  <c r="AA172" i="28"/>
  <c r="AC171" i="28"/>
  <c r="B171" i="28" s="1"/>
  <c r="AB171" i="28"/>
  <c r="AA171" i="28"/>
  <c r="AC170" i="28"/>
  <c r="B170" i="28" s="1"/>
  <c r="AB170" i="28"/>
  <c r="AA170" i="28"/>
  <c r="AC169" i="28"/>
  <c r="AB169" i="28"/>
  <c r="AA169" i="28"/>
  <c r="B169" i="28"/>
  <c r="AC168" i="28"/>
  <c r="AC167" i="28"/>
  <c r="B167" i="28" s="1"/>
  <c r="AB167" i="28"/>
  <c r="AA167" i="28"/>
  <c r="AC166" i="28"/>
  <c r="B166" i="28" s="1"/>
  <c r="AB166" i="28"/>
  <c r="AA166" i="28"/>
  <c r="AC165" i="28"/>
  <c r="AB165" i="28"/>
  <c r="AA165" i="28"/>
  <c r="B165" i="28"/>
  <c r="AC164" i="28"/>
  <c r="B164" i="28" s="1"/>
  <c r="AB164" i="28"/>
  <c r="AA164" i="28"/>
  <c r="AC163" i="28"/>
  <c r="B163" i="28" s="1"/>
  <c r="AB163" i="28"/>
  <c r="AA163" i="28"/>
  <c r="AC162" i="28"/>
  <c r="B162" i="28" s="1"/>
  <c r="AB162" i="28"/>
  <c r="AA162" i="28"/>
  <c r="AC161" i="28"/>
  <c r="B161" i="28" s="1"/>
  <c r="AB161" i="28"/>
  <c r="AA161" i="28"/>
  <c r="AC160" i="28"/>
  <c r="AC159" i="28"/>
  <c r="B159" i="28" s="1"/>
  <c r="AB159" i="28"/>
  <c r="AA159" i="28"/>
  <c r="AC158" i="28"/>
  <c r="B158" i="28" s="1"/>
  <c r="AB158" i="28"/>
  <c r="AA158" i="28"/>
  <c r="AC157" i="28"/>
  <c r="AB157" i="28"/>
  <c r="AA157" i="28"/>
  <c r="B157" i="28"/>
  <c r="AC156" i="28"/>
  <c r="B156" i="28" s="1"/>
  <c r="AB156" i="28"/>
  <c r="AA156" i="28"/>
  <c r="AC155" i="28"/>
  <c r="B155" i="28" s="1"/>
  <c r="AB155" i="28"/>
  <c r="AA155" i="28"/>
  <c r="AC154" i="28"/>
  <c r="B154" i="28" s="1"/>
  <c r="AB154" i="28"/>
  <c r="AA154" i="28"/>
  <c r="AC153" i="28"/>
  <c r="AB153" i="28"/>
  <c r="AA153" i="28"/>
  <c r="B153" i="28"/>
  <c r="AC152" i="28"/>
  <c r="AC151" i="28"/>
  <c r="AB151" i="28"/>
  <c r="AA151" i="28"/>
  <c r="B151" i="28"/>
  <c r="AC150" i="28"/>
  <c r="B150" i="28" s="1"/>
  <c r="AB150" i="28"/>
  <c r="AA150" i="28"/>
  <c r="AC149" i="28"/>
  <c r="AB149" i="28"/>
  <c r="AA149" i="28"/>
  <c r="B149" i="28"/>
  <c r="AC148" i="28"/>
  <c r="B148" i="28" s="1"/>
  <c r="AB148" i="28"/>
  <c r="AA148" i="28"/>
  <c r="AC147" i="28"/>
  <c r="B147" i="28" s="1"/>
  <c r="AB147" i="28"/>
  <c r="AA147" i="28"/>
  <c r="AC146" i="28"/>
  <c r="B146" i="28" s="1"/>
  <c r="AB146" i="28"/>
  <c r="AA146" i="28"/>
  <c r="AC145" i="28"/>
  <c r="B145" i="28" s="1"/>
  <c r="AB145" i="28"/>
  <c r="AA145" i="28"/>
  <c r="AC144" i="28"/>
  <c r="B144" i="28" s="1"/>
  <c r="AB144" i="28"/>
  <c r="AA144" i="28"/>
  <c r="AC143" i="28"/>
  <c r="AB143" i="28"/>
  <c r="AA143" i="28"/>
  <c r="B143" i="28"/>
  <c r="AC142" i="28"/>
  <c r="B142" i="28" s="1"/>
  <c r="AB142" i="28"/>
  <c r="AA142" i="28"/>
  <c r="AC141" i="28"/>
  <c r="B141" i="28" s="1"/>
  <c r="AB141" i="28"/>
  <c r="AA141" i="28"/>
  <c r="AC140" i="28"/>
  <c r="B140" i="28" s="1"/>
  <c r="AB140" i="28"/>
  <c r="AA140" i="28"/>
  <c r="AC139" i="28"/>
  <c r="B139" i="28" s="1"/>
  <c r="AB139" i="28"/>
  <c r="AA139" i="28"/>
  <c r="AC138" i="28"/>
  <c r="B138" i="28" s="1"/>
  <c r="AB138" i="28"/>
  <c r="AA138" i="28"/>
  <c r="AC137" i="28"/>
  <c r="AB137" i="28"/>
  <c r="AA137" i="28"/>
  <c r="B137" i="28"/>
  <c r="AC136" i="28"/>
  <c r="B136" i="28" s="1"/>
  <c r="AB136" i="28"/>
  <c r="AA136" i="28"/>
  <c r="AC135" i="28"/>
  <c r="B135" i="28" s="1"/>
  <c r="AB135" i="28"/>
  <c r="AA135" i="28"/>
  <c r="AC134" i="28"/>
  <c r="B134" i="28" s="1"/>
  <c r="AB134" i="28"/>
  <c r="AA134" i="28"/>
  <c r="AC133" i="28"/>
  <c r="AB133" i="28"/>
  <c r="AA133" i="28"/>
  <c r="B133" i="28"/>
  <c r="AC132" i="28"/>
  <c r="B132" i="28" s="1"/>
  <c r="AB132" i="28"/>
  <c r="AA132" i="28"/>
  <c r="AC131" i="28"/>
  <c r="B131" i="28" s="1"/>
  <c r="AB131" i="28"/>
  <c r="AA131" i="28"/>
  <c r="AC130" i="28"/>
  <c r="B130" i="28" s="1"/>
  <c r="AB130" i="28"/>
  <c r="AA130" i="28"/>
  <c r="AC129" i="28"/>
  <c r="B129" i="28" s="1"/>
  <c r="AB129" i="28"/>
  <c r="AA129" i="28"/>
  <c r="AC128" i="28"/>
  <c r="B128" i="28" s="1"/>
  <c r="AB128" i="28"/>
  <c r="AA128" i="28"/>
  <c r="AC127" i="28"/>
  <c r="AB127" i="28"/>
  <c r="AA127" i="28"/>
  <c r="B127" i="28"/>
  <c r="AC126" i="28"/>
  <c r="B126" i="28" s="1"/>
  <c r="AB126" i="28"/>
  <c r="AA126" i="28"/>
  <c r="AC125" i="28"/>
  <c r="AB125" i="28"/>
  <c r="AA125" i="28"/>
  <c r="B125" i="28"/>
  <c r="AC124" i="28"/>
  <c r="B124" i="28" s="1"/>
  <c r="AB124" i="28"/>
  <c r="AA124" i="28"/>
  <c r="AC123" i="28"/>
  <c r="B123" i="28" s="1"/>
  <c r="AB123" i="28"/>
  <c r="AA123" i="28"/>
  <c r="AC122" i="28"/>
  <c r="B122" i="28" s="1"/>
  <c r="AB122" i="28"/>
  <c r="AA122" i="28"/>
  <c r="AC121" i="28"/>
  <c r="B121" i="28" s="1"/>
  <c r="AB121" i="28"/>
  <c r="AA121" i="28"/>
  <c r="AC120" i="28"/>
  <c r="B120" i="28" s="1"/>
  <c r="AB120" i="28"/>
  <c r="AA120" i="28"/>
  <c r="AC119" i="28"/>
  <c r="B119" i="28" s="1"/>
  <c r="AB119" i="28"/>
  <c r="AA119" i="28"/>
  <c r="AC118" i="28"/>
  <c r="B118" i="28" s="1"/>
  <c r="AB118" i="28"/>
  <c r="AA118" i="28"/>
  <c r="AC117" i="28"/>
  <c r="B117" i="28" s="1"/>
  <c r="AB117" i="28"/>
  <c r="AA117" i="28"/>
  <c r="AC116" i="28"/>
  <c r="B116" i="28" s="1"/>
  <c r="AB116" i="28"/>
  <c r="AA116" i="28"/>
  <c r="AC115" i="28"/>
  <c r="B115" i="28" s="1"/>
  <c r="AB115" i="28"/>
  <c r="AA115" i="28"/>
  <c r="AC114" i="28"/>
  <c r="B114" i="28" s="1"/>
  <c r="AB114" i="28"/>
  <c r="AA114" i="28"/>
  <c r="AC113" i="28"/>
  <c r="AB113" i="28"/>
  <c r="AA113" i="28"/>
  <c r="B113" i="28"/>
  <c r="AC112" i="28"/>
  <c r="B112" i="28" s="1"/>
  <c r="AB112" i="28"/>
  <c r="AA112" i="28"/>
  <c r="AC111" i="28"/>
  <c r="AB111" i="28"/>
  <c r="AA111" i="28"/>
  <c r="B111" i="28"/>
  <c r="AC110" i="28"/>
  <c r="AC109" i="28"/>
  <c r="B109" i="28" s="1"/>
  <c r="AB109" i="28"/>
  <c r="AA109" i="28"/>
  <c r="AC108" i="28"/>
  <c r="B108" i="28" s="1"/>
  <c r="AB108" i="28"/>
  <c r="AA108" i="28"/>
  <c r="AC107" i="28"/>
  <c r="B107" i="28" s="1"/>
  <c r="AB107" i="28"/>
  <c r="AA107" i="28"/>
  <c r="AC106" i="28"/>
  <c r="B106" i="28" s="1"/>
  <c r="AB106" i="28"/>
  <c r="AA106" i="28"/>
  <c r="AC105" i="28"/>
  <c r="B105" i="28" s="1"/>
  <c r="AB105" i="28"/>
  <c r="AA105" i="28"/>
  <c r="AC104" i="28"/>
  <c r="B104" i="28" s="1"/>
  <c r="AB104" i="28"/>
  <c r="AA104" i="28"/>
  <c r="AC103" i="28"/>
  <c r="B103" i="28" s="1"/>
  <c r="AB103" i="28"/>
  <c r="AA103" i="28"/>
  <c r="AC102" i="28"/>
  <c r="AC101" i="28"/>
  <c r="AB101" i="28"/>
  <c r="AA101" i="28"/>
  <c r="B101" i="28"/>
  <c r="AC100" i="28"/>
  <c r="B100" i="28" s="1"/>
  <c r="AB100" i="28"/>
  <c r="AA100" i="28"/>
  <c r="AC99" i="28"/>
  <c r="B99" i="28" s="1"/>
  <c r="AB99" i="28"/>
  <c r="AA99" i="28"/>
  <c r="AC98" i="28"/>
  <c r="B98" i="28" s="1"/>
  <c r="AB98" i="28"/>
  <c r="AA98" i="28"/>
  <c r="AC97" i="28"/>
  <c r="B97" i="28" s="1"/>
  <c r="AB97" i="28"/>
  <c r="AA97" i="28"/>
  <c r="AC96" i="28"/>
  <c r="B96" i="28" s="1"/>
  <c r="AB96" i="28"/>
  <c r="AA96" i="28"/>
  <c r="AC95" i="28"/>
  <c r="AB95" i="28"/>
  <c r="AA95" i="28"/>
  <c r="B95" i="28"/>
  <c r="AC94" i="28"/>
  <c r="B94" i="28" s="1"/>
  <c r="AB94" i="28"/>
  <c r="AA94" i="28"/>
  <c r="AC93" i="28"/>
  <c r="B93" i="28" s="1"/>
  <c r="AB93" i="28"/>
  <c r="AA93" i="28"/>
  <c r="AC92" i="28"/>
  <c r="AC91" i="28"/>
  <c r="B91" i="28" s="1"/>
  <c r="AB91" i="28"/>
  <c r="AA91" i="28"/>
  <c r="AC90" i="28"/>
  <c r="B90" i="28" s="1"/>
  <c r="AB90" i="28"/>
  <c r="AA90" i="28"/>
  <c r="AC89" i="28"/>
  <c r="B89" i="28" s="1"/>
  <c r="AB89" i="28"/>
  <c r="AA89" i="28"/>
  <c r="AC88" i="28"/>
  <c r="B88" i="28" s="1"/>
  <c r="AB88" i="28"/>
  <c r="AA88" i="28"/>
  <c r="AC87" i="28"/>
  <c r="B87" i="28" s="1"/>
  <c r="AB87" i="28"/>
  <c r="AA87" i="28"/>
  <c r="AC86" i="28"/>
  <c r="B86" i="28" s="1"/>
  <c r="AB86" i="28"/>
  <c r="AA86" i="28"/>
  <c r="AC85" i="28"/>
  <c r="AB85" i="28"/>
  <c r="AA85" i="28"/>
  <c r="B85" i="28"/>
  <c r="AC84" i="28"/>
  <c r="B84" i="28" s="1"/>
  <c r="AB84" i="28"/>
  <c r="AA84" i="28"/>
  <c r="AC83" i="28"/>
  <c r="B83" i="28" s="1"/>
  <c r="AB83" i="28"/>
  <c r="AA83" i="28"/>
  <c r="AC82" i="28"/>
  <c r="AC81" i="28"/>
  <c r="B81" i="28" s="1"/>
  <c r="AB81" i="28"/>
  <c r="AA81" i="28"/>
  <c r="AC80" i="28"/>
  <c r="B80" i="28" s="1"/>
  <c r="AB80" i="28"/>
  <c r="AA80" i="28"/>
  <c r="AC79" i="28"/>
  <c r="B79" i="28" s="1"/>
  <c r="AB79" i="28"/>
  <c r="AA79" i="28"/>
  <c r="AC78" i="28"/>
  <c r="B78" i="28" s="1"/>
  <c r="AB78" i="28"/>
  <c r="AA78" i="28"/>
  <c r="AC77" i="28"/>
  <c r="AB77" i="28"/>
  <c r="AA77" i="28"/>
  <c r="B77" i="28"/>
  <c r="AC76" i="28"/>
  <c r="B76" i="28" s="1"/>
  <c r="AB76" i="28"/>
  <c r="AA76" i="28"/>
  <c r="AC75" i="28"/>
  <c r="B75" i="28" s="1"/>
  <c r="AB75" i="28"/>
  <c r="AA75" i="28"/>
  <c r="AC74" i="28"/>
  <c r="B74" i="28" s="1"/>
  <c r="AB74" i="28"/>
  <c r="AA74" i="28"/>
  <c r="AC73" i="28"/>
  <c r="B73" i="28" s="1"/>
  <c r="AB73" i="28"/>
  <c r="AA73" i="28"/>
  <c r="AC72" i="28"/>
  <c r="B72" i="28" s="1"/>
  <c r="AB72" i="28"/>
  <c r="AA72" i="28"/>
  <c r="AC71" i="28"/>
  <c r="AB71" i="28"/>
  <c r="AA71" i="28"/>
  <c r="B71" i="28"/>
  <c r="AC70" i="28"/>
  <c r="B70" i="28" s="1"/>
  <c r="AB70" i="28"/>
  <c r="AA70" i="28"/>
  <c r="AC69" i="28"/>
  <c r="B69" i="28" s="1"/>
  <c r="AB69" i="28"/>
  <c r="AA69" i="28"/>
  <c r="AC68" i="28"/>
  <c r="B68" i="28" s="1"/>
  <c r="AB68" i="28"/>
  <c r="AA68" i="28"/>
  <c r="AC67" i="28"/>
  <c r="B67" i="28" s="1"/>
  <c r="AB67" i="28"/>
  <c r="AA67" i="28"/>
  <c r="AC66" i="28"/>
  <c r="B66" i="28" s="1"/>
  <c r="AB66" i="28"/>
  <c r="AA66" i="28"/>
  <c r="AC65" i="28"/>
  <c r="AB65" i="28"/>
  <c r="AA65" i="28"/>
  <c r="B65" i="28"/>
  <c r="AC64" i="28"/>
  <c r="B64" i="28" s="1"/>
  <c r="AB64" i="28"/>
  <c r="AA64" i="28"/>
  <c r="AC63" i="28"/>
  <c r="B63" i="28" s="1"/>
  <c r="AB63" i="28"/>
  <c r="AA63" i="28"/>
  <c r="AC62" i="28"/>
  <c r="B62" i="28" s="1"/>
  <c r="AB62" i="28"/>
  <c r="AA62" i="28"/>
  <c r="AC61" i="28"/>
  <c r="AB61" i="28"/>
  <c r="AA61" i="28"/>
  <c r="B61" i="28"/>
  <c r="AC60" i="28"/>
  <c r="B60" i="28" s="1"/>
  <c r="AB60" i="28"/>
  <c r="AA60" i="28"/>
  <c r="AC59" i="28"/>
  <c r="B59" i="28" s="1"/>
  <c r="AB59" i="28"/>
  <c r="AA59" i="28"/>
  <c r="AC58" i="28"/>
  <c r="B58" i="28" s="1"/>
  <c r="AB58" i="28"/>
  <c r="AA58" i="28"/>
  <c r="AC57" i="28"/>
  <c r="B57" i="28" s="1"/>
  <c r="AB57" i="28"/>
  <c r="AA57" i="28"/>
  <c r="AC56" i="28"/>
  <c r="AC55" i="28"/>
  <c r="B55" i="28" s="1"/>
  <c r="AB55" i="28"/>
  <c r="AA55" i="28"/>
  <c r="AC54" i="28"/>
  <c r="B54" i="28" s="1"/>
  <c r="AB54" i="28"/>
  <c r="AA54" i="28"/>
  <c r="AC53" i="28"/>
  <c r="AB53" i="28"/>
  <c r="AA53" i="28"/>
  <c r="B53" i="28"/>
  <c r="AC52" i="28"/>
  <c r="B52" i="28" s="1"/>
  <c r="AB52" i="28"/>
  <c r="AA52" i="28"/>
  <c r="AC51" i="28"/>
  <c r="B51" i="28" s="1"/>
  <c r="AB51" i="28"/>
  <c r="AA51" i="28"/>
  <c r="AC50" i="28"/>
  <c r="B50" i="28" s="1"/>
  <c r="AB50" i="28"/>
  <c r="AA50" i="28"/>
  <c r="AC49" i="28"/>
  <c r="AB49" i="28"/>
  <c r="AA49" i="28"/>
  <c r="B49" i="28"/>
  <c r="AC48" i="28"/>
  <c r="B48" i="28" s="1"/>
  <c r="AB48" i="28"/>
  <c r="AA48" i="28"/>
  <c r="AC47" i="28"/>
  <c r="B47" i="28" s="1"/>
  <c r="AB47" i="28"/>
  <c r="AA47" i="28"/>
  <c r="AC46" i="28"/>
  <c r="B46" i="28" s="1"/>
  <c r="AB46" i="28"/>
  <c r="AA46" i="28"/>
  <c r="AC45" i="28"/>
  <c r="B45" i="28" s="1"/>
  <c r="AB45" i="28"/>
  <c r="AA45" i="28"/>
  <c r="AC44" i="28"/>
  <c r="B44" i="28" s="1"/>
  <c r="AB44" i="28"/>
  <c r="AA44" i="28"/>
  <c r="AC43" i="28"/>
  <c r="AB43" i="28"/>
  <c r="AA43" i="28"/>
  <c r="B43" i="28"/>
  <c r="AC42" i="28"/>
  <c r="B42" i="28" s="1"/>
  <c r="AB42" i="28"/>
  <c r="AA42" i="28"/>
  <c r="AC41" i="28"/>
  <c r="B41" i="28" s="1"/>
  <c r="AB41" i="28"/>
  <c r="AA41" i="28"/>
  <c r="AC40" i="28"/>
  <c r="B40" i="28" s="1"/>
  <c r="AB40" i="28"/>
  <c r="AA40" i="28"/>
  <c r="AC39" i="28"/>
  <c r="B39" i="28" s="1"/>
  <c r="AB39" i="28"/>
  <c r="AA39" i="28"/>
  <c r="AC38" i="28"/>
  <c r="B38" i="28" s="1"/>
  <c r="AB38" i="28"/>
  <c r="AA38" i="28"/>
  <c r="AC37" i="28"/>
  <c r="AB37" i="28"/>
  <c r="AA37" i="28"/>
  <c r="B37" i="28"/>
  <c r="AC36" i="28"/>
  <c r="B36" i="28" s="1"/>
  <c r="AB36" i="28"/>
  <c r="AA36" i="28"/>
  <c r="AC35" i="28"/>
  <c r="B35" i="28" s="1"/>
  <c r="AB35" i="28"/>
  <c r="AA35" i="28"/>
  <c r="AC34" i="28"/>
  <c r="B34" i="28" s="1"/>
  <c r="AB34" i="28"/>
  <c r="AA34" i="28"/>
  <c r="AC33" i="28"/>
  <c r="B33" i="28" s="1"/>
  <c r="AB33" i="28"/>
  <c r="AA33" i="28"/>
  <c r="AC32" i="28"/>
  <c r="B32" i="28" s="1"/>
  <c r="AB32" i="28"/>
  <c r="AA32" i="28"/>
  <c r="AC31" i="28"/>
  <c r="B31" i="28" s="1"/>
  <c r="AB31" i="28"/>
  <c r="AA31" i="28"/>
  <c r="AC30" i="28"/>
  <c r="B30" i="28" s="1"/>
  <c r="AB30" i="28"/>
  <c r="AA30" i="28"/>
  <c r="AC29" i="28"/>
  <c r="B29" i="28" s="1"/>
  <c r="AB29" i="28"/>
  <c r="AA29" i="28"/>
  <c r="AC28" i="28"/>
  <c r="B28" i="28" s="1"/>
  <c r="AB28" i="28"/>
  <c r="AA28" i="28"/>
  <c r="AC27" i="28"/>
  <c r="AB27" i="28"/>
  <c r="AA27" i="28"/>
  <c r="B27" i="28"/>
  <c r="AC26" i="28"/>
  <c r="B26" i="28" s="1"/>
  <c r="AB26" i="28"/>
  <c r="AA26" i="28"/>
  <c r="AC25" i="28"/>
  <c r="B25" i="28" s="1"/>
  <c r="AB25" i="28"/>
  <c r="AA25" i="28"/>
  <c r="AC24" i="28"/>
  <c r="B24" i="28" s="1"/>
  <c r="AB24" i="28"/>
  <c r="AA24" i="28"/>
  <c r="AC23" i="28"/>
  <c r="B23" i="28" s="1"/>
  <c r="AB23" i="28"/>
  <c r="AA23" i="28"/>
  <c r="AC22" i="28"/>
  <c r="B22" i="28" s="1"/>
  <c r="AB22" i="28"/>
  <c r="AA22" i="28"/>
  <c r="AC21" i="28"/>
  <c r="B21" i="28" s="1"/>
  <c r="AB21" i="28"/>
  <c r="AA21" i="28"/>
  <c r="AC20" i="28"/>
  <c r="B20" i="28" s="1"/>
  <c r="AB20" i="28"/>
  <c r="AA20" i="28"/>
  <c r="AC19" i="28"/>
  <c r="B19" i="28" s="1"/>
  <c r="AB19" i="28"/>
  <c r="AA19" i="28"/>
  <c r="AC18" i="28"/>
  <c r="B18" i="28" s="1"/>
  <c r="AB18" i="28"/>
  <c r="AA18" i="28"/>
  <c r="AC17" i="28"/>
  <c r="AC16" i="28"/>
  <c r="B16" i="28" s="1"/>
  <c r="AB16" i="28"/>
  <c r="AA16" i="28"/>
  <c r="AC15" i="28"/>
  <c r="AB15" i="28"/>
  <c r="AA15" i="28"/>
  <c r="B15" i="28"/>
  <c r="AC14" i="28"/>
  <c r="B14" i="28" s="1"/>
  <c r="AB14" i="28"/>
  <c r="AA14" i="28"/>
  <c r="AC13" i="28"/>
  <c r="AB13" i="28"/>
  <c r="AA13" i="28"/>
  <c r="B13" i="28"/>
  <c r="AC12" i="28"/>
  <c r="B12" i="28" s="1"/>
  <c r="AB12" i="28"/>
  <c r="AA12" i="28"/>
  <c r="AC11" i="28"/>
  <c r="B11" i="28" s="1"/>
  <c r="AB11" i="28"/>
  <c r="AA11" i="28"/>
  <c r="AC10" i="28"/>
  <c r="B10" i="28" s="1"/>
  <c r="AB10" i="28"/>
  <c r="AA10" i="28"/>
  <c r="AC9" i="28"/>
  <c r="AC8" i="28"/>
  <c r="B8" i="28" s="1"/>
  <c r="AB8" i="28"/>
  <c r="AA8" i="28"/>
  <c r="AC7" i="28"/>
  <c r="B7" i="28" s="1"/>
  <c r="AB7" i="28"/>
  <c r="AA7" i="28"/>
  <c r="AC6" i="28"/>
  <c r="B6" i="28" s="1"/>
  <c r="AB6" i="28"/>
  <c r="AA6" i="28"/>
  <c r="AC5" i="28"/>
  <c r="B5" i="28" s="1"/>
  <c r="AB5" i="28"/>
  <c r="AA5" i="28"/>
  <c r="AC4" i="28"/>
  <c r="B4" i="28" s="1"/>
  <c r="AB4" i="28"/>
  <c r="AA4" i="28"/>
  <c r="AC224" i="27"/>
  <c r="B224" i="27" s="1"/>
  <c r="AB224" i="27"/>
  <c r="AA224" i="27"/>
  <c r="AC223" i="27"/>
  <c r="B223" i="27" s="1"/>
  <c r="AB223" i="27"/>
  <c r="AA223" i="27"/>
  <c r="AC222" i="27"/>
  <c r="AB222" i="27"/>
  <c r="AA222" i="27"/>
  <c r="B222" i="27"/>
  <c r="AC221" i="27"/>
  <c r="B221" i="27" s="1"/>
  <c r="AB221" i="27"/>
  <c r="AA221" i="27"/>
  <c r="AC220" i="27"/>
  <c r="B220" i="27" s="1"/>
  <c r="AB220" i="27"/>
  <c r="AA220" i="27"/>
  <c r="AC219" i="27"/>
  <c r="AC218" i="27"/>
  <c r="B218" i="27" s="1"/>
  <c r="AB218" i="27"/>
  <c r="AA218" i="27"/>
  <c r="AC217" i="27"/>
  <c r="AB217" i="27"/>
  <c r="AA217" i="27"/>
  <c r="B217" i="27"/>
  <c r="AC216" i="27"/>
  <c r="B216" i="27" s="1"/>
  <c r="AB216" i="27"/>
  <c r="AA216" i="27"/>
  <c r="AC215" i="27"/>
  <c r="B215" i="27" s="1"/>
  <c r="AB215" i="27"/>
  <c r="AA215" i="27"/>
  <c r="AC214" i="27"/>
  <c r="B214" i="27" s="1"/>
  <c r="AB214" i="27"/>
  <c r="AA214" i="27"/>
  <c r="AC213" i="27"/>
  <c r="B213" i="27" s="1"/>
  <c r="AB213" i="27"/>
  <c r="AA213" i="27"/>
  <c r="AC212" i="27"/>
  <c r="B212" i="27" s="1"/>
  <c r="AB212" i="27"/>
  <c r="AA212" i="27"/>
  <c r="AC211" i="27"/>
  <c r="B211" i="27" s="1"/>
  <c r="AB211" i="27"/>
  <c r="AA211" i="27"/>
  <c r="AC210" i="27"/>
  <c r="B210" i="27" s="1"/>
  <c r="AB210" i="27"/>
  <c r="AA210" i="27"/>
  <c r="AC209" i="27"/>
  <c r="B209" i="27" s="1"/>
  <c r="AB209" i="27"/>
  <c r="AA209" i="27"/>
  <c r="AC208" i="27"/>
  <c r="B208" i="27" s="1"/>
  <c r="AB208" i="27"/>
  <c r="AA208" i="27"/>
  <c r="AC207" i="27"/>
  <c r="AC206" i="27"/>
  <c r="B206" i="27" s="1"/>
  <c r="AB206" i="27"/>
  <c r="AA206" i="27"/>
  <c r="AC205" i="27"/>
  <c r="B205" i="27" s="1"/>
  <c r="AB205" i="27"/>
  <c r="AA205" i="27"/>
  <c r="AC204" i="27"/>
  <c r="B204" i="27" s="1"/>
  <c r="AB204" i="27"/>
  <c r="AA204" i="27"/>
  <c r="AC203" i="27"/>
  <c r="B203" i="27" s="1"/>
  <c r="AB203" i="27"/>
  <c r="AA203" i="27"/>
  <c r="AC202" i="27"/>
  <c r="B202" i="27" s="1"/>
  <c r="AB202" i="27"/>
  <c r="AA202" i="27"/>
  <c r="AC201" i="27"/>
  <c r="B201" i="27" s="1"/>
  <c r="AB201" i="27"/>
  <c r="AA201" i="27"/>
  <c r="AC200" i="27"/>
  <c r="B200" i="27" s="1"/>
  <c r="AB200" i="27"/>
  <c r="AA200" i="27"/>
  <c r="AC199" i="27"/>
  <c r="B199" i="27" s="1"/>
  <c r="AB199" i="27"/>
  <c r="AA199" i="27"/>
  <c r="AC198" i="27"/>
  <c r="B198" i="27" s="1"/>
  <c r="AB198" i="27"/>
  <c r="AA198" i="27"/>
  <c r="AC197" i="27"/>
  <c r="B197" i="27" s="1"/>
  <c r="AB197" i="27"/>
  <c r="AA197" i="27"/>
  <c r="AC196" i="27"/>
  <c r="B196" i="27" s="1"/>
  <c r="AB196" i="27"/>
  <c r="AA196" i="27"/>
  <c r="AC195" i="27"/>
  <c r="AB195" i="27"/>
  <c r="AA195" i="27"/>
  <c r="B195" i="27"/>
  <c r="AC194" i="27"/>
  <c r="B194" i="27" s="1"/>
  <c r="AB194" i="27"/>
  <c r="AA194" i="27"/>
  <c r="AC193" i="27"/>
  <c r="B193" i="27" s="1"/>
  <c r="AB193" i="27"/>
  <c r="AA193" i="27"/>
  <c r="AC192" i="27"/>
  <c r="AC191" i="27"/>
  <c r="B191" i="27" s="1"/>
  <c r="AB191" i="27"/>
  <c r="AA191" i="27"/>
  <c r="AC190" i="27"/>
  <c r="B190" i="27" s="1"/>
  <c r="AB190" i="27"/>
  <c r="AA190" i="27"/>
  <c r="AC189" i="27"/>
  <c r="B189" i="27" s="1"/>
  <c r="AB189" i="27"/>
  <c r="AA189" i="27"/>
  <c r="AC188" i="27"/>
  <c r="B188" i="27" s="1"/>
  <c r="AB188" i="27"/>
  <c r="AA188" i="27"/>
  <c r="AC187" i="27"/>
  <c r="B187" i="27" s="1"/>
  <c r="AB187" i="27"/>
  <c r="AA187" i="27"/>
  <c r="AC186" i="27"/>
  <c r="B186" i="27" s="1"/>
  <c r="AB186" i="27"/>
  <c r="AA186" i="27"/>
  <c r="AC185" i="27"/>
  <c r="B185" i="27" s="1"/>
  <c r="AB185" i="27"/>
  <c r="AA185" i="27"/>
  <c r="AC184" i="27"/>
  <c r="AC183" i="27"/>
  <c r="B183" i="27" s="1"/>
  <c r="AB183" i="27"/>
  <c r="AA183" i="27"/>
  <c r="AC182" i="27"/>
  <c r="B182" i="27" s="1"/>
  <c r="AB182" i="27"/>
  <c r="AA182" i="27"/>
  <c r="AC181" i="27"/>
  <c r="AB181" i="27"/>
  <c r="AA181" i="27"/>
  <c r="B181" i="27"/>
  <c r="AC180" i="27"/>
  <c r="B180" i="27" s="1"/>
  <c r="AB180" i="27"/>
  <c r="AA180" i="27"/>
  <c r="AC179" i="27"/>
  <c r="B179" i="27" s="1"/>
  <c r="AB179" i="27"/>
  <c r="AA179" i="27"/>
  <c r="AC178" i="27"/>
  <c r="B178" i="27" s="1"/>
  <c r="AB178" i="27"/>
  <c r="AA178" i="27"/>
  <c r="AC177" i="27"/>
  <c r="AB177" i="27"/>
  <c r="AA177" i="27"/>
  <c r="B177" i="27"/>
  <c r="AC176" i="27"/>
  <c r="B176" i="27" s="1"/>
  <c r="AB176" i="27"/>
  <c r="AA176" i="27"/>
  <c r="AC175" i="27"/>
  <c r="B175" i="27" s="1"/>
  <c r="AB175" i="27"/>
  <c r="AA175" i="27"/>
  <c r="AC174" i="27"/>
  <c r="AC173" i="27"/>
  <c r="B173" i="27" s="1"/>
  <c r="AB173" i="27"/>
  <c r="AA173" i="27"/>
  <c r="AC172" i="27"/>
  <c r="B172" i="27" s="1"/>
  <c r="AB172" i="27"/>
  <c r="AA172" i="27"/>
  <c r="AC171" i="27"/>
  <c r="B171" i="27" s="1"/>
  <c r="AB171" i="27"/>
  <c r="AA171" i="27"/>
  <c r="AC170" i="27"/>
  <c r="B170" i="27" s="1"/>
  <c r="AB170" i="27"/>
  <c r="AA170" i="27"/>
  <c r="AC169" i="27"/>
  <c r="B169" i="27" s="1"/>
  <c r="AB169" i="27"/>
  <c r="AA169" i="27"/>
  <c r="AC168" i="27"/>
  <c r="B168" i="27" s="1"/>
  <c r="AB168" i="27"/>
  <c r="AA168" i="27"/>
  <c r="AC167" i="27"/>
  <c r="B167" i="27" s="1"/>
  <c r="AB167" i="27"/>
  <c r="AA167" i="27"/>
  <c r="AC166" i="27"/>
  <c r="B166" i="27" s="1"/>
  <c r="AB166" i="27"/>
  <c r="AA166" i="27"/>
  <c r="AC165" i="27"/>
  <c r="B165" i="27" s="1"/>
  <c r="AB165" i="27"/>
  <c r="AA165" i="27"/>
  <c r="AC164" i="27"/>
  <c r="B164" i="27" s="1"/>
  <c r="AB164" i="27"/>
  <c r="AA164" i="27"/>
  <c r="AC163" i="27"/>
  <c r="B163" i="27" s="1"/>
  <c r="AB163" i="27"/>
  <c r="AA163" i="27"/>
  <c r="AC162" i="27"/>
  <c r="B162" i="27" s="1"/>
  <c r="AB162" i="27"/>
  <c r="AA162" i="27"/>
  <c r="AC161" i="27"/>
  <c r="B161" i="27" s="1"/>
  <c r="AB161" i="27"/>
  <c r="AA161" i="27"/>
  <c r="AC160" i="27"/>
  <c r="AC159" i="27"/>
  <c r="B159" i="27" s="1"/>
  <c r="AB159" i="27"/>
  <c r="AA159" i="27"/>
  <c r="AC158" i="27"/>
  <c r="B158" i="27" s="1"/>
  <c r="AB158" i="27"/>
  <c r="AA158" i="27"/>
  <c r="AC157" i="27"/>
  <c r="B157" i="27" s="1"/>
  <c r="AB157" i="27"/>
  <c r="AA157" i="27"/>
  <c r="AC156" i="27"/>
  <c r="B156" i="27" s="1"/>
  <c r="AB156" i="27"/>
  <c r="AA156" i="27"/>
  <c r="AC155" i="27"/>
  <c r="AB155" i="27"/>
  <c r="AA155" i="27"/>
  <c r="B155" i="27"/>
  <c r="AC154" i="27"/>
  <c r="B154" i="27" s="1"/>
  <c r="AB154" i="27"/>
  <c r="AA154" i="27"/>
  <c r="AC153" i="27"/>
  <c r="B153" i="27" s="1"/>
  <c r="AB153" i="27"/>
  <c r="AA153" i="27"/>
  <c r="AC152" i="27"/>
  <c r="B152" i="27" s="1"/>
  <c r="AB152" i="27"/>
  <c r="AA152" i="27"/>
  <c r="AC151" i="27"/>
  <c r="AC150" i="27"/>
  <c r="B150" i="27" s="1"/>
  <c r="AB150" i="27"/>
  <c r="AA150" i="27"/>
  <c r="AC149" i="27"/>
  <c r="B149" i="27" s="1"/>
  <c r="AB149" i="27"/>
  <c r="AA149" i="27"/>
  <c r="AC148" i="27"/>
  <c r="B148" i="27" s="1"/>
  <c r="AB148" i="27"/>
  <c r="AA148" i="27"/>
  <c r="AC147" i="27"/>
  <c r="B147" i="27" s="1"/>
  <c r="AB147" i="27"/>
  <c r="AA147" i="27"/>
  <c r="AC146" i="27"/>
  <c r="B146" i="27" s="1"/>
  <c r="AB146" i="27"/>
  <c r="AA146" i="27"/>
  <c r="AC145" i="27"/>
  <c r="AC144" i="27"/>
  <c r="B144" i="27" s="1"/>
  <c r="AB144" i="27"/>
  <c r="AA144" i="27"/>
  <c r="AC143" i="27"/>
  <c r="B143" i="27" s="1"/>
  <c r="AB143" i="27"/>
  <c r="AA143" i="27"/>
  <c r="AC142" i="27"/>
  <c r="B142" i="27" s="1"/>
  <c r="AB142" i="27"/>
  <c r="AA142" i="27"/>
  <c r="AC141" i="27"/>
  <c r="B141" i="27" s="1"/>
  <c r="AB141" i="27"/>
  <c r="AA141" i="27"/>
  <c r="AC140" i="27"/>
  <c r="B140" i="27" s="1"/>
  <c r="AB140" i="27"/>
  <c r="AA140" i="27"/>
  <c r="AC139" i="27"/>
  <c r="AB139" i="27"/>
  <c r="AA139" i="27"/>
  <c r="B139" i="27"/>
  <c r="AC138" i="27"/>
  <c r="B138" i="27" s="1"/>
  <c r="AB138" i="27"/>
  <c r="AA138" i="27"/>
  <c r="AC137" i="27"/>
  <c r="AC136" i="27"/>
  <c r="B136" i="27" s="1"/>
  <c r="AB136" i="27"/>
  <c r="AA136" i="27"/>
  <c r="AC135" i="27"/>
  <c r="B135" i="27" s="1"/>
  <c r="AB135" i="27"/>
  <c r="AA135" i="27"/>
  <c r="AC134" i="27"/>
  <c r="B134" i="27" s="1"/>
  <c r="AB134" i="27"/>
  <c r="AA134" i="27"/>
  <c r="AC133" i="27"/>
  <c r="AB133" i="27"/>
  <c r="AA133" i="27"/>
  <c r="B133" i="27"/>
  <c r="AC132" i="27"/>
  <c r="B132" i="27" s="1"/>
  <c r="AB132" i="27"/>
  <c r="AA132" i="27"/>
  <c r="AC131" i="27"/>
  <c r="B131" i="27" s="1"/>
  <c r="AB131" i="27"/>
  <c r="AA131" i="27"/>
  <c r="AC130" i="27"/>
  <c r="B130" i="27" s="1"/>
  <c r="AB130" i="27"/>
  <c r="AA130" i="27"/>
  <c r="AC129" i="27"/>
  <c r="AC128" i="27"/>
  <c r="B128" i="27" s="1"/>
  <c r="AB128" i="27"/>
  <c r="AA128" i="27"/>
  <c r="AC127" i="27"/>
  <c r="B127" i="27" s="1"/>
  <c r="AB127" i="27"/>
  <c r="AA127" i="27"/>
  <c r="AC126" i="27"/>
  <c r="B126" i="27" s="1"/>
  <c r="AB126" i="27"/>
  <c r="AA126" i="27"/>
  <c r="AC125" i="27"/>
  <c r="B125" i="27" s="1"/>
  <c r="AB125" i="27"/>
  <c r="AA125" i="27"/>
  <c r="AC124" i="27"/>
  <c r="B124" i="27" s="1"/>
  <c r="AB124" i="27"/>
  <c r="AA124" i="27"/>
  <c r="AC123" i="27"/>
  <c r="B123" i="27" s="1"/>
  <c r="AB123" i="27"/>
  <c r="AA123" i="27"/>
  <c r="AC122" i="27"/>
  <c r="B122" i="27" s="1"/>
  <c r="AB122" i="27"/>
  <c r="AA122" i="27"/>
  <c r="AC121" i="27"/>
  <c r="B121" i="27" s="1"/>
  <c r="AB121" i="27"/>
  <c r="AA121" i="27"/>
  <c r="AC120" i="27"/>
  <c r="B120" i="27" s="1"/>
  <c r="AB120" i="27"/>
  <c r="AA120" i="27"/>
  <c r="AC119" i="27"/>
  <c r="B119" i="27" s="1"/>
  <c r="AB119" i="27"/>
  <c r="AA119" i="27"/>
  <c r="AC118" i="27"/>
  <c r="B118" i="27" s="1"/>
  <c r="AB118" i="27"/>
  <c r="AA118" i="27"/>
  <c r="AC117" i="27"/>
  <c r="B117" i="27" s="1"/>
  <c r="AB117" i="27"/>
  <c r="AA117" i="27"/>
  <c r="AC116" i="27"/>
  <c r="B116" i="27" s="1"/>
  <c r="AB116" i="27"/>
  <c r="AA116" i="27"/>
  <c r="AC115" i="27"/>
  <c r="AB115" i="27"/>
  <c r="AA115" i="27"/>
  <c r="B115" i="27"/>
  <c r="AC114" i="27"/>
  <c r="B114" i="27" s="1"/>
  <c r="AB114" i="27"/>
  <c r="AA114" i="27"/>
  <c r="AC113" i="27"/>
  <c r="B113" i="27" s="1"/>
  <c r="AB113" i="27"/>
  <c r="AA113" i="27"/>
  <c r="AC112" i="27"/>
  <c r="B112" i="27" s="1"/>
  <c r="AB112" i="27"/>
  <c r="AA112" i="27"/>
  <c r="AC111" i="27"/>
  <c r="B111" i="27" s="1"/>
  <c r="AB111" i="27"/>
  <c r="AA111" i="27"/>
  <c r="AC110" i="27"/>
  <c r="B110" i="27" s="1"/>
  <c r="AB110" i="27"/>
  <c r="AA110" i="27"/>
  <c r="AC109" i="27"/>
  <c r="B109" i="27" s="1"/>
  <c r="AB109" i="27"/>
  <c r="AA109" i="27"/>
  <c r="AC108" i="27"/>
  <c r="B108" i="27" s="1"/>
  <c r="AB108" i="27"/>
  <c r="AA108" i="27"/>
  <c r="AC107" i="27"/>
  <c r="B107" i="27" s="1"/>
  <c r="AB107" i="27"/>
  <c r="AA107" i="27"/>
  <c r="AC106" i="27"/>
  <c r="B106" i="27" s="1"/>
  <c r="AB106" i="27"/>
  <c r="AA106" i="27"/>
  <c r="AC105" i="27"/>
  <c r="AB105" i="27"/>
  <c r="AA105" i="27"/>
  <c r="B105" i="27"/>
  <c r="AC104" i="27"/>
  <c r="B104" i="27" s="1"/>
  <c r="AB104" i="27"/>
  <c r="AA104" i="27"/>
  <c r="AC103" i="27"/>
  <c r="B103" i="27" s="1"/>
  <c r="AB103" i="27"/>
  <c r="AA103" i="27"/>
  <c r="AC102" i="27"/>
  <c r="B102" i="27" s="1"/>
  <c r="AB102" i="27"/>
  <c r="AA102" i="27"/>
  <c r="AC101" i="27"/>
  <c r="B101" i="27" s="1"/>
  <c r="AB101" i="27"/>
  <c r="AA101" i="27"/>
  <c r="AC100" i="27"/>
  <c r="B100" i="27" s="1"/>
  <c r="AB100" i="27"/>
  <c r="AA100" i="27"/>
  <c r="AC99" i="27"/>
  <c r="B99" i="27" s="1"/>
  <c r="AB99" i="27"/>
  <c r="AA99" i="27"/>
  <c r="AC98" i="27"/>
  <c r="B98" i="27" s="1"/>
  <c r="AB98" i="27"/>
  <c r="AA98" i="27"/>
  <c r="AC97" i="27"/>
  <c r="AB97" i="27"/>
  <c r="AA97" i="27"/>
  <c r="B97" i="27"/>
  <c r="AC96" i="27"/>
  <c r="B96" i="27" s="1"/>
  <c r="AB96" i="27"/>
  <c r="AA96" i="27"/>
  <c r="AC95" i="27"/>
  <c r="AC94" i="27"/>
  <c r="B94" i="27" s="1"/>
  <c r="AB94" i="27"/>
  <c r="AA94" i="27"/>
  <c r="AC93" i="27"/>
  <c r="B93" i="27" s="1"/>
  <c r="AB93" i="27"/>
  <c r="AA93" i="27"/>
  <c r="AC92" i="27"/>
  <c r="B92" i="27" s="1"/>
  <c r="AB92" i="27"/>
  <c r="AA92" i="27"/>
  <c r="AC91" i="27"/>
  <c r="B91" i="27" s="1"/>
  <c r="AB91" i="27"/>
  <c r="AA91" i="27"/>
  <c r="AC90" i="27"/>
  <c r="B90" i="27" s="1"/>
  <c r="AB90" i="27"/>
  <c r="AA90" i="27"/>
  <c r="AC89" i="27"/>
  <c r="AB89" i="27"/>
  <c r="AA89" i="27"/>
  <c r="B89" i="27"/>
  <c r="AC88" i="27"/>
  <c r="B88" i="27" s="1"/>
  <c r="AB88" i="27"/>
  <c r="AA88" i="27"/>
  <c r="AC87" i="27"/>
  <c r="AC86" i="27"/>
  <c r="B86" i="27" s="1"/>
  <c r="AB86" i="27"/>
  <c r="AA86" i="27"/>
  <c r="AC85" i="27"/>
  <c r="B85" i="27" s="1"/>
  <c r="AB85" i="27"/>
  <c r="AA85" i="27"/>
  <c r="AC84" i="27"/>
  <c r="B84" i="27" s="1"/>
  <c r="AB84" i="27"/>
  <c r="AA84" i="27"/>
  <c r="AC83" i="27"/>
  <c r="B83" i="27" s="1"/>
  <c r="AB83" i="27"/>
  <c r="AA83" i="27"/>
  <c r="AC82" i="27"/>
  <c r="B82" i="27" s="1"/>
  <c r="AB82" i="27"/>
  <c r="AA82" i="27"/>
  <c r="AC81" i="27"/>
  <c r="AB81" i="27"/>
  <c r="AA81" i="27"/>
  <c r="B81" i="27"/>
  <c r="AC80" i="27"/>
  <c r="B80" i="27" s="1"/>
  <c r="AB80" i="27"/>
  <c r="AA80" i="27"/>
  <c r="AC79" i="27"/>
  <c r="B79" i="27" s="1"/>
  <c r="AB79" i="27"/>
  <c r="AA79" i="27"/>
  <c r="AC78" i="27"/>
  <c r="B78" i="27" s="1"/>
  <c r="AB78" i="27"/>
  <c r="AA78" i="27"/>
  <c r="AC77" i="27"/>
  <c r="B77" i="27" s="1"/>
  <c r="AB77" i="27"/>
  <c r="AA77" i="27"/>
  <c r="AC76" i="27"/>
  <c r="B76" i="27" s="1"/>
  <c r="AB76" i="27"/>
  <c r="AA76" i="27"/>
  <c r="AC75" i="27"/>
  <c r="AC74" i="27"/>
  <c r="B74" i="27" s="1"/>
  <c r="AB74" i="27"/>
  <c r="AA74" i="27"/>
  <c r="AC73" i="27"/>
  <c r="B73" i="27" s="1"/>
  <c r="AB73" i="27"/>
  <c r="AA73" i="27"/>
  <c r="AC72" i="27"/>
  <c r="B72" i="27" s="1"/>
  <c r="AB72" i="27"/>
  <c r="AA72" i="27"/>
  <c r="AC71" i="27"/>
  <c r="B71" i="27" s="1"/>
  <c r="AB71" i="27"/>
  <c r="AA71" i="27"/>
  <c r="AC70" i="27"/>
  <c r="B70" i="27" s="1"/>
  <c r="AB70" i="27"/>
  <c r="AA70" i="27"/>
  <c r="AC69" i="27"/>
  <c r="B69" i="27" s="1"/>
  <c r="AB69" i="27"/>
  <c r="AA69" i="27"/>
  <c r="AC68" i="27"/>
  <c r="B68" i="27" s="1"/>
  <c r="AB68" i="27"/>
  <c r="AA68" i="27"/>
  <c r="AC67" i="27"/>
  <c r="B67" i="27" s="1"/>
  <c r="AB67" i="27"/>
  <c r="AA67" i="27"/>
  <c r="AC66" i="27"/>
  <c r="B66" i="27" s="1"/>
  <c r="AB66" i="27"/>
  <c r="AA66" i="27"/>
  <c r="AC65" i="27"/>
  <c r="B65" i="27" s="1"/>
  <c r="AB65" i="27"/>
  <c r="AA65" i="27"/>
  <c r="AC64" i="27"/>
  <c r="B64" i="27" s="1"/>
  <c r="AB64" i="27"/>
  <c r="AA64" i="27"/>
  <c r="AC63" i="27"/>
  <c r="AB63" i="27"/>
  <c r="AA63" i="27"/>
  <c r="B63" i="27"/>
  <c r="AC62" i="27"/>
  <c r="B62" i="27" s="1"/>
  <c r="AB62" i="27"/>
  <c r="AA62" i="27"/>
  <c r="AC61" i="27"/>
  <c r="AC60" i="27"/>
  <c r="B60" i="27" s="1"/>
  <c r="AB60" i="27"/>
  <c r="AA60" i="27"/>
  <c r="AC59" i="27"/>
  <c r="B59" i="27" s="1"/>
  <c r="AB59" i="27"/>
  <c r="AA59" i="27"/>
  <c r="AC58" i="27"/>
  <c r="B58" i="27" s="1"/>
  <c r="AB58" i="27"/>
  <c r="AA58" i="27"/>
  <c r="AC57" i="27"/>
  <c r="B57" i="27" s="1"/>
  <c r="AB57" i="27"/>
  <c r="AA57" i="27"/>
  <c r="AC56" i="27"/>
  <c r="B56" i="27" s="1"/>
  <c r="AB56" i="27"/>
  <c r="AA56" i="27"/>
  <c r="AC55" i="27"/>
  <c r="B55" i="27" s="1"/>
  <c r="AB55" i="27"/>
  <c r="AA55" i="27"/>
  <c r="AC54" i="27"/>
  <c r="B54" i="27" s="1"/>
  <c r="AB54" i="27"/>
  <c r="AA54" i="27"/>
  <c r="AC53" i="27"/>
  <c r="B53" i="27" s="1"/>
  <c r="AB53" i="27"/>
  <c r="AA53" i="27"/>
  <c r="AC52" i="27"/>
  <c r="B52" i="27" s="1"/>
  <c r="AB52" i="27"/>
  <c r="AA52" i="27"/>
  <c r="AC51" i="27"/>
  <c r="AB51" i="27"/>
  <c r="AA51" i="27"/>
  <c r="B51" i="27"/>
  <c r="AC50" i="27"/>
  <c r="B50" i="27" s="1"/>
  <c r="AB50" i="27"/>
  <c r="AA50" i="27"/>
  <c r="AC49" i="27"/>
  <c r="B49" i="27" s="1"/>
  <c r="AB49" i="27"/>
  <c r="AA49" i="27"/>
  <c r="AC48" i="27"/>
  <c r="AC47" i="27"/>
  <c r="B47" i="27" s="1"/>
  <c r="AB47" i="27"/>
  <c r="AA47" i="27"/>
  <c r="AC46" i="27"/>
  <c r="B46" i="27" s="1"/>
  <c r="AB46" i="27"/>
  <c r="AA46" i="27"/>
  <c r="AC45" i="27"/>
  <c r="B45" i="27" s="1"/>
  <c r="AB45" i="27"/>
  <c r="AA45" i="27"/>
  <c r="AC44" i="27"/>
  <c r="B44" i="27" s="1"/>
  <c r="AB44" i="27"/>
  <c r="AA44" i="27"/>
  <c r="AC43" i="27"/>
  <c r="B43" i="27" s="1"/>
  <c r="AB43" i="27"/>
  <c r="AA43" i="27"/>
  <c r="AC42" i="27"/>
  <c r="B42" i="27" s="1"/>
  <c r="AB42" i="27"/>
  <c r="AA42" i="27"/>
  <c r="AC41" i="27"/>
  <c r="AB41" i="27"/>
  <c r="AA41" i="27"/>
  <c r="B41" i="27"/>
  <c r="AC40" i="27"/>
  <c r="B40" i="27" s="1"/>
  <c r="AB40" i="27"/>
  <c r="AA40" i="27"/>
  <c r="AC39" i="27"/>
  <c r="B39" i="27" s="1"/>
  <c r="AB39" i="27"/>
  <c r="AA39" i="27"/>
  <c r="AC38" i="27"/>
  <c r="B38" i="27" s="1"/>
  <c r="AB38" i="27"/>
  <c r="AA38" i="27"/>
  <c r="AC37" i="27"/>
  <c r="B37" i="27" s="1"/>
  <c r="AB37" i="27"/>
  <c r="AA37" i="27"/>
  <c r="AC36" i="27"/>
  <c r="B36" i="27" s="1"/>
  <c r="AB36" i="27"/>
  <c r="AA36" i="27"/>
  <c r="AC35" i="27"/>
  <c r="B35" i="27" s="1"/>
  <c r="AB35" i="27"/>
  <c r="AA35" i="27"/>
  <c r="AC34" i="27"/>
  <c r="B34" i="27" s="1"/>
  <c r="AB34" i="27"/>
  <c r="AA34" i="27"/>
  <c r="AC33" i="27"/>
  <c r="B33" i="27" s="1"/>
  <c r="AB33" i="27"/>
  <c r="AA33" i="27"/>
  <c r="AC32" i="27"/>
  <c r="B32" i="27" s="1"/>
  <c r="AB32" i="27"/>
  <c r="AA32" i="27"/>
  <c r="AC31" i="27"/>
  <c r="B31" i="27" s="1"/>
  <c r="AB31" i="27"/>
  <c r="AA31" i="27"/>
  <c r="AC30" i="27"/>
  <c r="B30" i="27" s="1"/>
  <c r="AB30" i="27"/>
  <c r="AA30" i="27"/>
  <c r="AC29" i="27"/>
  <c r="AB29" i="27"/>
  <c r="AA29" i="27"/>
  <c r="B29" i="27"/>
  <c r="AC28" i="27"/>
  <c r="B28" i="27" s="1"/>
  <c r="AB28" i="27"/>
  <c r="AA28" i="27"/>
  <c r="AC27" i="27"/>
  <c r="B27" i="27" s="1"/>
  <c r="AB27" i="27"/>
  <c r="AA27" i="27"/>
  <c r="AC26" i="27"/>
  <c r="B26" i="27" s="1"/>
  <c r="AB26" i="27"/>
  <c r="AA26" i="27"/>
  <c r="AC25" i="27"/>
  <c r="B25" i="27" s="1"/>
  <c r="AB25" i="27"/>
  <c r="AA25" i="27"/>
  <c r="AC24" i="27"/>
  <c r="B24" i="27" s="1"/>
  <c r="AB24" i="27"/>
  <c r="AA24" i="27"/>
  <c r="AC23" i="27"/>
  <c r="B23" i="27" s="1"/>
  <c r="AB23" i="27"/>
  <c r="AA23" i="27"/>
  <c r="AC22" i="27"/>
  <c r="B22" i="27" s="1"/>
  <c r="AB22" i="27"/>
  <c r="AA22" i="27"/>
  <c r="AC21" i="27"/>
  <c r="B21" i="27" s="1"/>
  <c r="AB21" i="27"/>
  <c r="AA21" i="27"/>
  <c r="AC20" i="27"/>
  <c r="B20" i="27" s="1"/>
  <c r="AB20" i="27"/>
  <c r="AA20" i="27"/>
  <c r="AC19" i="27"/>
  <c r="B19" i="27" s="1"/>
  <c r="AB19" i="27"/>
  <c r="AA19" i="27"/>
  <c r="AC18" i="27"/>
  <c r="B18" i="27" s="1"/>
  <c r="AB18" i="27"/>
  <c r="AA18" i="27"/>
  <c r="AC17" i="27"/>
  <c r="AC16" i="27"/>
  <c r="B16" i="27" s="1"/>
  <c r="AB16" i="27"/>
  <c r="AA16" i="27"/>
  <c r="AC15" i="27"/>
  <c r="B15" i="27" s="1"/>
  <c r="AB15" i="27"/>
  <c r="AA15" i="27"/>
  <c r="AC14" i="27"/>
  <c r="B14" i="27" s="1"/>
  <c r="AB14" i="27"/>
  <c r="AA14" i="27"/>
  <c r="AC13" i="27"/>
  <c r="B13" i="27" s="1"/>
  <c r="AB13" i="27"/>
  <c r="AA13" i="27"/>
  <c r="AC12" i="27"/>
  <c r="B12" i="27" s="1"/>
  <c r="AB12" i="27"/>
  <c r="AA12" i="27"/>
  <c r="AC11" i="27"/>
  <c r="B11" i="27" s="1"/>
  <c r="AB11" i="27"/>
  <c r="AA11" i="27"/>
  <c r="AC10" i="27"/>
  <c r="B10" i="27" s="1"/>
  <c r="AB10" i="27"/>
  <c r="AA10" i="27"/>
  <c r="AC9" i="27"/>
  <c r="AC8" i="27"/>
  <c r="B8" i="27" s="1"/>
  <c r="AB8" i="27"/>
  <c r="AA8" i="27"/>
  <c r="AC7" i="27"/>
  <c r="B7" i="27" s="1"/>
  <c r="AB7" i="27"/>
  <c r="AA7" i="27"/>
  <c r="AC6" i="27"/>
  <c r="B6" i="27" s="1"/>
  <c r="AB6" i="27"/>
  <c r="AA6" i="27"/>
  <c r="AC5" i="27"/>
  <c r="B5" i="27" s="1"/>
  <c r="AB5" i="27"/>
  <c r="AA5" i="27"/>
  <c r="AC4" i="27"/>
  <c r="B4" i="27" s="1"/>
  <c r="AB4" i="27"/>
  <c r="AA4" i="27"/>
  <c r="AC3" i="27"/>
  <c r="AC2" i="27"/>
  <c r="AC224" i="26"/>
  <c r="B224" i="26" s="1"/>
  <c r="AB224" i="26"/>
  <c r="AA224" i="26"/>
  <c r="AC223" i="26"/>
  <c r="B223" i="26" s="1"/>
  <c r="AB223" i="26"/>
  <c r="AA223" i="26"/>
  <c r="AC222" i="26"/>
  <c r="B222" i="26" s="1"/>
  <c r="AB222" i="26"/>
  <c r="AA222" i="26"/>
  <c r="AC221" i="26"/>
  <c r="B221" i="26" s="1"/>
  <c r="AB221" i="26"/>
  <c r="AA221" i="26"/>
  <c r="AC220" i="26"/>
  <c r="B220" i="26" s="1"/>
  <c r="AB220" i="26"/>
  <c r="AA220" i="26"/>
  <c r="AC219" i="26"/>
  <c r="AC218" i="26"/>
  <c r="B218" i="26" s="1"/>
  <c r="AB218" i="26"/>
  <c r="AA218" i="26"/>
  <c r="AC217" i="26"/>
  <c r="B217" i="26" s="1"/>
  <c r="AB217" i="26"/>
  <c r="AA217" i="26"/>
  <c r="AC216" i="26"/>
  <c r="B216" i="26" s="1"/>
  <c r="AB216" i="26"/>
  <c r="AA216" i="26"/>
  <c r="AC215" i="26"/>
  <c r="B215" i="26" s="1"/>
  <c r="AB215" i="26"/>
  <c r="AA215" i="26"/>
  <c r="AC214" i="26"/>
  <c r="B214" i="26" s="1"/>
  <c r="AB214" i="26"/>
  <c r="AA214" i="26"/>
  <c r="AC213" i="26"/>
  <c r="B213" i="26" s="1"/>
  <c r="AB213" i="26"/>
  <c r="AA213" i="26"/>
  <c r="AC212" i="26"/>
  <c r="B212" i="26" s="1"/>
  <c r="AB212" i="26"/>
  <c r="AA212" i="26"/>
  <c r="AC211" i="26"/>
  <c r="B211" i="26" s="1"/>
  <c r="AB211" i="26"/>
  <c r="AA211" i="26"/>
  <c r="AC210" i="26"/>
  <c r="B210" i="26" s="1"/>
  <c r="AB210" i="26"/>
  <c r="AA210" i="26"/>
  <c r="AC209" i="26"/>
  <c r="B209" i="26" s="1"/>
  <c r="AB209" i="26"/>
  <c r="AA209" i="26"/>
  <c r="AC208" i="26"/>
  <c r="B208" i="26" s="1"/>
  <c r="AB208" i="26"/>
  <c r="AA208" i="26"/>
  <c r="AC207" i="26"/>
  <c r="AC206" i="26"/>
  <c r="B206" i="26" s="1"/>
  <c r="AB206" i="26"/>
  <c r="AA206" i="26"/>
  <c r="AC205" i="26"/>
  <c r="B205" i="26" s="1"/>
  <c r="AB205" i="26"/>
  <c r="AA205" i="26"/>
  <c r="AC204" i="26"/>
  <c r="B204" i="26" s="1"/>
  <c r="AB204" i="26"/>
  <c r="AA204" i="26"/>
  <c r="AC203" i="26"/>
  <c r="B203" i="26" s="1"/>
  <c r="AB203" i="26"/>
  <c r="AA203" i="26"/>
  <c r="AC202" i="26"/>
  <c r="B202" i="26" s="1"/>
  <c r="AB202" i="26"/>
  <c r="AA202" i="26"/>
  <c r="AC201" i="26"/>
  <c r="B201" i="26" s="1"/>
  <c r="AB201" i="26"/>
  <c r="AA201" i="26"/>
  <c r="AC200" i="26"/>
  <c r="B200" i="26" s="1"/>
  <c r="AB200" i="26"/>
  <c r="AA200" i="26"/>
  <c r="AC199" i="26"/>
  <c r="B199" i="26" s="1"/>
  <c r="AB199" i="26"/>
  <c r="AA199" i="26"/>
  <c r="AC198" i="26"/>
  <c r="B198" i="26" s="1"/>
  <c r="AB198" i="26"/>
  <c r="AA198" i="26"/>
  <c r="AC197" i="26"/>
  <c r="B197" i="26" s="1"/>
  <c r="AB197" i="26"/>
  <c r="AA197" i="26"/>
  <c r="AC196" i="26"/>
  <c r="B196" i="26" s="1"/>
  <c r="AB196" i="26"/>
  <c r="AA196" i="26"/>
  <c r="AC195" i="26"/>
  <c r="B195" i="26" s="1"/>
  <c r="AB195" i="26"/>
  <c r="AA195" i="26"/>
  <c r="AC194" i="26"/>
  <c r="B194" i="26" s="1"/>
  <c r="AB194" i="26"/>
  <c r="AA194" i="26"/>
  <c r="AC193" i="26"/>
  <c r="B193" i="26" s="1"/>
  <c r="AB193" i="26"/>
  <c r="AA193" i="26"/>
  <c r="AC192" i="26"/>
  <c r="AC191" i="26"/>
  <c r="B191" i="26" s="1"/>
  <c r="AB191" i="26"/>
  <c r="AA191" i="26"/>
  <c r="AC190" i="26"/>
  <c r="B190" i="26" s="1"/>
  <c r="AB190" i="26"/>
  <c r="AA190" i="26"/>
  <c r="AC189" i="26"/>
  <c r="B189" i="26" s="1"/>
  <c r="AB189" i="26"/>
  <c r="AA189" i="26"/>
  <c r="AC188" i="26"/>
  <c r="B188" i="26" s="1"/>
  <c r="AB188" i="26"/>
  <c r="AA188" i="26"/>
  <c r="AC187" i="26"/>
  <c r="B187" i="26" s="1"/>
  <c r="AB187" i="26"/>
  <c r="AA187" i="26"/>
  <c r="AC186" i="26"/>
  <c r="B186" i="26" s="1"/>
  <c r="AB186" i="26"/>
  <c r="AA186" i="26"/>
  <c r="AC185" i="26"/>
  <c r="B185" i="26" s="1"/>
  <c r="AB185" i="26"/>
  <c r="AA185" i="26"/>
  <c r="AC184" i="26"/>
  <c r="AC183" i="26"/>
  <c r="B183" i="26" s="1"/>
  <c r="AB183" i="26"/>
  <c r="AA183" i="26"/>
  <c r="AC182" i="26"/>
  <c r="B182" i="26" s="1"/>
  <c r="AB182" i="26"/>
  <c r="AA182" i="26"/>
  <c r="AC181" i="26"/>
  <c r="B181" i="26" s="1"/>
  <c r="AB181" i="26"/>
  <c r="AA181" i="26"/>
  <c r="AC180" i="26"/>
  <c r="B180" i="26" s="1"/>
  <c r="AB180" i="26"/>
  <c r="AA180" i="26"/>
  <c r="AC179" i="26"/>
  <c r="B179" i="26" s="1"/>
  <c r="AB179" i="26"/>
  <c r="AA179" i="26"/>
  <c r="AC178" i="26"/>
  <c r="B178" i="26" s="1"/>
  <c r="AB178" i="26"/>
  <c r="AA178" i="26"/>
  <c r="AC177" i="26"/>
  <c r="B177" i="26" s="1"/>
  <c r="AB177" i="26"/>
  <c r="AA177" i="26"/>
  <c r="AC176" i="26"/>
  <c r="B176" i="26" s="1"/>
  <c r="AB176" i="26"/>
  <c r="AA176" i="26"/>
  <c r="AC175" i="26"/>
  <c r="B175" i="26" s="1"/>
  <c r="AB175" i="26"/>
  <c r="AA175" i="26"/>
  <c r="AC174" i="26"/>
  <c r="AC173" i="26"/>
  <c r="B173" i="26" s="1"/>
  <c r="AB173" i="26"/>
  <c r="AA173" i="26"/>
  <c r="AC172" i="26"/>
  <c r="B172" i="26" s="1"/>
  <c r="AB172" i="26"/>
  <c r="AA172" i="26"/>
  <c r="AC171" i="26"/>
  <c r="B171" i="26" s="1"/>
  <c r="AB171" i="26"/>
  <c r="AA171" i="26"/>
  <c r="AC170" i="26"/>
  <c r="B170" i="26" s="1"/>
  <c r="AB170" i="26"/>
  <c r="AA170" i="26"/>
  <c r="AC169" i="26"/>
  <c r="B169" i="26" s="1"/>
  <c r="AB169" i="26"/>
  <c r="AA169" i="26"/>
  <c r="AC168" i="26"/>
  <c r="B168" i="26" s="1"/>
  <c r="AB168" i="26"/>
  <c r="AA168" i="26"/>
  <c r="AC167" i="26"/>
  <c r="B167" i="26" s="1"/>
  <c r="AB167" i="26"/>
  <c r="AA167" i="26"/>
  <c r="AC166" i="26"/>
  <c r="B166" i="26" s="1"/>
  <c r="AB166" i="26"/>
  <c r="AA166" i="26"/>
  <c r="AC165" i="26"/>
  <c r="B165" i="26" s="1"/>
  <c r="AB165" i="26"/>
  <c r="AA165" i="26"/>
  <c r="AC164" i="26"/>
  <c r="B164" i="26" s="1"/>
  <c r="AB164" i="26"/>
  <c r="AA164" i="26"/>
  <c r="AC163" i="26"/>
  <c r="B163" i="26" s="1"/>
  <c r="AB163" i="26"/>
  <c r="AA163" i="26"/>
  <c r="AC162" i="26"/>
  <c r="B162" i="26" s="1"/>
  <c r="AB162" i="26"/>
  <c r="AA162" i="26"/>
  <c r="AC161" i="26"/>
  <c r="B161" i="26" s="1"/>
  <c r="AB161" i="26"/>
  <c r="AA161" i="26"/>
  <c r="AC160" i="26"/>
  <c r="AC159" i="26"/>
  <c r="B159" i="26" s="1"/>
  <c r="AB159" i="26"/>
  <c r="AA159" i="26"/>
  <c r="AC158" i="26"/>
  <c r="B158" i="26" s="1"/>
  <c r="AB158" i="26"/>
  <c r="AA158" i="26"/>
  <c r="AC157" i="26"/>
  <c r="B157" i="26" s="1"/>
  <c r="AB157" i="26"/>
  <c r="AA157" i="26"/>
  <c r="AC156" i="26"/>
  <c r="B156" i="26" s="1"/>
  <c r="AB156" i="26"/>
  <c r="AA156" i="26"/>
  <c r="AC155" i="26"/>
  <c r="B155" i="26" s="1"/>
  <c r="AB155" i="26"/>
  <c r="AA155" i="26"/>
  <c r="AC154" i="26"/>
  <c r="B154" i="26" s="1"/>
  <c r="AB154" i="26"/>
  <c r="AA154" i="26"/>
  <c r="AC153" i="26"/>
  <c r="B153" i="26" s="1"/>
  <c r="AB153" i="26"/>
  <c r="AA153" i="26"/>
  <c r="AC152" i="26"/>
  <c r="B152" i="26" s="1"/>
  <c r="AB152" i="26"/>
  <c r="AA152" i="26"/>
  <c r="AC151" i="26"/>
  <c r="AC150" i="26"/>
  <c r="B150" i="26" s="1"/>
  <c r="AB150" i="26"/>
  <c r="AA150" i="26"/>
  <c r="AC149" i="26"/>
  <c r="B149" i="26" s="1"/>
  <c r="AB149" i="26"/>
  <c r="AA149" i="26"/>
  <c r="AC148" i="26"/>
  <c r="B148" i="26" s="1"/>
  <c r="AB148" i="26"/>
  <c r="AA148" i="26"/>
  <c r="AC147" i="26"/>
  <c r="B147" i="26" s="1"/>
  <c r="AB147" i="26"/>
  <c r="AA147" i="26"/>
  <c r="AC146" i="26"/>
  <c r="B146" i="26" s="1"/>
  <c r="AB146" i="26"/>
  <c r="AA146" i="26"/>
  <c r="AC145" i="26"/>
  <c r="AC144" i="26"/>
  <c r="B144" i="26" s="1"/>
  <c r="AB144" i="26"/>
  <c r="AA144" i="26"/>
  <c r="AC143" i="26"/>
  <c r="B143" i="26" s="1"/>
  <c r="AB143" i="26"/>
  <c r="AA143" i="26"/>
  <c r="AC142" i="26"/>
  <c r="B142" i="26" s="1"/>
  <c r="AB142" i="26"/>
  <c r="AA142" i="26"/>
  <c r="AC141" i="26"/>
  <c r="B141" i="26" s="1"/>
  <c r="AB141" i="26"/>
  <c r="AA141" i="26"/>
  <c r="AC140" i="26"/>
  <c r="B140" i="26" s="1"/>
  <c r="AB140" i="26"/>
  <c r="AA140" i="26"/>
  <c r="AC139" i="26"/>
  <c r="B139" i="26" s="1"/>
  <c r="AB139" i="26"/>
  <c r="AA139" i="26"/>
  <c r="AC138" i="26"/>
  <c r="B138" i="26" s="1"/>
  <c r="AB138" i="26"/>
  <c r="AA138" i="26"/>
  <c r="AC137" i="26"/>
  <c r="AC136" i="26"/>
  <c r="B136" i="26" s="1"/>
  <c r="AB136" i="26"/>
  <c r="AA136" i="26"/>
  <c r="AC135" i="26"/>
  <c r="B135" i="26" s="1"/>
  <c r="AB135" i="26"/>
  <c r="AA135" i="26"/>
  <c r="AC134" i="26"/>
  <c r="B134" i="26" s="1"/>
  <c r="AB134" i="26"/>
  <c r="AA134" i="26"/>
  <c r="AC133" i="26"/>
  <c r="B133" i="26" s="1"/>
  <c r="AB133" i="26"/>
  <c r="AA133" i="26"/>
  <c r="AC132" i="26"/>
  <c r="B132" i="26" s="1"/>
  <c r="AB132" i="26"/>
  <c r="AA132" i="26"/>
  <c r="AC131" i="26"/>
  <c r="B131" i="26" s="1"/>
  <c r="AB131" i="26"/>
  <c r="AA131" i="26"/>
  <c r="AC130" i="26"/>
  <c r="B130" i="26" s="1"/>
  <c r="AB130" i="26"/>
  <c r="AA130" i="26"/>
  <c r="AC129" i="26"/>
  <c r="AC128" i="26"/>
  <c r="B128" i="26" s="1"/>
  <c r="AB128" i="26"/>
  <c r="AA128" i="26"/>
  <c r="AC127" i="26"/>
  <c r="B127" i="26" s="1"/>
  <c r="AB127" i="26"/>
  <c r="AA127" i="26"/>
  <c r="AC126" i="26"/>
  <c r="B126" i="26" s="1"/>
  <c r="AB126" i="26"/>
  <c r="AA126" i="26"/>
  <c r="AC125" i="26"/>
  <c r="B125" i="26" s="1"/>
  <c r="AB125" i="26"/>
  <c r="AA125" i="26"/>
  <c r="AC124" i="26"/>
  <c r="B124" i="26" s="1"/>
  <c r="AB124" i="26"/>
  <c r="AA124" i="26"/>
  <c r="AC123" i="26"/>
  <c r="B123" i="26" s="1"/>
  <c r="AB123" i="26"/>
  <c r="AA123" i="26"/>
  <c r="AC122" i="26"/>
  <c r="B122" i="26" s="1"/>
  <c r="AB122" i="26"/>
  <c r="AA122" i="26"/>
  <c r="AC121" i="26"/>
  <c r="B121" i="26" s="1"/>
  <c r="AB121" i="26"/>
  <c r="AA121" i="26"/>
  <c r="AC120" i="26"/>
  <c r="B120" i="26" s="1"/>
  <c r="AB120" i="26"/>
  <c r="AA120" i="26"/>
  <c r="AC119" i="26"/>
  <c r="B119" i="26" s="1"/>
  <c r="AB119" i="26"/>
  <c r="AA119" i="26"/>
  <c r="AC118" i="26"/>
  <c r="B118" i="26" s="1"/>
  <c r="AB118" i="26"/>
  <c r="AA118" i="26"/>
  <c r="AC117" i="26"/>
  <c r="B117" i="26" s="1"/>
  <c r="AB117" i="26"/>
  <c r="AA117" i="26"/>
  <c r="AC116" i="26"/>
  <c r="B116" i="26" s="1"/>
  <c r="AB116" i="26"/>
  <c r="AA116" i="26"/>
  <c r="AC115" i="26"/>
  <c r="B115" i="26" s="1"/>
  <c r="AB115" i="26"/>
  <c r="AA115" i="26"/>
  <c r="AC114" i="26"/>
  <c r="B114" i="26" s="1"/>
  <c r="AB114" i="26"/>
  <c r="AA114" i="26"/>
  <c r="AC113" i="26"/>
  <c r="B113" i="26" s="1"/>
  <c r="AB113" i="26"/>
  <c r="AA113" i="26"/>
  <c r="AC112" i="26"/>
  <c r="B112" i="26" s="1"/>
  <c r="AB112" i="26"/>
  <c r="AA112" i="26"/>
  <c r="AC111" i="26"/>
  <c r="B111" i="26" s="1"/>
  <c r="AB111" i="26"/>
  <c r="AA111" i="26"/>
  <c r="AC110" i="26"/>
  <c r="B110" i="26" s="1"/>
  <c r="AB110" i="26"/>
  <c r="AA110" i="26"/>
  <c r="AC109" i="26"/>
  <c r="B109" i="26" s="1"/>
  <c r="AB109" i="26"/>
  <c r="AA109" i="26"/>
  <c r="AC108" i="26"/>
  <c r="B108" i="26" s="1"/>
  <c r="AB108" i="26"/>
  <c r="AA108" i="26"/>
  <c r="AC107" i="26"/>
  <c r="B107" i="26" s="1"/>
  <c r="AB107" i="26"/>
  <c r="AA107" i="26"/>
  <c r="AC106" i="26"/>
  <c r="B106" i="26" s="1"/>
  <c r="AB106" i="26"/>
  <c r="AA106" i="26"/>
  <c r="AC105" i="26"/>
  <c r="B105" i="26" s="1"/>
  <c r="AB105" i="26"/>
  <c r="AA105" i="26"/>
  <c r="AC104" i="26"/>
  <c r="B104" i="26" s="1"/>
  <c r="AB104" i="26"/>
  <c r="AA104" i="26"/>
  <c r="AC103" i="26"/>
  <c r="B103" i="26" s="1"/>
  <c r="AB103" i="26"/>
  <c r="AA103" i="26"/>
  <c r="AC102" i="26"/>
  <c r="B102" i="26" s="1"/>
  <c r="AB102" i="26"/>
  <c r="AA102" i="26"/>
  <c r="AC101" i="26"/>
  <c r="B101" i="26" s="1"/>
  <c r="AB101" i="26"/>
  <c r="AA101" i="26"/>
  <c r="AC100" i="26"/>
  <c r="B100" i="26" s="1"/>
  <c r="AB100" i="26"/>
  <c r="AA100" i="26"/>
  <c r="AC99" i="26"/>
  <c r="B99" i="26" s="1"/>
  <c r="AB99" i="26"/>
  <c r="AA99" i="26"/>
  <c r="AC98" i="26"/>
  <c r="B98" i="26" s="1"/>
  <c r="AB98" i="26"/>
  <c r="AA98" i="26"/>
  <c r="AC97" i="26"/>
  <c r="B97" i="26" s="1"/>
  <c r="AB97" i="26"/>
  <c r="AA97" i="26"/>
  <c r="AC96" i="26"/>
  <c r="B96" i="26" s="1"/>
  <c r="AB96" i="26"/>
  <c r="AA96" i="26"/>
  <c r="AC95" i="26"/>
  <c r="AC94" i="26"/>
  <c r="B94" i="26" s="1"/>
  <c r="AB94" i="26"/>
  <c r="AA94" i="26"/>
  <c r="AC93" i="26"/>
  <c r="B93" i="26" s="1"/>
  <c r="AB93" i="26"/>
  <c r="AA93" i="26"/>
  <c r="AC92" i="26"/>
  <c r="B92" i="26" s="1"/>
  <c r="AB92" i="26"/>
  <c r="AA92" i="26"/>
  <c r="AC91" i="26"/>
  <c r="B91" i="26" s="1"/>
  <c r="AB91" i="26"/>
  <c r="AA91" i="26"/>
  <c r="AC90" i="26"/>
  <c r="B90" i="26" s="1"/>
  <c r="AB90" i="26"/>
  <c r="AA90" i="26"/>
  <c r="AC89" i="26"/>
  <c r="B89" i="26" s="1"/>
  <c r="AB89" i="26"/>
  <c r="AA89" i="26"/>
  <c r="AC88" i="26"/>
  <c r="B88" i="26" s="1"/>
  <c r="AB88" i="26"/>
  <c r="AA88" i="26"/>
  <c r="AC87" i="26"/>
  <c r="AC86" i="26"/>
  <c r="B86" i="26" s="1"/>
  <c r="AB86" i="26"/>
  <c r="AA86" i="26"/>
  <c r="AC85" i="26"/>
  <c r="B85" i="26" s="1"/>
  <c r="AB85" i="26"/>
  <c r="AA85" i="26"/>
  <c r="AC84" i="26"/>
  <c r="B84" i="26" s="1"/>
  <c r="AB84" i="26"/>
  <c r="AA84" i="26"/>
  <c r="AC83" i="26"/>
  <c r="B83" i="26" s="1"/>
  <c r="AB83" i="26"/>
  <c r="AA83" i="26"/>
  <c r="AC82" i="26"/>
  <c r="B82" i="26" s="1"/>
  <c r="AB82" i="26"/>
  <c r="AA82" i="26"/>
  <c r="AC81" i="26"/>
  <c r="B81" i="26" s="1"/>
  <c r="AB81" i="26"/>
  <c r="AA81" i="26"/>
  <c r="AC80" i="26"/>
  <c r="B80" i="26" s="1"/>
  <c r="AB80" i="26"/>
  <c r="AA80" i="26"/>
  <c r="AC79" i="26"/>
  <c r="B79" i="26" s="1"/>
  <c r="AB79" i="26"/>
  <c r="AA79" i="26"/>
  <c r="AC78" i="26"/>
  <c r="B78" i="26" s="1"/>
  <c r="AB78" i="26"/>
  <c r="AA78" i="26"/>
  <c r="AC77" i="26"/>
  <c r="B77" i="26" s="1"/>
  <c r="AB77" i="26"/>
  <c r="AA77" i="26"/>
  <c r="AC76" i="26"/>
  <c r="B76" i="26" s="1"/>
  <c r="AB76" i="26"/>
  <c r="AA76" i="26"/>
  <c r="AC75" i="26"/>
  <c r="AC74" i="26"/>
  <c r="B74" i="26" s="1"/>
  <c r="AB74" i="26"/>
  <c r="AA74" i="26"/>
  <c r="AC73" i="26"/>
  <c r="B73" i="26" s="1"/>
  <c r="AB73" i="26"/>
  <c r="AA73" i="26"/>
  <c r="AC72" i="26"/>
  <c r="B72" i="26" s="1"/>
  <c r="AB72" i="26"/>
  <c r="AA72" i="26"/>
  <c r="AC71" i="26"/>
  <c r="B71" i="26" s="1"/>
  <c r="AB71" i="26"/>
  <c r="AA71" i="26"/>
  <c r="AC70" i="26"/>
  <c r="B70" i="26" s="1"/>
  <c r="AB70" i="26"/>
  <c r="AA70" i="26"/>
  <c r="AC69" i="26"/>
  <c r="B69" i="26" s="1"/>
  <c r="AB69" i="26"/>
  <c r="AA69" i="26"/>
  <c r="AC68" i="26"/>
  <c r="B68" i="26" s="1"/>
  <c r="AB68" i="26"/>
  <c r="AA68" i="26"/>
  <c r="AC67" i="26"/>
  <c r="B67" i="26" s="1"/>
  <c r="AB67" i="26"/>
  <c r="AA67" i="26"/>
  <c r="AC66" i="26"/>
  <c r="B66" i="26" s="1"/>
  <c r="AB66" i="26"/>
  <c r="AA66" i="26"/>
  <c r="AC65" i="26"/>
  <c r="B65" i="26" s="1"/>
  <c r="AB65" i="26"/>
  <c r="AA65" i="26"/>
  <c r="AC64" i="26"/>
  <c r="B64" i="26" s="1"/>
  <c r="AB64" i="26"/>
  <c r="AA64" i="26"/>
  <c r="AC63" i="26"/>
  <c r="B63" i="26" s="1"/>
  <c r="AB63" i="26"/>
  <c r="AA63" i="26"/>
  <c r="AC62" i="26"/>
  <c r="B62" i="26" s="1"/>
  <c r="AB62" i="26"/>
  <c r="AA62" i="26"/>
  <c r="AC61" i="26"/>
  <c r="AC60" i="26"/>
  <c r="B60" i="26" s="1"/>
  <c r="AB60" i="26"/>
  <c r="AA60" i="26"/>
  <c r="AC59" i="26"/>
  <c r="B59" i="26" s="1"/>
  <c r="AB59" i="26"/>
  <c r="AA59" i="26"/>
  <c r="AC58" i="26"/>
  <c r="B58" i="26" s="1"/>
  <c r="AB58" i="26"/>
  <c r="AA58" i="26"/>
  <c r="AC57" i="26"/>
  <c r="B57" i="26" s="1"/>
  <c r="AB57" i="26"/>
  <c r="AA57" i="26"/>
  <c r="AC56" i="26"/>
  <c r="B56" i="26" s="1"/>
  <c r="AB56" i="26"/>
  <c r="AA56" i="26"/>
  <c r="AC55" i="26"/>
  <c r="B55" i="26" s="1"/>
  <c r="AB55" i="26"/>
  <c r="AA55" i="26"/>
  <c r="AC54" i="26"/>
  <c r="B54" i="26" s="1"/>
  <c r="AB54" i="26"/>
  <c r="AA54" i="26"/>
  <c r="AC53" i="26"/>
  <c r="B53" i="26" s="1"/>
  <c r="AB53" i="26"/>
  <c r="AA53" i="26"/>
  <c r="AC52" i="26"/>
  <c r="B52" i="26" s="1"/>
  <c r="AB52" i="26"/>
  <c r="AA52" i="26"/>
  <c r="AC51" i="26"/>
  <c r="B51" i="26" s="1"/>
  <c r="AB51" i="26"/>
  <c r="AA51" i="26"/>
  <c r="AC50" i="26"/>
  <c r="B50" i="26" s="1"/>
  <c r="AB50" i="26"/>
  <c r="AA50" i="26"/>
  <c r="AC49" i="26"/>
  <c r="B49" i="26" s="1"/>
  <c r="AB49" i="26"/>
  <c r="AA49" i="26"/>
  <c r="AC48" i="26"/>
  <c r="AC47" i="26"/>
  <c r="B47" i="26" s="1"/>
  <c r="AB47" i="26"/>
  <c r="AA47" i="26"/>
  <c r="AC46" i="26"/>
  <c r="B46" i="26" s="1"/>
  <c r="AB46" i="26"/>
  <c r="AA46" i="26"/>
  <c r="AC45" i="26"/>
  <c r="B45" i="26" s="1"/>
  <c r="AB45" i="26"/>
  <c r="AA45" i="26"/>
  <c r="AC44" i="26"/>
  <c r="B44" i="26" s="1"/>
  <c r="AB44" i="26"/>
  <c r="AA44" i="26"/>
  <c r="AC43" i="26"/>
  <c r="B43" i="26" s="1"/>
  <c r="AB43" i="26"/>
  <c r="AA43" i="26"/>
  <c r="AC42" i="26"/>
  <c r="B42" i="26" s="1"/>
  <c r="AB42" i="26"/>
  <c r="AA42" i="26"/>
  <c r="AC41" i="26"/>
  <c r="B41" i="26" s="1"/>
  <c r="AB41" i="26"/>
  <c r="AA41" i="26"/>
  <c r="AC40" i="26"/>
  <c r="B40" i="26" s="1"/>
  <c r="AB40" i="26"/>
  <c r="AA40" i="26"/>
  <c r="AC39" i="26"/>
  <c r="B39" i="26" s="1"/>
  <c r="AB39" i="26"/>
  <c r="AA39" i="26"/>
  <c r="AC38" i="26"/>
  <c r="B38" i="26" s="1"/>
  <c r="AB38" i="26"/>
  <c r="AA38" i="26"/>
  <c r="AC37" i="26"/>
  <c r="B37" i="26" s="1"/>
  <c r="AB37" i="26"/>
  <c r="AA37" i="26"/>
  <c r="AC36" i="26"/>
  <c r="B36" i="26" s="1"/>
  <c r="AB36" i="26"/>
  <c r="AA36" i="26"/>
  <c r="AC35" i="26"/>
  <c r="B35" i="26" s="1"/>
  <c r="AB35" i="26"/>
  <c r="AA35" i="26"/>
  <c r="AC34" i="26"/>
  <c r="B34" i="26" s="1"/>
  <c r="AB34" i="26"/>
  <c r="AA34" i="26"/>
  <c r="AC33" i="26"/>
  <c r="B33" i="26" s="1"/>
  <c r="AB33" i="26"/>
  <c r="AA33" i="26"/>
  <c r="AC32" i="26"/>
  <c r="B32" i="26" s="1"/>
  <c r="AB32" i="26"/>
  <c r="AA32" i="26"/>
  <c r="AC31" i="26"/>
  <c r="B31" i="26" s="1"/>
  <c r="AB31" i="26"/>
  <c r="AA31" i="26"/>
  <c r="AC30" i="26"/>
  <c r="B30" i="26" s="1"/>
  <c r="AB30" i="26"/>
  <c r="AA30" i="26"/>
  <c r="AC29" i="26"/>
  <c r="B29" i="26" s="1"/>
  <c r="AB29" i="26"/>
  <c r="AA29" i="26"/>
  <c r="AC28" i="26"/>
  <c r="B28" i="26" s="1"/>
  <c r="AB28" i="26"/>
  <c r="AA28" i="26"/>
  <c r="AC27" i="26"/>
  <c r="B27" i="26" s="1"/>
  <c r="AB27" i="26"/>
  <c r="AA27" i="26"/>
  <c r="AC26" i="26"/>
  <c r="B26" i="26" s="1"/>
  <c r="AB26" i="26"/>
  <c r="AA26" i="26"/>
  <c r="AC25" i="26"/>
  <c r="B25" i="26" s="1"/>
  <c r="AB25" i="26"/>
  <c r="AA25" i="26"/>
  <c r="AC24" i="26"/>
  <c r="B24" i="26" s="1"/>
  <c r="AB24" i="26"/>
  <c r="AA24" i="26"/>
  <c r="AC23" i="26"/>
  <c r="B23" i="26" s="1"/>
  <c r="AB23" i="26"/>
  <c r="AA23" i="26"/>
  <c r="AC22" i="26"/>
  <c r="B22" i="26" s="1"/>
  <c r="AB22" i="26"/>
  <c r="AA22" i="26"/>
  <c r="AC21" i="26"/>
  <c r="B21" i="26" s="1"/>
  <c r="AB21" i="26"/>
  <c r="AA21" i="26"/>
  <c r="AC20" i="26"/>
  <c r="B20" i="26" s="1"/>
  <c r="AB20" i="26"/>
  <c r="AA20" i="26"/>
  <c r="AC19" i="26"/>
  <c r="B19" i="26" s="1"/>
  <c r="AB19" i="26"/>
  <c r="AA19" i="26"/>
  <c r="AC18" i="26"/>
  <c r="B18" i="26" s="1"/>
  <c r="AB18" i="26"/>
  <c r="AA18" i="26"/>
  <c r="AC17" i="26"/>
  <c r="AC16" i="26"/>
  <c r="B16" i="26" s="1"/>
  <c r="AB16" i="26"/>
  <c r="AA16" i="26"/>
  <c r="AC15" i="26"/>
  <c r="B15" i="26" s="1"/>
  <c r="AB15" i="26"/>
  <c r="AA15" i="26"/>
  <c r="AC14" i="26"/>
  <c r="B14" i="26" s="1"/>
  <c r="AB14" i="26"/>
  <c r="AA14" i="26"/>
  <c r="AC13" i="26"/>
  <c r="B13" i="26" s="1"/>
  <c r="AB13" i="26"/>
  <c r="AA13" i="26"/>
  <c r="AC12" i="26"/>
  <c r="B12" i="26" s="1"/>
  <c r="AB12" i="26"/>
  <c r="AA12" i="26"/>
  <c r="AC11" i="26"/>
  <c r="B11" i="26" s="1"/>
  <c r="AB11" i="26"/>
  <c r="AA11" i="26"/>
  <c r="AC10" i="26"/>
  <c r="B10" i="26" s="1"/>
  <c r="AB10" i="26"/>
  <c r="AA10" i="26"/>
  <c r="AC9" i="26"/>
  <c r="AC8" i="26"/>
  <c r="B8" i="26" s="1"/>
  <c r="AB8" i="26"/>
  <c r="AA8" i="26"/>
  <c r="AC7" i="26"/>
  <c r="B7" i="26" s="1"/>
  <c r="AB7" i="26"/>
  <c r="AA7" i="26"/>
  <c r="AC6" i="26"/>
  <c r="B6" i="26" s="1"/>
  <c r="AB6" i="26"/>
  <c r="AA6" i="26"/>
  <c r="AC5" i="26"/>
  <c r="B5" i="26" s="1"/>
  <c r="AB5" i="26"/>
  <c r="AA5" i="26"/>
  <c r="AC4" i="26"/>
  <c r="B4" i="26" s="1"/>
  <c r="AB4" i="26"/>
  <c r="AA4" i="26"/>
  <c r="AC3" i="26"/>
  <c r="F36" i="22" l="1"/>
  <c r="F23" i="22"/>
  <c r="F34" i="22"/>
  <c r="F21" i="22"/>
  <c r="F32" i="22"/>
  <c r="F19" i="22"/>
  <c r="F20" i="19"/>
  <c r="E2" i="12"/>
  <c r="F47" i="19"/>
  <c r="F39" i="19"/>
  <c r="F11" i="19"/>
  <c r="F10" i="19"/>
  <c r="F10" i="20"/>
  <c r="C17" i="24"/>
  <c r="F3" i="6"/>
  <c r="C26" i="24"/>
  <c r="C25" i="24"/>
  <c r="C24" i="24"/>
  <c r="C20" i="24"/>
  <c r="C19" i="24"/>
  <c r="C18" i="24"/>
  <c r="C16" i="24"/>
  <c r="C12" i="24"/>
  <c r="C11" i="24"/>
  <c r="C10" i="24"/>
  <c r="C9" i="24"/>
  <c r="C8" i="24"/>
  <c r="C4" i="24"/>
  <c r="F31" i="22"/>
  <c r="F33" i="22"/>
  <c r="F35" i="22"/>
  <c r="F37" i="22"/>
  <c r="F30" i="22"/>
  <c r="F29" i="22"/>
  <c r="F28" i="22"/>
  <c r="F18" i="22"/>
  <c r="F20" i="22"/>
  <c r="F22" i="22"/>
  <c r="F24" i="22"/>
  <c r="F17" i="22"/>
  <c r="F16" i="22"/>
  <c r="F15" i="22"/>
  <c r="F11" i="22"/>
  <c r="F6" i="22"/>
  <c r="F7" i="22"/>
  <c r="F8" i="22"/>
  <c r="F9" i="22"/>
  <c r="F10" i="22"/>
  <c r="F5" i="22"/>
  <c r="C3" i="24"/>
  <c r="F51" i="19"/>
  <c r="F48" i="19"/>
  <c r="F42" i="19"/>
  <c r="F5" i="19"/>
  <c r="F9" i="19"/>
  <c r="F16" i="19"/>
  <c r="F17" i="19"/>
  <c r="F18" i="19"/>
  <c r="F19" i="19"/>
  <c r="F21" i="19"/>
  <c r="F22" i="19"/>
  <c r="F23" i="19"/>
  <c r="F26" i="19"/>
  <c r="F27" i="19"/>
  <c r="F28" i="19"/>
  <c r="F29" i="19"/>
  <c r="F30" i="19"/>
  <c r="F31" i="19"/>
  <c r="F32" i="19"/>
  <c r="F33" i="19"/>
  <c r="F34" i="19"/>
  <c r="F37" i="19"/>
  <c r="F38" i="19"/>
  <c r="F40" i="19"/>
  <c r="F41" i="19"/>
  <c r="F43" i="19"/>
  <c r="F46" i="19"/>
  <c r="B16" i="24" l="1"/>
  <c r="D16" i="24" s="1"/>
  <c r="B18" i="24"/>
  <c r="D18" i="24" s="1"/>
  <c r="B17" i="24"/>
  <c r="D17" i="24" s="1"/>
  <c r="B26" i="24"/>
  <c r="D26" i="24" s="1"/>
  <c r="B25" i="24"/>
  <c r="D25" i="24" s="1"/>
  <c r="B19" i="24"/>
  <c r="D19" i="24" s="1"/>
  <c r="B20" i="24"/>
  <c r="D20" i="24" s="1"/>
  <c r="B24" i="24"/>
  <c r="D24" i="24" s="1"/>
  <c r="B4" i="24"/>
  <c r="B3" i="24"/>
  <c r="E27" i="24" l="1"/>
  <c r="D4" i="24" s="1"/>
  <c r="O5" i="24" s="1"/>
  <c r="N5" i="24" s="1"/>
  <c r="E21" i="24"/>
  <c r="D3" i="24" s="1"/>
  <c r="C2" i="24"/>
  <c r="F17" i="20"/>
  <c r="F13" i="20"/>
  <c r="F16" i="20"/>
  <c r="F9" i="20"/>
  <c r="F6" i="20"/>
  <c r="F5" i="20"/>
  <c r="B11" i="24" l="1"/>
  <c r="D11" i="24" s="1"/>
  <c r="B2" i="24"/>
  <c r="O4" i="24"/>
  <c r="N4" i="24" s="1"/>
  <c r="B12" i="24"/>
  <c r="D12" i="24" s="1"/>
  <c r="B10" i="24"/>
  <c r="D10" i="24" s="1"/>
  <c r="B9" i="24"/>
  <c r="D9" i="24" s="1"/>
  <c r="E13" i="24" s="1"/>
  <c r="B8" i="24"/>
  <c r="D8" i="24" s="1"/>
  <c r="D2" i="24" l="1"/>
  <c r="O3" i="24" s="1"/>
  <c r="N3" i="24" s="1"/>
  <c r="A19" i="18" a="1"/>
  <c r="A19" i="18" s="1"/>
  <c r="A18" i="18" a="1"/>
  <c r="A18" i="18" s="1"/>
  <c r="B2" i="13"/>
  <c r="D2" i="13"/>
  <c r="E5" i="24" l="1"/>
  <c r="O2" i="24" s="1"/>
  <c r="K7" i="24" s="1"/>
  <c r="D24" i="6" s="1"/>
  <c r="H4" i="13"/>
  <c r="G4" i="13"/>
  <c r="I4" i="13"/>
  <c r="J4" i="13"/>
  <c r="K4" i="13"/>
  <c r="A24" i="12" a="1"/>
  <c r="A24" i="12" s="1"/>
  <c r="A25" i="12" a="1"/>
  <c r="A25" i="12" s="1"/>
  <c r="C2" i="13"/>
  <c r="N2" i="24" l="1"/>
  <c r="S18" i="13"/>
  <c r="U18" i="13"/>
  <c r="T18" i="13"/>
  <c r="D14" i="4"/>
  <c r="D16" i="4"/>
  <c r="K42" i="4" l="1"/>
  <c r="L42" i="4"/>
  <c r="M42" i="4"/>
  <c r="N42" i="4"/>
  <c r="O42" i="4"/>
  <c r="P42" i="4"/>
  <c r="Q42" i="4"/>
  <c r="K43" i="4"/>
  <c r="L43" i="4"/>
  <c r="M43" i="4"/>
  <c r="N43" i="4"/>
  <c r="O43" i="4"/>
  <c r="P43" i="4"/>
  <c r="Q43" i="4"/>
  <c r="K44" i="4"/>
  <c r="L44" i="4"/>
  <c r="M44" i="4"/>
  <c r="N44" i="4"/>
  <c r="O44" i="4"/>
  <c r="P44" i="4"/>
  <c r="Q44" i="4"/>
  <c r="D36" i="4"/>
  <c r="D35" i="4"/>
  <c r="D34" i="4"/>
  <c r="D33" i="4"/>
  <c r="D32" i="4"/>
  <c r="D31" i="4"/>
  <c r="D30" i="4"/>
  <c r="D29" i="4"/>
  <c r="D28" i="4"/>
  <c r="D27" i="4"/>
  <c r="D26" i="4"/>
  <c r="D25" i="4"/>
  <c r="D23" i="4"/>
  <c r="D22" i="4"/>
  <c r="D21" i="4"/>
  <c r="D20" i="4"/>
  <c r="D19" i="4"/>
  <c r="D18" i="4"/>
  <c r="D17" i="4"/>
  <c r="D15" i="4"/>
  <c r="D13" i="4"/>
  <c r="B12" i="4" l="1" a="1"/>
  <c r="B12" i="4" s="1"/>
  <c r="G12" i="4"/>
  <c r="G13" i="4"/>
  <c r="G14" i="4"/>
  <c r="G15" i="4"/>
  <c r="D9" i="4" a="1"/>
  <c r="D9" i="4" s="1"/>
  <c r="O45" i="4"/>
  <c r="O46" i="4" s="1"/>
  <c r="Q45" i="4"/>
  <c r="Q46" i="4" s="1"/>
  <c r="N45" i="4"/>
  <c r="K45" i="4"/>
  <c r="K46" i="4" s="1" a="1"/>
  <c r="K46" i="4" s="1"/>
  <c r="P45" i="4"/>
  <c r="P46" i="4" s="1"/>
  <c r="L45" i="4"/>
  <c r="L46" i="4" s="1"/>
  <c r="M45" i="4"/>
  <c r="M46" i="4" s="1"/>
  <c r="C19" i="1"/>
  <c r="E12" i="4" l="1"/>
  <c r="B19" i="3"/>
  <c r="N46" i="4"/>
  <c r="F51" i="6" s="1"/>
  <c r="F48" i="6"/>
  <c r="F50" i="6"/>
  <c r="F53" i="6"/>
  <c r="F49" i="6"/>
  <c r="F54" i="6"/>
  <c r="F52" i="6"/>
  <c r="R42" i="4"/>
  <c r="R43" i="4"/>
  <c r="R44" i="4"/>
  <c r="A4" i="26" l="1"/>
  <c r="A187" i="29"/>
  <c r="A118" i="29"/>
  <c r="A49" i="29"/>
  <c r="A226" i="28"/>
  <c r="A155" i="28"/>
  <c r="A87" i="28"/>
  <c r="A21" i="28"/>
  <c r="A170" i="27"/>
  <c r="A101" i="27"/>
  <c r="A32" i="27"/>
  <c r="A229" i="29"/>
  <c r="A158" i="29"/>
  <c r="A90" i="29"/>
  <c r="A24" i="29"/>
  <c r="A199" i="28"/>
  <c r="A129" i="28"/>
  <c r="A61" i="28"/>
  <c r="A213" i="27"/>
  <c r="A142" i="27"/>
  <c r="A73" i="27"/>
  <c r="A5" i="27"/>
  <c r="A193" i="29"/>
  <c r="A124" i="29"/>
  <c r="A55" i="29"/>
  <c r="A232" i="28"/>
  <c r="A162" i="28"/>
  <c r="A94" i="28"/>
  <c r="A27" i="28"/>
  <c r="A177" i="27"/>
  <c r="A107" i="27"/>
  <c r="A38" i="27"/>
  <c r="A236" i="29"/>
  <c r="A165" i="29"/>
  <c r="A97" i="29"/>
  <c r="A30" i="29"/>
  <c r="A205" i="28"/>
  <c r="A135" i="28"/>
  <c r="A67" i="28"/>
  <c r="A220" i="27"/>
  <c r="A149" i="27"/>
  <c r="A80" i="27"/>
  <c r="A12" i="27"/>
  <c r="A191" i="29"/>
  <c r="A122" i="29"/>
  <c r="A53" i="29"/>
  <c r="A230" i="28"/>
  <c r="A159" i="28"/>
  <c r="A91" i="28"/>
  <c r="A25" i="28"/>
  <c r="A175" i="27"/>
  <c r="A105" i="27"/>
  <c r="A36" i="27"/>
  <c r="A217" i="29"/>
  <c r="A145" i="29"/>
  <c r="A77" i="29"/>
  <c r="A11" i="29"/>
  <c r="A186" i="28"/>
  <c r="A117" i="28"/>
  <c r="A48" i="28"/>
  <c r="A200" i="27"/>
  <c r="A128" i="27"/>
  <c r="A60" i="27"/>
  <c r="A170" i="29"/>
  <c r="A189" i="29"/>
  <c r="A120" i="29"/>
  <c r="A51" i="29"/>
  <c r="A228" i="28"/>
  <c r="A157" i="28"/>
  <c r="A89" i="28"/>
  <c r="A23" i="28"/>
  <c r="A172" i="27"/>
  <c r="A103" i="27"/>
  <c r="A34" i="27"/>
  <c r="A101" i="29"/>
  <c r="A16" i="27"/>
  <c r="A119" i="29"/>
  <c r="A131" i="28"/>
  <c r="A59" i="29"/>
  <c r="A13" i="28"/>
  <c r="A126" i="27"/>
  <c r="A118" i="27"/>
  <c r="A171" i="27"/>
  <c r="A209" i="26"/>
  <c r="A162" i="26"/>
  <c r="A188" i="26"/>
  <c r="A248" i="29"/>
  <c r="A178" i="29"/>
  <c r="A109" i="29"/>
  <c r="A41" i="29"/>
  <c r="A218" i="28"/>
  <c r="A146" i="28"/>
  <c r="A78" i="28"/>
  <c r="A12" i="28"/>
  <c r="A162" i="27"/>
  <c r="A92" i="27"/>
  <c r="A24" i="27"/>
  <c r="A221" i="29"/>
  <c r="A149" i="29"/>
  <c r="A81" i="29"/>
  <c r="A15" i="29"/>
  <c r="A190" i="28"/>
  <c r="A121" i="28"/>
  <c r="A52" i="28"/>
  <c r="A204" i="27"/>
  <c r="A133" i="27"/>
  <c r="A65" i="27"/>
  <c r="A196" i="29"/>
  <c r="A185" i="29"/>
  <c r="A116" i="29"/>
  <c r="A47" i="29"/>
  <c r="A224" i="28"/>
  <c r="A153" i="28"/>
  <c r="A85" i="28"/>
  <c r="A19" i="28"/>
  <c r="A168" i="27"/>
  <c r="A99" i="27"/>
  <c r="A30" i="27"/>
  <c r="A227" i="29"/>
  <c r="A156" i="29"/>
  <c r="A88" i="29"/>
  <c r="A22" i="29"/>
  <c r="A196" i="28"/>
  <c r="A127" i="28"/>
  <c r="A59" i="28"/>
  <c r="A211" i="27"/>
  <c r="A140" i="27"/>
  <c r="A71" i="27"/>
  <c r="A214" i="29"/>
  <c r="A182" i="29"/>
  <c r="A114" i="29"/>
  <c r="A45" i="29"/>
  <c r="A222" i="28"/>
  <c r="A150" i="28"/>
  <c r="A83" i="28"/>
  <c r="A16" i="28"/>
  <c r="A166" i="27"/>
  <c r="A97" i="27"/>
  <c r="A28" i="27"/>
  <c r="A208" i="29"/>
  <c r="A137" i="29"/>
  <c r="A69" i="29"/>
  <c r="A247" i="28"/>
  <c r="A177" i="28"/>
  <c r="A108" i="28"/>
  <c r="A40" i="28"/>
  <c r="A191" i="27"/>
  <c r="A120" i="27"/>
  <c r="A52" i="27"/>
  <c r="A151" i="29"/>
  <c r="A180" i="29"/>
  <c r="A112" i="29"/>
  <c r="A43" i="29"/>
  <c r="A220" i="28"/>
  <c r="A148" i="28"/>
  <c r="A80" i="28"/>
  <c r="A14" i="28"/>
  <c r="A164" i="27"/>
  <c r="A94" i="27"/>
  <c r="A26" i="27"/>
  <c r="A34" i="29"/>
  <c r="A84" i="29"/>
  <c r="A156" i="28"/>
  <c r="A63" i="28"/>
  <c r="A97" i="28"/>
  <c r="A25" i="27"/>
  <c r="A58" i="27"/>
  <c r="A50" i="27"/>
  <c r="A219" i="28"/>
  <c r="A149" i="26"/>
  <c r="A224" i="26"/>
  <c r="A239" i="29"/>
  <c r="A169" i="29"/>
  <c r="A100" i="29"/>
  <c r="A33" i="29"/>
  <c r="A209" i="28"/>
  <c r="A138" i="28"/>
  <c r="A70" i="28"/>
  <c r="A223" i="27"/>
  <c r="A153" i="27"/>
  <c r="A83" i="27"/>
  <c r="A15" i="27"/>
  <c r="A212" i="29"/>
  <c r="A141" i="29"/>
  <c r="A73" i="29"/>
  <c r="A6" i="29"/>
  <c r="A181" i="28"/>
  <c r="A113" i="28"/>
  <c r="A44" i="28"/>
  <c r="A196" i="27"/>
  <c r="A124" i="27"/>
  <c r="A56" i="27"/>
  <c r="A246" i="29"/>
  <c r="A176" i="29"/>
  <c r="A107" i="29"/>
  <c r="A39" i="29"/>
  <c r="A216" i="28"/>
  <c r="A144" i="28"/>
  <c r="A76" i="28"/>
  <c r="A10" i="28"/>
  <c r="A159" i="27"/>
  <c r="A90" i="27"/>
  <c r="A22" i="27"/>
  <c r="A219" i="29"/>
  <c r="A147" i="29"/>
  <c r="A79" i="29"/>
  <c r="A13" i="29"/>
  <c r="A188" i="28"/>
  <c r="A119" i="28"/>
  <c r="A50" i="28"/>
  <c r="A202" i="27"/>
  <c r="A131" i="27"/>
  <c r="A63" i="27"/>
  <c r="A244" i="29"/>
  <c r="A173" i="29"/>
  <c r="A105" i="29"/>
  <c r="A37" i="29"/>
  <c r="A213" i="28"/>
  <c r="A142" i="28"/>
  <c r="A74" i="28"/>
  <c r="A7" i="28"/>
  <c r="A157" i="27"/>
  <c r="A88" i="27"/>
  <c r="A20" i="27"/>
  <c r="A199" i="29"/>
  <c r="A129" i="29"/>
  <c r="A61" i="29"/>
  <c r="A238" i="28"/>
  <c r="A167" i="28"/>
  <c r="A99" i="28"/>
  <c r="A32" i="28"/>
  <c r="A182" i="27"/>
  <c r="A112" i="27"/>
  <c r="A43" i="27"/>
  <c r="A241" i="29"/>
  <c r="A171" i="29"/>
  <c r="A103" i="29"/>
  <c r="A35" i="29"/>
  <c r="A211" i="28"/>
  <c r="A140" i="28"/>
  <c r="A72" i="28"/>
  <c r="A5" i="28"/>
  <c r="A155" i="27"/>
  <c r="A85" i="27"/>
  <c r="A18" i="27"/>
  <c r="A210" i="28"/>
  <c r="A192" i="28"/>
  <c r="A102" i="27"/>
  <c r="A215" i="27"/>
  <c r="A180" i="27"/>
  <c r="A75" i="29"/>
  <c r="A67" i="29"/>
  <c r="A127" i="29"/>
  <c r="A79" i="28"/>
  <c r="A42" i="26"/>
  <c r="A13" i="26"/>
  <c r="A230" i="29"/>
  <c r="A159" i="29"/>
  <c r="A91" i="29"/>
  <c r="A25" i="29"/>
  <c r="A200" i="28"/>
  <c r="A130" i="28"/>
  <c r="A62" i="28"/>
  <c r="A214" i="27"/>
  <c r="A143" i="27"/>
  <c r="A74" i="27"/>
  <c r="A6" i="27"/>
  <c r="A203" i="29"/>
  <c r="A133" i="29"/>
  <c r="A65" i="29"/>
  <c r="A242" i="28"/>
  <c r="A172" i="28"/>
  <c r="A104" i="28"/>
  <c r="A36" i="28"/>
  <c r="A187" i="27"/>
  <c r="A116" i="27"/>
  <c r="A47" i="27"/>
  <c r="A237" i="29"/>
  <c r="A166" i="29"/>
  <c r="A98" i="29"/>
  <c r="A31" i="29"/>
  <c r="A206" i="28"/>
  <c r="A136" i="28"/>
  <c r="A68" i="28"/>
  <c r="A221" i="27"/>
  <c r="A150" i="27"/>
  <c r="A81" i="27"/>
  <c r="A13" i="27"/>
  <c r="A210" i="29"/>
  <c r="A139" i="29"/>
  <c r="A71" i="29"/>
  <c r="A4" i="29"/>
  <c r="A179" i="28"/>
  <c r="A111" i="28"/>
  <c r="A42" i="28"/>
  <c r="A194" i="27"/>
  <c r="A122" i="27"/>
  <c r="A54" i="27"/>
  <c r="A235" i="29"/>
  <c r="A164" i="29"/>
  <c r="A96" i="29"/>
  <c r="A29" i="29"/>
  <c r="A204" i="28"/>
  <c r="A134" i="28"/>
  <c r="A66" i="28"/>
  <c r="A218" i="27"/>
  <c r="A148" i="27"/>
  <c r="A79" i="27"/>
  <c r="A11" i="27"/>
  <c r="A190" i="29"/>
  <c r="A121" i="29"/>
  <c r="A52" i="29"/>
  <c r="A229" i="28"/>
  <c r="A158" i="28"/>
  <c r="A90" i="28"/>
  <c r="A24" i="28"/>
  <c r="A173" i="27"/>
  <c r="A104" i="27"/>
  <c r="A35" i="27"/>
  <c r="A232" i="29"/>
  <c r="A162" i="29"/>
  <c r="A94" i="29"/>
  <c r="A27" i="29"/>
  <c r="A202" i="28"/>
  <c r="A132" i="28"/>
  <c r="A64" i="28"/>
  <c r="A216" i="27"/>
  <c r="A146" i="27"/>
  <c r="A77" i="27"/>
  <c r="A8" i="27"/>
  <c r="A139" i="28"/>
  <c r="A123" i="28"/>
  <c r="A111" i="29"/>
  <c r="A144" i="27"/>
  <c r="A41" i="27"/>
  <c r="A8" i="29"/>
  <c r="A245" i="28"/>
  <c r="A165" i="28"/>
  <c r="A93" i="27"/>
  <c r="A105" i="26"/>
  <c r="A92" i="26"/>
  <c r="A222" i="29"/>
  <c r="A150" i="29"/>
  <c r="A83" i="29"/>
  <c r="A16" i="29"/>
  <c r="A191" i="28"/>
  <c r="A122" i="28"/>
  <c r="A53" i="28"/>
  <c r="A205" i="27"/>
  <c r="A134" i="27"/>
  <c r="A66" i="27"/>
  <c r="A188" i="29"/>
  <c r="A194" i="29"/>
  <c r="A125" i="29"/>
  <c r="A57" i="29"/>
  <c r="A234" i="28"/>
  <c r="A163" i="28"/>
  <c r="A95" i="28"/>
  <c r="A28" i="28"/>
  <c r="A178" i="27"/>
  <c r="A108" i="27"/>
  <c r="A39" i="27"/>
  <c r="A228" i="29"/>
  <c r="A157" i="29"/>
  <c r="A89" i="29"/>
  <c r="A23" i="29"/>
  <c r="A198" i="28"/>
  <c r="A128" i="28"/>
  <c r="A60" i="28"/>
  <c r="A212" i="27"/>
  <c r="A141" i="27"/>
  <c r="A72" i="27"/>
  <c r="A4" i="27"/>
  <c r="A201" i="29"/>
  <c r="A131" i="29"/>
  <c r="A63" i="29"/>
  <c r="A240" i="28"/>
  <c r="A170" i="28"/>
  <c r="A101" i="28"/>
  <c r="A34" i="28"/>
  <c r="A185" i="27"/>
  <c r="A114" i="27"/>
  <c r="A45" i="27"/>
  <c r="A226" i="29"/>
  <c r="A155" i="29"/>
  <c r="A87" i="29"/>
  <c r="A21" i="29"/>
  <c r="A195" i="28"/>
  <c r="A126" i="28"/>
  <c r="A58" i="28"/>
  <c r="A210" i="27"/>
  <c r="A139" i="27"/>
  <c r="A70" i="27"/>
  <c r="A223" i="29"/>
  <c r="A181" i="29"/>
  <c r="A113" i="29"/>
  <c r="A44" i="29"/>
  <c r="A221" i="28"/>
  <c r="A149" i="28"/>
  <c r="A81" i="28"/>
  <c r="A15" i="28"/>
  <c r="A165" i="27"/>
  <c r="A96" i="27"/>
  <c r="A27" i="27"/>
  <c r="A224" i="29"/>
  <c r="A153" i="29"/>
  <c r="A85" i="29"/>
  <c r="A19" i="29"/>
  <c r="A193" i="28"/>
  <c r="A124" i="28"/>
  <c r="A55" i="28"/>
  <c r="A208" i="27"/>
  <c r="A136" i="27"/>
  <c r="A68" i="27"/>
  <c r="A240" i="29"/>
  <c r="A71" i="28"/>
  <c r="A54" i="28"/>
  <c r="A163" i="27"/>
  <c r="A76" i="27"/>
  <c r="A50" i="29"/>
  <c r="A184" i="28"/>
  <c r="A175" i="28"/>
  <c r="A30" i="28"/>
  <c r="A28" i="26"/>
  <c r="A164" i="26"/>
  <c r="A154" i="26"/>
  <c r="A213" i="29"/>
  <c r="A142" i="29"/>
  <c r="A74" i="29"/>
  <c r="A7" i="29"/>
  <c r="A182" i="28"/>
  <c r="A114" i="28"/>
  <c r="A45" i="28"/>
  <c r="A197" i="27"/>
  <c r="A125" i="27"/>
  <c r="A57" i="27"/>
  <c r="A135" i="29"/>
  <c r="A186" i="29"/>
  <c r="A117" i="29"/>
  <c r="A48" i="29"/>
  <c r="A225" i="28"/>
  <c r="A154" i="28"/>
  <c r="A86" i="28"/>
  <c r="A20" i="28"/>
  <c r="A169" i="27"/>
  <c r="A100" i="27"/>
  <c r="A31" i="27"/>
  <c r="A220" i="29"/>
  <c r="A148" i="29"/>
  <c r="A80" i="29"/>
  <c r="A14" i="29"/>
  <c r="A189" i="28"/>
  <c r="A120" i="28"/>
  <c r="A51" i="28"/>
  <c r="A203" i="27"/>
  <c r="A132" i="27"/>
  <c r="A64" i="27"/>
  <c r="A205" i="29"/>
  <c r="A192" i="29"/>
  <c r="A123" i="29"/>
  <c r="A54" i="29"/>
  <c r="A231" i="28"/>
  <c r="A161" i="28"/>
  <c r="A93" i="28"/>
  <c r="A26" i="28"/>
  <c r="A176" i="27"/>
  <c r="A106" i="27"/>
  <c r="A37" i="27"/>
  <c r="A218" i="29"/>
  <c r="A146" i="29"/>
  <c r="A78" i="29"/>
  <c r="A12" i="29"/>
  <c r="A187" i="28"/>
  <c r="A118" i="28"/>
  <c r="A49" i="28"/>
  <c r="A201" i="27"/>
  <c r="A130" i="27"/>
  <c r="A62" i="27"/>
  <c r="A242" i="29"/>
  <c r="A172" i="29"/>
  <c r="A104" i="29"/>
  <c r="A36" i="29"/>
  <c r="A212" i="28"/>
  <c r="A141" i="28"/>
  <c r="A73" i="28"/>
  <c r="A6" i="28"/>
  <c r="A156" i="27"/>
  <c r="A86" i="27"/>
  <c r="A19" i="27"/>
  <c r="A216" i="29"/>
  <c r="A144" i="29"/>
  <c r="A76" i="29"/>
  <c r="A10" i="29"/>
  <c r="A185" i="28"/>
  <c r="A116" i="28"/>
  <c r="A47" i="28"/>
  <c r="A199" i="27"/>
  <c r="A127" i="27"/>
  <c r="A59" i="27"/>
  <c r="A179" i="29"/>
  <c r="A224" i="27"/>
  <c r="A206" i="27"/>
  <c r="A93" i="29"/>
  <c r="A7" i="27"/>
  <c r="A22" i="28"/>
  <c r="A115" i="28"/>
  <c r="A106" i="28"/>
  <c r="A110" i="27"/>
  <c r="A200" i="26"/>
  <c r="A167" i="26"/>
  <c r="A14" i="26"/>
  <c r="A204" i="29"/>
  <c r="A134" i="29"/>
  <c r="A66" i="29"/>
  <c r="A244" i="28"/>
  <c r="A173" i="28"/>
  <c r="A105" i="28"/>
  <c r="A37" i="28"/>
  <c r="A188" i="27"/>
  <c r="A117" i="27"/>
  <c r="A49" i="27"/>
  <c r="A247" i="29"/>
  <c r="A177" i="29"/>
  <c r="A108" i="29"/>
  <c r="A40" i="29"/>
  <c r="A217" i="28"/>
  <c r="A145" i="28"/>
  <c r="A77" i="28"/>
  <c r="A11" i="28"/>
  <c r="A161" i="27"/>
  <c r="A91" i="27"/>
  <c r="A23" i="27"/>
  <c r="A211" i="29"/>
  <c r="A140" i="29"/>
  <c r="A72" i="29"/>
  <c r="A5" i="29"/>
  <c r="A180" i="28"/>
  <c r="A112" i="28"/>
  <c r="A43" i="28"/>
  <c r="A195" i="27"/>
  <c r="A123" i="27"/>
  <c r="A55" i="27"/>
  <c r="A143" i="29"/>
  <c r="A184" i="29"/>
  <c r="A115" i="29"/>
  <c r="A46" i="29"/>
  <c r="A223" i="28"/>
  <c r="A151" i="28"/>
  <c r="A84" i="28"/>
  <c r="A18" i="28"/>
  <c r="A167" i="27"/>
  <c r="A98" i="27"/>
  <c r="A29" i="27"/>
  <c r="A209" i="29"/>
  <c r="A138" i="29"/>
  <c r="A70" i="29"/>
  <c r="A248" i="28"/>
  <c r="A178" i="28"/>
  <c r="A109" i="28"/>
  <c r="A41" i="28"/>
  <c r="A193" i="27"/>
  <c r="A121" i="27"/>
  <c r="A53" i="27"/>
  <c r="A234" i="29"/>
  <c r="A163" i="29"/>
  <c r="A95" i="29"/>
  <c r="A28" i="29"/>
  <c r="A203" i="28"/>
  <c r="A133" i="28"/>
  <c r="A65" i="28"/>
  <c r="A217" i="27"/>
  <c r="A147" i="27"/>
  <c r="A78" i="27"/>
  <c r="A10" i="27"/>
  <c r="A206" i="29"/>
  <c r="A136" i="29"/>
  <c r="A68" i="29"/>
  <c r="A195" i="29"/>
  <c r="A126" i="29"/>
  <c r="A58" i="29"/>
  <c r="A235" i="28"/>
  <c r="A164" i="28"/>
  <c r="A96" i="28"/>
  <c r="A29" i="28"/>
  <c r="A179" i="27"/>
  <c r="A109" i="27"/>
  <c r="A40" i="27"/>
  <c r="A238" i="29"/>
  <c r="A167" i="29"/>
  <c r="A99" i="29"/>
  <c r="A32" i="29"/>
  <c r="A208" i="28"/>
  <c r="A137" i="28"/>
  <c r="A69" i="28"/>
  <c r="A222" i="27"/>
  <c r="A152" i="27"/>
  <c r="A82" i="27"/>
  <c r="A14" i="27"/>
  <c r="A202" i="29"/>
  <c r="A132" i="29"/>
  <c r="A64" i="29"/>
  <c r="A241" i="28"/>
  <c r="A171" i="28"/>
  <c r="A103" i="28"/>
  <c r="A35" i="28"/>
  <c r="A186" i="27"/>
  <c r="A115" i="27"/>
  <c r="A46" i="27"/>
  <c r="A245" i="29"/>
  <c r="A175" i="29"/>
  <c r="A106" i="29"/>
  <c r="A38" i="29"/>
  <c r="A214" i="28"/>
  <c r="A143" i="28"/>
  <c r="A75" i="28"/>
  <c r="A8" i="28"/>
  <c r="A158" i="27"/>
  <c r="A89" i="27"/>
  <c r="A21" i="27"/>
  <c r="A200" i="29"/>
  <c r="A130" i="29"/>
  <c r="A62" i="29"/>
  <c r="A239" i="28"/>
  <c r="A169" i="28"/>
  <c r="A100" i="28"/>
  <c r="A33" i="28"/>
  <c r="A183" i="27"/>
  <c r="A113" i="27"/>
  <c r="A44" i="27"/>
  <c r="A225" i="29"/>
  <c r="A154" i="29"/>
  <c r="A86" i="29"/>
  <c r="A20" i="29"/>
  <c r="A194" i="28"/>
  <c r="A125" i="28"/>
  <c r="A57" i="28"/>
  <c r="A209" i="27"/>
  <c r="A138" i="27"/>
  <c r="A69" i="27"/>
  <c r="A231" i="29"/>
  <c r="A198" i="29"/>
  <c r="A128" i="29"/>
  <c r="A60" i="29"/>
  <c r="A237" i="28"/>
  <c r="A166" i="28"/>
  <c r="A98" i="28"/>
  <c r="A31" i="28"/>
  <c r="A181" i="27"/>
  <c r="A111" i="27"/>
  <c r="A42" i="27"/>
  <c r="A147" i="28"/>
  <c r="A84" i="27"/>
  <c r="A236" i="28"/>
  <c r="A201" i="28"/>
  <c r="A67" i="27"/>
  <c r="A42" i="29"/>
  <c r="A198" i="27"/>
  <c r="A189" i="27"/>
  <c r="A88" i="28"/>
  <c r="A138" i="26"/>
  <c r="A83" i="26"/>
  <c r="A161" i="29"/>
  <c r="A227" i="28"/>
  <c r="A157" i="26"/>
  <c r="A47" i="26"/>
  <c r="A98" i="26"/>
  <c r="A223" i="26"/>
  <c r="A176" i="26"/>
  <c r="A202" i="26"/>
  <c r="A63" i="26"/>
  <c r="A156" i="26"/>
  <c r="A135" i="26"/>
  <c r="A114" i="26"/>
  <c r="A128" i="26"/>
  <c r="A185" i="26"/>
  <c r="A44" i="26"/>
  <c r="A196" i="26"/>
  <c r="A216" i="26"/>
  <c r="A127" i="26"/>
  <c r="A126" i="26"/>
  <c r="A67" i="26"/>
  <c r="A65" i="26"/>
  <c r="A186" i="26"/>
  <c r="A116" i="26"/>
  <c r="A213" i="26"/>
  <c r="A211" i="26"/>
  <c r="A194" i="26"/>
  <c r="A51" i="27"/>
  <c r="A181" i="26"/>
  <c r="A15" i="26"/>
  <c r="A246" i="28"/>
  <c r="A154" i="27"/>
  <c r="A77" i="26"/>
  <c r="A4" i="28"/>
  <c r="A113" i="26"/>
  <c r="A159" i="26"/>
  <c r="A214" i="26"/>
  <c r="A37" i="26"/>
  <c r="A193" i="26"/>
  <c r="A147" i="26"/>
  <c r="A107" i="26"/>
  <c r="A198" i="26"/>
  <c r="A173" i="26"/>
  <c r="A177" i="26"/>
  <c r="A131" i="26"/>
  <c r="A12" i="26"/>
  <c r="A144" i="26"/>
  <c r="A11" i="26"/>
  <c r="A62" i="26"/>
  <c r="A195" i="26"/>
  <c r="A133" i="26"/>
  <c r="A168" i="26"/>
  <c r="A66" i="26"/>
  <c r="A10" i="26"/>
  <c r="A16" i="26"/>
  <c r="A19" i="26"/>
  <c r="A30" i="26"/>
  <c r="A139" i="26"/>
  <c r="A146" i="26"/>
  <c r="A104" i="26"/>
  <c r="A84" i="26"/>
  <c r="A212" i="26"/>
  <c r="A148" i="26"/>
  <c r="A176" i="28"/>
  <c r="A135" i="27"/>
  <c r="A24" i="26"/>
  <c r="A57" i="26"/>
  <c r="A172" i="26"/>
  <c r="A101" i="26"/>
  <c r="A69" i="26"/>
  <c r="A27" i="26"/>
  <c r="A68" i="26"/>
  <c r="A201" i="26"/>
  <c r="A39" i="26"/>
  <c r="A100" i="26"/>
  <c r="A64" i="26"/>
  <c r="A180" i="26"/>
  <c r="A140" i="26"/>
  <c r="A80" i="26"/>
  <c r="A43" i="26"/>
  <c r="A79" i="26"/>
  <c r="A130" i="26"/>
  <c r="A93" i="26"/>
  <c r="A210" i="26"/>
  <c r="A36" i="26"/>
  <c r="A132" i="26"/>
  <c r="A78" i="26"/>
  <c r="A76" i="26"/>
  <c r="A203" i="26"/>
  <c r="A20" i="26"/>
  <c r="A41" i="26"/>
  <c r="A21" i="26"/>
  <c r="A73" i="26"/>
  <c r="A60" i="26"/>
  <c r="A107" i="28"/>
  <c r="A26" i="29"/>
  <c r="A22" i="26"/>
  <c r="A23" i="26"/>
  <c r="A221" i="26"/>
  <c r="A112" i="26"/>
  <c r="A121" i="26"/>
  <c r="A106" i="26"/>
  <c r="A120" i="26"/>
  <c r="A204" i="26"/>
  <c r="A102" i="26"/>
  <c r="A45" i="26"/>
  <c r="A49" i="26"/>
  <c r="A191" i="26"/>
  <c r="A163" i="26"/>
  <c r="A141" i="26"/>
  <c r="A122" i="26"/>
  <c r="A220" i="26"/>
  <c r="A222" i="26"/>
  <c r="A26" i="26"/>
  <c r="A215" i="26"/>
  <c r="A33" i="26"/>
  <c r="A182" i="26"/>
  <c r="A34" i="26"/>
  <c r="A38" i="28"/>
  <c r="A35" i="26"/>
  <c r="A39" i="28"/>
  <c r="A18" i="29"/>
  <c r="A81" i="26"/>
  <c r="A82" i="26"/>
  <c r="A32" i="26"/>
  <c r="A71" i="26"/>
  <c r="A178" i="26"/>
  <c r="A165" i="26"/>
  <c r="A171" i="26"/>
  <c r="A136" i="26"/>
  <c r="A175" i="26"/>
  <c r="A111" i="26"/>
  <c r="A117" i="26"/>
  <c r="A143" i="26"/>
  <c r="A115" i="26"/>
  <c r="A206" i="26"/>
  <c r="A179" i="26"/>
  <c r="A118" i="26"/>
  <c r="A197" i="26"/>
  <c r="A91" i="26"/>
  <c r="A70" i="26"/>
  <c r="A90" i="26"/>
  <c r="A123" i="26"/>
  <c r="A218" i="26"/>
  <c r="A72" i="26"/>
  <c r="A96" i="26"/>
  <c r="A103" i="26"/>
  <c r="A55" i="26"/>
  <c r="A183" i="26"/>
  <c r="A187" i="26"/>
  <c r="A190" i="27"/>
  <c r="A33" i="27"/>
  <c r="A124" i="26"/>
  <c r="A161" i="26"/>
  <c r="A89" i="26"/>
  <c r="A31" i="26"/>
  <c r="A53" i="26"/>
  <c r="A29" i="26"/>
  <c r="A99" i="26"/>
  <c r="A59" i="26"/>
  <c r="A8" i="26"/>
  <c r="A190" i="26"/>
  <c r="A208" i="26"/>
  <c r="A85" i="26"/>
  <c r="A50" i="26"/>
  <c r="A150" i="26"/>
  <c r="A94" i="26"/>
  <c r="A189" i="26"/>
  <c r="A52" i="26"/>
  <c r="A153" i="26"/>
  <c r="A142" i="26"/>
  <c r="A7" i="26"/>
  <c r="A166" i="26"/>
  <c r="A109" i="26"/>
  <c r="A125" i="26"/>
  <c r="A152" i="26"/>
  <c r="A119" i="27"/>
  <c r="A46" i="28"/>
  <c r="A46" i="26"/>
  <c r="A217" i="26"/>
  <c r="A170" i="26"/>
  <c r="A88" i="26"/>
  <c r="A40" i="26"/>
  <c r="A38" i="26"/>
  <c r="A134" i="26"/>
  <c r="A25" i="26"/>
  <c r="A6" i="26"/>
  <c r="A108" i="26"/>
  <c r="A5" i="26"/>
  <c r="A56" i="26"/>
  <c r="A110" i="26"/>
  <c r="A51" i="26"/>
  <c r="A54" i="26"/>
  <c r="A18" i="26"/>
  <c r="A155" i="26"/>
  <c r="A58" i="26"/>
  <c r="A199" i="26"/>
  <c r="A205" i="26"/>
  <c r="A97" i="26"/>
  <c r="A86" i="26"/>
  <c r="A169" i="26"/>
  <c r="A74" i="26"/>
  <c r="A119" i="26"/>
  <c r="A158" i="26"/>
  <c r="R45" i="4"/>
  <c r="G38" i="4" s="1"/>
  <c r="S44" i="4"/>
  <c r="J17" i="5" s="1"/>
  <c r="H58" i="6"/>
  <c r="S43" i="4"/>
  <c r="J16" i="5" s="1"/>
  <c r="G58" i="6"/>
  <c r="S42" i="4"/>
  <c r="J15" i="5" s="1"/>
  <c r="F58" i="6"/>
  <c r="D38" i="4"/>
  <c r="D27" i="6" s="1"/>
  <c r="B9" i="12"/>
  <c r="B3" i="18"/>
  <c r="G2" i="13" l="1"/>
  <c r="U2" i="13"/>
  <c r="H2" i="13"/>
  <c r="G3" i="13"/>
  <c r="K2" i="13"/>
  <c r="U17" i="13"/>
  <c r="H3" i="13"/>
  <c r="I3" i="13"/>
  <c r="S17" i="13"/>
  <c r="E2" i="13"/>
  <c r="G33" i="6" s="1"/>
  <c r="S2" i="13"/>
  <c r="J2" i="13"/>
  <c r="T17" i="13"/>
  <c r="J3" i="13"/>
  <c r="K3" i="13"/>
  <c r="I2" i="13"/>
  <c r="T2" i="13"/>
  <c r="U3" i="13"/>
  <c r="D39" i="4"/>
  <c r="B22" i="5" s="1"/>
  <c r="H27" i="6"/>
  <c r="F12" i="4"/>
  <c r="G6" i="13" l="1"/>
  <c r="G5" i="13"/>
  <c r="G7" i="13" s="1"/>
  <c r="G21" i="4"/>
  <c r="I21" i="4" s="1"/>
  <c r="G24" i="4"/>
  <c r="G25" i="4" s="1"/>
  <c r="D36" i="6" s="1"/>
  <c r="S20" i="13"/>
  <c r="S19" i="13"/>
  <c r="T19" i="13"/>
  <c r="T20" i="13"/>
  <c r="U19" i="13"/>
  <c r="U20" i="13"/>
  <c r="D40" i="4" l="1"/>
  <c r="D31" i="6" s="1"/>
  <c r="I6" i="13"/>
  <c r="K6" i="13" l="1"/>
  <c r="K5" i="13"/>
  <c r="K7" i="13" s="1"/>
  <c r="I5" i="13"/>
  <c r="I7" i="13" s="1"/>
  <c r="H6" i="13"/>
  <c r="H5" i="13"/>
  <c r="H7" i="13" s="1"/>
  <c r="J6" i="13"/>
  <c r="J5" i="13"/>
  <c r="J7" i="13" s="1"/>
  <c r="U4" i="13"/>
  <c r="U5" i="13" s="1"/>
  <c r="T3" i="13"/>
  <c r="T5" i="13" s="1"/>
  <c r="S3" i="13"/>
  <c r="S5" i="13" s="1"/>
  <c r="U6" i="13" l="1"/>
  <c r="T7" i="13"/>
  <c r="T4" i="13"/>
  <c r="T6" i="13" s="1"/>
  <c r="U7" i="13"/>
  <c r="S7" i="13"/>
  <c r="S4" i="13"/>
  <c r="S6" i="13" s="1"/>
  <c r="T209" i="27"/>
  <c r="T209" i="26"/>
  <c r="O360" i="18"/>
  <c r="O351" i="18"/>
  <c r="C338" i="18"/>
  <c r="C329" i="18"/>
  <c r="G331" i="18"/>
  <c r="J348" i="18"/>
  <c r="L344" i="18"/>
  <c r="H331" i="18"/>
  <c r="F351" i="18"/>
  <c r="M344" i="18"/>
  <c r="M355" i="18"/>
  <c r="K330" i="18"/>
  <c r="C349" i="18"/>
  <c r="E334" i="18"/>
  <c r="C328" i="18"/>
  <c r="J347" i="18"/>
  <c r="B340" i="18"/>
  <c r="F342" i="18"/>
  <c r="H322" i="18"/>
  <c r="K355" i="18"/>
  <c r="M335" i="18"/>
  <c r="F341" i="18"/>
  <c r="L347" i="18"/>
  <c r="B350" i="18"/>
  <c r="H342" i="18"/>
  <c r="D327" i="18"/>
  <c r="M345" i="18"/>
  <c r="D359" i="18"/>
  <c r="J351" i="18"/>
  <c r="F336" i="18"/>
  <c r="O354" i="18"/>
  <c r="O334" i="18"/>
  <c r="O325" i="18"/>
  <c r="N346" i="18"/>
  <c r="H332" i="18"/>
  <c r="J341" i="18"/>
  <c r="L355" i="18"/>
  <c r="K342" i="18"/>
  <c r="K333" i="18"/>
  <c r="J354" i="18"/>
  <c r="B347" i="18"/>
  <c r="F349" i="18"/>
  <c r="F330" i="18"/>
  <c r="K352" i="18"/>
  <c r="K343" i="18"/>
  <c r="H358" i="18"/>
  <c r="H339" i="18"/>
  <c r="F323" i="18"/>
  <c r="M352" i="18"/>
  <c r="C355" i="18"/>
  <c r="K338" i="18"/>
  <c r="E332" i="18"/>
  <c r="J350" i="18"/>
  <c r="F356" i="18"/>
  <c r="O339" i="18"/>
  <c r="H333" i="18"/>
  <c r="F353" i="18"/>
  <c r="N315" i="18"/>
  <c r="B348" i="18"/>
  <c r="O342" i="18"/>
  <c r="N332" i="18"/>
  <c r="J312" i="18"/>
  <c r="B349" i="18"/>
  <c r="J358" i="18"/>
  <c r="I353" i="18"/>
  <c r="L335" i="18"/>
  <c r="M346" i="18"/>
  <c r="D318" i="18"/>
  <c r="D352" i="18"/>
  <c r="J344" i="18"/>
  <c r="B317" i="18"/>
  <c r="O357" i="18"/>
  <c r="E360" i="18"/>
  <c r="J309" i="18"/>
  <c r="G337" i="18"/>
  <c r="O352" i="18"/>
  <c r="D333" i="18"/>
  <c r="F313" i="18"/>
  <c r="I346" i="18"/>
  <c r="C318" i="18"/>
  <c r="O336" i="18"/>
  <c r="G355" i="18"/>
  <c r="N348" i="18"/>
  <c r="N340" i="18"/>
  <c r="I359" i="18"/>
  <c r="E354" i="18"/>
  <c r="K336" i="18"/>
  <c r="O338" i="18"/>
  <c r="O329" i="18"/>
  <c r="N350" i="18"/>
  <c r="F343" i="18"/>
  <c r="N331" i="18"/>
  <c r="B316" i="18"/>
  <c r="E289" i="18"/>
  <c r="J346" i="18"/>
  <c r="N358" i="18"/>
  <c r="B336" i="18"/>
  <c r="M347" i="18"/>
  <c r="L359" i="18"/>
  <c r="H354" i="18"/>
  <c r="F319" i="18"/>
  <c r="B318" i="18"/>
  <c r="I281" i="18"/>
  <c r="H304" i="18"/>
  <c r="B337" i="18"/>
  <c r="N275" i="18"/>
  <c r="K308" i="18"/>
  <c r="D360" i="18"/>
  <c r="L318" i="18"/>
  <c r="C299" i="18"/>
  <c r="H317" i="18"/>
  <c r="D303" i="18"/>
  <c r="G315" i="18"/>
  <c r="M337" i="18"/>
  <c r="G312" i="18"/>
  <c r="O296" i="18"/>
  <c r="H316" i="18"/>
  <c r="J300" i="18"/>
  <c r="E313" i="18"/>
  <c r="G336" i="18"/>
  <c r="G327" i="18"/>
  <c r="F348" i="18"/>
  <c r="D338" i="18"/>
  <c r="B343" i="18"/>
  <c r="H335" i="18"/>
  <c r="M357" i="18"/>
  <c r="I354" i="18"/>
  <c r="E325" i="18"/>
  <c r="K331" i="18"/>
  <c r="M299" i="18"/>
  <c r="D343" i="18"/>
  <c r="M301" i="18"/>
  <c r="K325" i="18"/>
  <c r="I335" i="18"/>
  <c r="F331" i="18"/>
  <c r="H347" i="18"/>
  <c r="I358" i="18"/>
  <c r="D342" i="18"/>
  <c r="K327" i="18"/>
  <c r="B346" i="18"/>
  <c r="F339" i="18"/>
  <c r="G359" i="18"/>
  <c r="H325" i="18"/>
  <c r="I355" i="18"/>
  <c r="M338" i="18"/>
  <c r="K332" i="18"/>
  <c r="J334" i="18"/>
  <c r="L314" i="18"/>
  <c r="O347" i="18"/>
  <c r="M341" i="18"/>
  <c r="L349" i="18"/>
  <c r="G333" i="18"/>
  <c r="N326" i="18"/>
  <c r="L346" i="18"/>
  <c r="O348" i="18"/>
  <c r="D331" i="18"/>
  <c r="N352" i="18"/>
  <c r="F345" i="18"/>
  <c r="B330" i="18"/>
  <c r="C360" i="18"/>
  <c r="H312" i="18"/>
  <c r="G353" i="18"/>
  <c r="I339" i="18"/>
  <c r="I330" i="18"/>
  <c r="J321" i="18"/>
  <c r="F326" i="18"/>
  <c r="K348" i="18"/>
  <c r="K339" i="18"/>
  <c r="O341" i="18"/>
  <c r="I357" i="18"/>
  <c r="F355" i="18"/>
  <c r="K334" i="18"/>
  <c r="B334" i="18"/>
  <c r="G356" i="18"/>
  <c r="G347" i="18"/>
  <c r="K349" i="18"/>
  <c r="C332" i="18"/>
  <c r="M326" i="18"/>
  <c r="B344" i="18"/>
  <c r="D325" i="18"/>
  <c r="E277" i="18"/>
  <c r="C354" i="18"/>
  <c r="O324" i="18"/>
  <c r="E331" i="18"/>
  <c r="I333" i="18"/>
  <c r="L360" i="18"/>
  <c r="H345" i="18"/>
  <c r="J343" i="18"/>
  <c r="B352" i="18"/>
  <c r="O346" i="18"/>
  <c r="D329" i="18"/>
  <c r="E340" i="18"/>
  <c r="E351" i="18"/>
  <c r="J353" i="18"/>
  <c r="G328" i="18"/>
  <c r="G349" i="18"/>
  <c r="G360" i="18"/>
  <c r="I326" i="18"/>
  <c r="I337" i="18"/>
  <c r="D347" i="18"/>
  <c r="M330" i="18"/>
  <c r="I360" i="18"/>
  <c r="I352" i="18"/>
  <c r="G346" i="18"/>
  <c r="K329" i="18"/>
  <c r="F358" i="18"/>
  <c r="J360" i="18"/>
  <c r="B353" i="18"/>
  <c r="L337" i="18"/>
  <c r="N317" i="18"/>
  <c r="I273" i="18"/>
  <c r="D322" i="18"/>
  <c r="G332" i="18"/>
  <c r="I341" i="18"/>
  <c r="E348" i="18"/>
  <c r="G325" i="18"/>
  <c r="C342" i="18"/>
  <c r="B354" i="18"/>
  <c r="L348" i="18"/>
  <c r="E350" i="18"/>
  <c r="J311" i="18"/>
  <c r="I293" i="18"/>
  <c r="L265" i="18"/>
  <c r="B335" i="18"/>
  <c r="M294" i="18"/>
  <c r="K304" i="18"/>
  <c r="E356" i="18"/>
  <c r="D312" i="18"/>
  <c r="O274" i="18"/>
  <c r="H313" i="18"/>
  <c r="M327" i="18"/>
  <c r="E346" i="18"/>
  <c r="L339" i="18"/>
  <c r="J359" i="18"/>
  <c r="K360" i="18"/>
  <c r="N342" i="18"/>
  <c r="M329" i="18"/>
  <c r="B357" i="18"/>
  <c r="L341" i="18"/>
  <c r="N321" i="18"/>
  <c r="D324" i="18"/>
  <c r="M354" i="18"/>
  <c r="O340" i="18"/>
  <c r="F325" i="18"/>
  <c r="D357" i="18"/>
  <c r="C352" i="18"/>
  <c r="F334" i="18"/>
  <c r="G345" i="18"/>
  <c r="I313" i="18"/>
  <c r="L350" i="18"/>
  <c r="C330" i="18"/>
  <c r="M359" i="18"/>
  <c r="B342" i="18"/>
  <c r="C353" i="18"/>
  <c r="H324" i="18"/>
  <c r="E330" i="18"/>
  <c r="C340" i="18"/>
  <c r="B326" i="18"/>
  <c r="N345" i="18"/>
  <c r="G339" i="18"/>
  <c r="E349" i="18"/>
  <c r="J336" i="18"/>
  <c r="J323" i="18"/>
  <c r="O349" i="18"/>
  <c r="E319" i="18"/>
  <c r="K326" i="18"/>
  <c r="C320" i="18"/>
  <c r="F344" i="18"/>
  <c r="O327" i="18"/>
  <c r="K357" i="18"/>
  <c r="H340" i="18"/>
  <c r="G342" i="18"/>
  <c r="M360" i="18"/>
  <c r="F354" i="18"/>
  <c r="O337" i="18"/>
  <c r="I351" i="18"/>
  <c r="L333" i="18"/>
  <c r="K328" i="18"/>
  <c r="C347" i="18"/>
  <c r="D358" i="18"/>
  <c r="O332" i="18"/>
  <c r="B323" i="18"/>
  <c r="K354" i="18"/>
  <c r="K345" i="18"/>
  <c r="M331" i="18"/>
  <c r="B359" i="18"/>
  <c r="C325" i="18"/>
  <c r="L353" i="18"/>
  <c r="B329" i="18"/>
  <c r="N330" i="18"/>
  <c r="F318" i="18"/>
  <c r="O345" i="18"/>
  <c r="I329" i="18"/>
  <c r="F359" i="18"/>
  <c r="H341" i="18"/>
  <c r="L343" i="18"/>
  <c r="N323" i="18"/>
  <c r="C357" i="18"/>
  <c r="K356" i="18"/>
  <c r="N338" i="18"/>
  <c r="M333" i="18"/>
  <c r="E352" i="18"/>
  <c r="C327" i="18"/>
  <c r="E295" i="18"/>
  <c r="K358" i="18"/>
  <c r="J308" i="18"/>
  <c r="E336" i="18"/>
  <c r="G304" i="18"/>
  <c r="J349" i="18"/>
  <c r="L317" i="18"/>
  <c r="N324" i="18"/>
  <c r="E347" i="18"/>
  <c r="E338" i="18"/>
  <c r="O343" i="18"/>
  <c r="M353" i="18"/>
  <c r="F357" i="18"/>
  <c r="O330" i="18"/>
  <c r="J340" i="18"/>
  <c r="H360" i="18"/>
  <c r="O353" i="18"/>
  <c r="N360" i="18"/>
  <c r="B312" i="18"/>
  <c r="G317" i="18"/>
  <c r="M350" i="18"/>
  <c r="O359" i="18"/>
  <c r="I342" i="18"/>
  <c r="B328" i="18"/>
  <c r="G341" i="18"/>
  <c r="E327" i="18"/>
  <c r="D339" i="18"/>
  <c r="I279" i="18"/>
  <c r="M295" i="18"/>
  <c r="N351" i="18"/>
  <c r="G264" i="18"/>
  <c r="L328" i="18"/>
  <c r="L303" i="18"/>
  <c r="K274" i="18"/>
  <c r="N311" i="18"/>
  <c r="I318" i="18"/>
  <c r="O270" i="18"/>
  <c r="M318" i="18"/>
  <c r="K286" i="18"/>
  <c r="O295" i="18"/>
  <c r="H308" i="18"/>
  <c r="G316" i="18"/>
  <c r="E318" i="18"/>
  <c r="K316" i="18"/>
  <c r="G295" i="18"/>
  <c r="M293" i="18"/>
  <c r="H314" i="18"/>
  <c r="M261" i="18"/>
  <c r="G302" i="18"/>
  <c r="M339" i="18"/>
  <c r="G343" i="18"/>
  <c r="B338" i="18"/>
  <c r="N357" i="18"/>
  <c r="G351" i="18"/>
  <c r="L322" i="18"/>
  <c r="I347" i="18"/>
  <c r="L329" i="18"/>
  <c r="H351" i="18"/>
  <c r="N343" i="18"/>
  <c r="J328" i="18"/>
  <c r="F317" i="18"/>
  <c r="E355" i="18"/>
  <c r="H337" i="18"/>
  <c r="M358" i="18"/>
  <c r="E341" i="18"/>
  <c r="O335" i="18"/>
  <c r="D353" i="18"/>
  <c r="H355" i="18"/>
  <c r="N347" i="18"/>
  <c r="J332" i="18"/>
  <c r="C358" i="18"/>
  <c r="F340" i="18"/>
  <c r="E335" i="18"/>
  <c r="K353" i="18"/>
  <c r="I328" i="18"/>
  <c r="M349" i="18"/>
  <c r="N341" i="18"/>
  <c r="O326" i="18"/>
  <c r="K337" i="18"/>
  <c r="O358" i="18"/>
  <c r="B351" i="18"/>
  <c r="C348" i="18"/>
  <c r="C339" i="18"/>
  <c r="B360" i="18"/>
  <c r="H352" i="18"/>
  <c r="L354" i="18"/>
  <c r="N336" i="18"/>
  <c r="E359" i="18"/>
  <c r="O355" i="18"/>
  <c r="J333" i="18"/>
  <c r="C333" i="18"/>
  <c r="G354" i="18"/>
  <c r="E329" i="18"/>
  <c r="K347" i="18"/>
  <c r="D341" i="18"/>
  <c r="F347" i="18"/>
  <c r="G338" i="18"/>
  <c r="M356" i="18"/>
  <c r="F350" i="18"/>
  <c r="O333" i="18"/>
  <c r="B345" i="18"/>
  <c r="D313" i="18"/>
  <c r="G340" i="18"/>
  <c r="C346" i="18"/>
  <c r="F328" i="18"/>
  <c r="B358" i="18"/>
  <c r="K341" i="18"/>
  <c r="L352" i="18"/>
  <c r="G326" i="18"/>
  <c r="C356" i="18"/>
  <c r="K350" i="18"/>
  <c r="M324" i="18"/>
  <c r="M332" i="18"/>
  <c r="G348" i="18"/>
  <c r="D346" i="18"/>
  <c r="F360" i="18"/>
  <c r="D335" i="18"/>
  <c r="B355" i="18"/>
  <c r="I340" i="18"/>
  <c r="L357" i="18"/>
  <c r="N353" i="18"/>
  <c r="N334" i="18"/>
  <c r="D337" i="18"/>
  <c r="O356" i="18"/>
  <c r="I350" i="18"/>
  <c r="C334" i="18"/>
  <c r="F346" i="18"/>
  <c r="D330" i="18"/>
  <c r="K359" i="18"/>
  <c r="E343" i="18"/>
  <c r="I345" i="18"/>
  <c r="I336" i="18"/>
  <c r="H357" i="18"/>
  <c r="N349" i="18"/>
  <c r="J355" i="18"/>
  <c r="K340" i="18"/>
  <c r="H320" i="18"/>
  <c r="J352" i="18"/>
  <c r="H327" i="18"/>
  <c r="J319" i="18"/>
  <c r="M340" i="18"/>
  <c r="F338" i="18"/>
  <c r="M267" i="18"/>
  <c r="H293" i="18"/>
  <c r="D320" i="18"/>
  <c r="E357" i="18"/>
  <c r="G334" i="18"/>
  <c r="C331" i="18"/>
  <c r="H344" i="18"/>
  <c r="N328" i="18"/>
  <c r="E342" i="18"/>
  <c r="M273" i="18"/>
  <c r="F327" i="18"/>
  <c r="F310" i="18"/>
  <c r="K323" i="18"/>
  <c r="E308" i="18"/>
  <c r="F300" i="18"/>
  <c r="G274" i="18"/>
  <c r="H291" i="18"/>
  <c r="K314" i="18"/>
  <c r="E269" i="18"/>
  <c r="M314" i="18"/>
  <c r="C322" i="18"/>
  <c r="B306" i="18"/>
  <c r="I302" i="18"/>
  <c r="F290" i="18"/>
  <c r="I316" i="18"/>
  <c r="K312" i="18"/>
  <c r="K293" i="18"/>
  <c r="H328" i="18"/>
  <c r="K319" i="18"/>
  <c r="L358" i="18"/>
  <c r="K300" i="18"/>
  <c r="E358" i="18"/>
  <c r="H346" i="18"/>
  <c r="F311" i="18"/>
  <c r="E344" i="18"/>
  <c r="J357" i="18"/>
  <c r="J335" i="18"/>
  <c r="E322" i="18"/>
  <c r="O273" i="18"/>
  <c r="N325" i="18"/>
  <c r="L351" i="18"/>
  <c r="L356" i="18"/>
  <c r="I338" i="18"/>
  <c r="N359" i="18"/>
  <c r="L324" i="18"/>
  <c r="F320" i="18"/>
  <c r="E287" i="18"/>
  <c r="L309" i="18"/>
  <c r="D311" i="18"/>
  <c r="D308" i="18"/>
  <c r="H303" i="18"/>
  <c r="E266" i="18"/>
  <c r="J331" i="18"/>
  <c r="J317" i="18"/>
  <c r="L342" i="18"/>
  <c r="D340" i="18"/>
  <c r="M323" i="18"/>
  <c r="C306" i="18"/>
  <c r="I315" i="18"/>
  <c r="E300" i="18"/>
  <c r="G297" i="18"/>
  <c r="I300" i="18"/>
  <c r="H283" i="18"/>
  <c r="E285" i="18"/>
  <c r="C319" i="18"/>
  <c r="K273" i="18"/>
  <c r="J294" i="18"/>
  <c r="N320" i="18"/>
  <c r="J306" i="18"/>
  <c r="C281" i="18"/>
  <c r="F352" i="18"/>
  <c r="C344" i="18"/>
  <c r="B356" i="18"/>
  <c r="D354" i="18"/>
  <c r="I349" i="18"/>
  <c r="M342" i="18"/>
  <c r="D356" i="18"/>
  <c r="B322" i="18"/>
  <c r="I287" i="18"/>
  <c r="F312" i="18"/>
  <c r="K264" i="18"/>
  <c r="E310" i="18"/>
  <c r="K290" i="18"/>
  <c r="I268" i="18"/>
  <c r="K315" i="18"/>
  <c r="C305" i="18"/>
  <c r="H356" i="18"/>
  <c r="H280" i="18"/>
  <c r="N337" i="18"/>
  <c r="L260" i="18"/>
  <c r="I304" i="18"/>
  <c r="O302" i="18"/>
  <c r="I310" i="18"/>
  <c r="F297" i="18"/>
  <c r="H297" i="18"/>
  <c r="G275" i="18"/>
  <c r="K344" i="18"/>
  <c r="D350" i="18"/>
  <c r="D309" i="18"/>
  <c r="C343" i="18"/>
  <c r="K313" i="18"/>
  <c r="B313" i="18"/>
  <c r="N333" i="18"/>
  <c r="G300" i="18"/>
  <c r="J337" i="18"/>
  <c r="G298" i="18"/>
  <c r="F335" i="18"/>
  <c r="F301" i="18"/>
  <c r="I317" i="18"/>
  <c r="D302" i="18"/>
  <c r="D284" i="18"/>
  <c r="M254" i="18"/>
  <c r="D265" i="18"/>
  <c r="L240" i="18"/>
  <c r="L284" i="18"/>
  <c r="N284" i="18"/>
  <c r="I247" i="18"/>
  <c r="H286" i="18"/>
  <c r="B307" i="18"/>
  <c r="C221" i="18"/>
  <c r="I276" i="18"/>
  <c r="I292" i="18"/>
  <c r="L297" i="18"/>
  <c r="C265" i="18"/>
  <c r="D244" i="18"/>
  <c r="B248" i="18"/>
  <c r="H186" i="18"/>
  <c r="E282" i="18"/>
  <c r="E333" i="18"/>
  <c r="J318" i="18"/>
  <c r="G324" i="18"/>
  <c r="I306" i="18"/>
  <c r="C308" i="18"/>
  <c r="I294" i="18"/>
  <c r="L340" i="18"/>
  <c r="C286" i="18"/>
  <c r="B288" i="18"/>
  <c r="B247" i="18"/>
  <c r="O294" i="18"/>
  <c r="L292" i="18"/>
  <c r="O320" i="18"/>
  <c r="G311" i="18"/>
  <c r="N309" i="18"/>
  <c r="C326" i="18"/>
  <c r="E297" i="18"/>
  <c r="G335" i="18"/>
  <c r="D349" i="18"/>
  <c r="G330" i="18"/>
  <c r="O344" i="18"/>
  <c r="N356" i="18"/>
  <c r="H315" i="18"/>
  <c r="C296" i="18"/>
  <c r="I265" i="18"/>
  <c r="H309" i="18"/>
  <c r="N329" i="18"/>
  <c r="E299" i="18"/>
  <c r="E301" i="18"/>
  <c r="M322" i="18"/>
  <c r="E321" i="18"/>
  <c r="J339" i="18"/>
  <c r="K276" i="18"/>
  <c r="O305" i="18"/>
  <c r="J284" i="18"/>
  <c r="K320" i="18"/>
  <c r="G296" i="18"/>
  <c r="B331" i="18"/>
  <c r="I296" i="18"/>
  <c r="M303" i="18"/>
  <c r="B339" i="18"/>
  <c r="B319" i="18"/>
  <c r="G352" i="18"/>
  <c r="C292" i="18"/>
  <c r="N316" i="18"/>
  <c r="M311" i="18"/>
  <c r="H254" i="18"/>
  <c r="O310" i="18"/>
  <c r="L345" i="18"/>
  <c r="C359" i="18"/>
  <c r="K322" i="18"/>
  <c r="M343" i="18"/>
  <c r="C337" i="18"/>
  <c r="H350" i="18"/>
  <c r="M316" i="18"/>
  <c r="I299" i="18"/>
  <c r="J301" i="18"/>
  <c r="N312" i="18"/>
  <c r="M279" i="18"/>
  <c r="K302" i="18"/>
  <c r="O350" i="18"/>
  <c r="B309" i="18"/>
  <c r="C301" i="18"/>
  <c r="H311" i="18"/>
  <c r="N297" i="18"/>
  <c r="G309" i="18"/>
  <c r="L325" i="18"/>
  <c r="M302" i="18"/>
  <c r="O298" i="18"/>
  <c r="N307" i="18"/>
  <c r="J269" i="18"/>
  <c r="E307" i="18"/>
  <c r="J310" i="18"/>
  <c r="N335" i="18"/>
  <c r="F324" i="18"/>
  <c r="B308" i="18"/>
  <c r="N313" i="18"/>
  <c r="C312" i="18"/>
  <c r="C310" i="18"/>
  <c r="I322" i="18"/>
  <c r="K294" i="18"/>
  <c r="O299" i="18"/>
  <c r="N305" i="18"/>
  <c r="J324" i="18"/>
  <c r="O309" i="18"/>
  <c r="M310" i="18"/>
  <c r="L281" i="18"/>
  <c r="C295" i="18"/>
  <c r="L320" i="18"/>
  <c r="N282" i="18"/>
  <c r="O254" i="18"/>
  <c r="O223" i="18"/>
  <c r="N288" i="18"/>
  <c r="D250" i="18"/>
  <c r="B325" i="18"/>
  <c r="L270" i="18"/>
  <c r="J296" i="18"/>
  <c r="B251" i="18"/>
  <c r="O288" i="18"/>
  <c r="K257" i="18"/>
  <c r="J304" i="18"/>
  <c r="C253" i="18"/>
  <c r="G252" i="18"/>
  <c r="C280" i="18"/>
  <c r="J345" i="18"/>
  <c r="D345" i="18"/>
  <c r="C289" i="18"/>
  <c r="E305" i="18"/>
  <c r="B314" i="18"/>
  <c r="K318" i="18"/>
  <c r="M309" i="18"/>
  <c r="G310" i="18"/>
  <c r="I289" i="18"/>
  <c r="E311" i="18"/>
  <c r="K288" i="18"/>
  <c r="B333" i="18"/>
  <c r="C307" i="18"/>
  <c r="N301" i="18"/>
  <c r="L316" i="18"/>
  <c r="B287" i="18"/>
  <c r="E274" i="18"/>
  <c r="J277" i="18"/>
  <c r="M298" i="18"/>
  <c r="O189" i="18"/>
  <c r="F308" i="18"/>
  <c r="L327" i="18"/>
  <c r="I334" i="18"/>
  <c r="J329" i="18"/>
  <c r="C302" i="18"/>
  <c r="N310" i="18"/>
  <c r="F293" i="18"/>
  <c r="K306" i="18"/>
  <c r="F306" i="18"/>
  <c r="I291" i="18"/>
  <c r="M317" i="18"/>
  <c r="D334" i="18"/>
  <c r="G282" i="18"/>
  <c r="M325" i="18"/>
  <c r="O300" i="18"/>
  <c r="N290" i="18"/>
  <c r="G358" i="18"/>
  <c r="G299" i="18"/>
  <c r="H306" i="18"/>
  <c r="J342" i="18"/>
  <c r="E337" i="18"/>
  <c r="E353" i="18"/>
  <c r="B332" i="18"/>
  <c r="E339" i="18"/>
  <c r="D351" i="18"/>
  <c r="E273" i="18"/>
  <c r="B341" i="18"/>
  <c r="E257" i="18"/>
  <c r="L332" i="18"/>
  <c r="D291" i="18"/>
  <c r="D307" i="18"/>
  <c r="L326" i="18"/>
  <c r="C321" i="18"/>
  <c r="E317" i="18"/>
  <c r="K272" i="18"/>
  <c r="N287" i="18"/>
  <c r="H326" i="18"/>
  <c r="H359" i="18"/>
  <c r="O318" i="18"/>
  <c r="G288" i="18"/>
  <c r="O319" i="18"/>
  <c r="F286" i="18"/>
  <c r="C297" i="18"/>
  <c r="M282" i="18"/>
  <c r="C323" i="18"/>
  <c r="I344" i="18"/>
  <c r="C304" i="18"/>
  <c r="O297" i="18"/>
  <c r="L285" i="18"/>
  <c r="I356" i="18"/>
  <c r="H329" i="18"/>
  <c r="C335" i="18"/>
  <c r="H348" i="18"/>
  <c r="F322" i="18"/>
  <c r="M351" i="18"/>
  <c r="O328" i="18"/>
  <c r="D344" i="18"/>
  <c r="G319" i="18"/>
  <c r="I295" i="18"/>
  <c r="G270" i="18"/>
  <c r="N308" i="18"/>
  <c r="L299" i="18"/>
  <c r="N298" i="18"/>
  <c r="J313" i="18"/>
  <c r="I324" i="18"/>
  <c r="O268" i="18"/>
  <c r="L310" i="18"/>
  <c r="J307" i="18"/>
  <c r="I305" i="18"/>
  <c r="J326" i="18"/>
  <c r="G322" i="18"/>
  <c r="E316" i="18"/>
  <c r="J298" i="18"/>
  <c r="G293" i="18"/>
  <c r="D281" i="18"/>
  <c r="O331" i="18"/>
  <c r="I343" i="18"/>
  <c r="K324" i="18"/>
  <c r="O306" i="18"/>
  <c r="L315" i="18"/>
  <c r="E345" i="18"/>
  <c r="I311" i="18"/>
  <c r="K280" i="18"/>
  <c r="C298" i="18"/>
  <c r="G308" i="18"/>
  <c r="G306" i="18"/>
  <c r="G280" i="18"/>
  <c r="E323" i="18"/>
  <c r="M306" i="18"/>
  <c r="J320" i="18"/>
  <c r="F251" i="18"/>
  <c r="C324" i="18"/>
  <c r="C238" i="18"/>
  <c r="J293" i="18"/>
  <c r="D264" i="18"/>
  <c r="H270" i="18"/>
  <c r="H279" i="18"/>
  <c r="D326" i="18"/>
  <c r="L298" i="18"/>
  <c r="B293" i="18"/>
  <c r="L283" i="18"/>
  <c r="L300" i="18"/>
  <c r="I258" i="18"/>
  <c r="O287" i="18"/>
  <c r="L253" i="18"/>
  <c r="M284" i="18"/>
  <c r="H321" i="18"/>
  <c r="L331" i="18"/>
  <c r="L334" i="18"/>
  <c r="I271" i="18"/>
  <c r="N249" i="18"/>
  <c r="L308" i="18"/>
  <c r="E302" i="18"/>
  <c r="E279" i="18"/>
  <c r="J356" i="18"/>
  <c r="C276" i="18"/>
  <c r="M313" i="18"/>
  <c r="K284" i="18"/>
  <c r="L311" i="18"/>
  <c r="O316" i="18"/>
  <c r="B282" i="18"/>
  <c r="N285" i="18"/>
  <c r="F274" i="18"/>
  <c r="J288" i="18"/>
  <c r="M321" i="18"/>
  <c r="F303" i="18"/>
  <c r="N296" i="18"/>
  <c r="F275" i="18"/>
  <c r="M334" i="18"/>
  <c r="D355" i="18"/>
  <c r="B310" i="18"/>
  <c r="I348" i="18"/>
  <c r="L304" i="18"/>
  <c r="L295" i="18"/>
  <c r="H242" i="18"/>
  <c r="M296" i="18"/>
  <c r="E309" i="18"/>
  <c r="H298" i="18"/>
  <c r="E326" i="18"/>
  <c r="I331" i="18"/>
  <c r="N354" i="18"/>
  <c r="J315" i="18"/>
  <c r="B321" i="18"/>
  <c r="K346" i="18"/>
  <c r="F315" i="18"/>
  <c r="O284" i="18"/>
  <c r="D315" i="18"/>
  <c r="J303" i="18"/>
  <c r="O304" i="18"/>
  <c r="D299" i="18"/>
  <c r="N344" i="18"/>
  <c r="O317" i="18"/>
  <c r="L313" i="18"/>
  <c r="K268" i="18"/>
  <c r="K311" i="18"/>
  <c r="I277" i="18"/>
  <c r="N355" i="18"/>
  <c r="M315" i="18"/>
  <c r="D310" i="18"/>
  <c r="O315" i="18"/>
  <c r="I309" i="18"/>
  <c r="C293" i="18"/>
  <c r="B299" i="18"/>
  <c r="G320" i="18"/>
  <c r="J302" i="18"/>
  <c r="C300" i="18"/>
  <c r="M307" i="18"/>
  <c r="L338" i="18"/>
  <c r="E320" i="18"/>
  <c r="C336" i="18"/>
  <c r="G329" i="18"/>
  <c r="C351" i="18"/>
  <c r="E328" i="18"/>
  <c r="H353" i="18"/>
  <c r="J330" i="18"/>
  <c r="I275" i="18"/>
  <c r="M297" i="18"/>
  <c r="F316" i="18"/>
  <c r="G266" i="18"/>
  <c r="E314" i="18"/>
  <c r="K298" i="18"/>
  <c r="M264" i="18"/>
  <c r="H318" i="18"/>
  <c r="I320" i="18"/>
  <c r="F337" i="18"/>
  <c r="M312" i="18"/>
  <c r="L336" i="18"/>
  <c r="B302" i="18"/>
  <c r="I308" i="18"/>
  <c r="G318" i="18"/>
  <c r="F307" i="18"/>
  <c r="K310" i="18"/>
  <c r="E303" i="18"/>
  <c r="B324" i="18"/>
  <c r="C341" i="18"/>
  <c r="M336" i="18"/>
  <c r="O286" i="18"/>
  <c r="N318" i="18"/>
  <c r="D314" i="18"/>
  <c r="E306" i="18"/>
  <c r="H323" i="18"/>
  <c r="F333" i="18"/>
  <c r="F314" i="18"/>
  <c r="K295" i="18"/>
  <c r="E293" i="18"/>
  <c r="D328" i="18"/>
  <c r="G268" i="18"/>
  <c r="E291" i="18"/>
  <c r="H264" i="18"/>
  <c r="M214" i="18"/>
  <c r="D305" i="18"/>
  <c r="J327" i="18"/>
  <c r="F289" i="18"/>
  <c r="N304" i="18"/>
  <c r="F292" i="18"/>
  <c r="G205" i="18"/>
  <c r="B295" i="18"/>
  <c r="I248" i="18"/>
  <c r="K289" i="18"/>
  <c r="K305" i="18"/>
  <c r="N279" i="18"/>
  <c r="D296" i="18"/>
  <c r="D260" i="18"/>
  <c r="K262" i="18"/>
  <c r="M216" i="18"/>
  <c r="H295" i="18"/>
  <c r="C345" i="18"/>
  <c r="G344" i="18"/>
  <c r="F321" i="18"/>
  <c r="M320" i="18"/>
  <c r="O311" i="18"/>
  <c r="H310" i="18"/>
  <c r="B303" i="18"/>
  <c r="M291" i="18"/>
  <c r="O303" i="18"/>
  <c r="M289" i="18"/>
  <c r="O282" i="18"/>
  <c r="H338" i="18"/>
  <c r="G301" i="18"/>
  <c r="E290" i="18"/>
  <c r="O278" i="18"/>
  <c r="M180" i="18"/>
  <c r="N286" i="18"/>
  <c r="C311" i="18"/>
  <c r="C278" i="18"/>
  <c r="B297" i="18"/>
  <c r="K270" i="18"/>
  <c r="G357" i="18"/>
  <c r="I267" i="18"/>
  <c r="E292" i="18"/>
  <c r="H294" i="18"/>
  <c r="N314" i="18"/>
  <c r="M283" i="18"/>
  <c r="G286" i="18"/>
  <c r="I323" i="18"/>
  <c r="N253" i="18"/>
  <c r="H302" i="18"/>
  <c r="H305" i="18"/>
  <c r="K291" i="18"/>
  <c r="M266" i="18"/>
  <c r="O201" i="18"/>
  <c r="B281" i="18"/>
  <c r="N258" i="18"/>
  <c r="B320" i="18"/>
  <c r="F263" i="18"/>
  <c r="L279" i="18"/>
  <c r="H240" i="18"/>
  <c r="B292" i="18"/>
  <c r="M255" i="18"/>
  <c r="K351" i="18"/>
  <c r="G323" i="18"/>
  <c r="F283" i="18"/>
  <c r="L319" i="18"/>
  <c r="M348" i="18"/>
  <c r="L296" i="18"/>
  <c r="I325" i="18"/>
  <c r="B298" i="18"/>
  <c r="E298" i="18"/>
  <c r="G287" i="18"/>
  <c r="J325" i="18"/>
  <c r="C313" i="18"/>
  <c r="O322" i="18"/>
  <c r="G272" i="18"/>
  <c r="H278" i="18"/>
  <c r="B301" i="18"/>
  <c r="L258" i="18"/>
  <c r="E312" i="18"/>
  <c r="D245" i="18"/>
  <c r="D287" i="18"/>
  <c r="K203" i="18"/>
  <c r="M275" i="18"/>
  <c r="K242" i="18"/>
  <c r="L242" i="18"/>
  <c r="K309" i="18"/>
  <c r="N289" i="18"/>
  <c r="L267" i="18"/>
  <c r="G243" i="18"/>
  <c r="F287" i="18"/>
  <c r="G229" i="18"/>
  <c r="G271" i="18"/>
  <c r="M285" i="18"/>
  <c r="B266" i="18"/>
  <c r="M270" i="18"/>
  <c r="N241" i="18"/>
  <c r="D317" i="18"/>
  <c r="H300" i="18"/>
  <c r="B300" i="18"/>
  <c r="N273" i="18"/>
  <c r="D252" i="18"/>
  <c r="I263" i="18"/>
  <c r="O293" i="18"/>
  <c r="I243" i="18"/>
  <c r="I244" i="18"/>
  <c r="H255" i="18"/>
  <c r="N268" i="18"/>
  <c r="H282" i="18"/>
  <c r="O242" i="18"/>
  <c r="C203" i="18"/>
  <c r="M130" i="18"/>
  <c r="G313" i="18"/>
  <c r="B249" i="18"/>
  <c r="J263" i="18"/>
  <c r="O255" i="18"/>
  <c r="O258" i="18"/>
  <c r="J251" i="18"/>
  <c r="I301" i="18"/>
  <c r="O252" i="18"/>
  <c r="G249" i="18"/>
  <c r="F284" i="18"/>
  <c r="G236" i="18"/>
  <c r="N274" i="18"/>
  <c r="O280" i="18"/>
  <c r="C287" i="18"/>
  <c r="G269" i="18"/>
  <c r="E264" i="18"/>
  <c r="M281" i="18"/>
  <c r="E255" i="18"/>
  <c r="C274" i="18"/>
  <c r="G262" i="18"/>
  <c r="I274" i="18"/>
  <c r="N252" i="18"/>
  <c r="I285" i="18"/>
  <c r="I198" i="18"/>
  <c r="O267" i="18"/>
  <c r="N244" i="18"/>
  <c r="F279" i="18"/>
  <c r="F243" i="18"/>
  <c r="F235" i="18"/>
  <c r="F246" i="18"/>
  <c r="E191" i="18"/>
  <c r="H266" i="18"/>
  <c r="B278" i="18"/>
  <c r="I249" i="18"/>
  <c r="I216" i="18"/>
  <c r="K267" i="18"/>
  <c r="M236" i="18"/>
  <c r="H289" i="18"/>
  <c r="J286" i="18"/>
  <c r="M256" i="18"/>
  <c r="F241" i="18"/>
  <c r="F261" i="18"/>
  <c r="B262" i="18"/>
  <c r="L302" i="18"/>
  <c r="H292" i="18"/>
  <c r="D254" i="18"/>
  <c r="B259" i="18"/>
  <c r="M259" i="18"/>
  <c r="M277" i="18"/>
  <c r="F296" i="18"/>
  <c r="F282" i="18"/>
  <c r="J299" i="18"/>
  <c r="B289" i="18"/>
  <c r="I286" i="18"/>
  <c r="C277" i="18"/>
  <c r="F332" i="18"/>
  <c r="B315" i="18"/>
  <c r="L312" i="18"/>
  <c r="H343" i="18"/>
  <c r="C314" i="18"/>
  <c r="I278" i="18"/>
  <c r="O266" i="18"/>
  <c r="I321" i="18"/>
  <c r="J316" i="18"/>
  <c r="L272" i="18"/>
  <c r="O272" i="18"/>
  <c r="E294" i="18"/>
  <c r="J246" i="18"/>
  <c r="E253" i="18"/>
  <c r="E271" i="18"/>
  <c r="E315" i="18"/>
  <c r="F268" i="18"/>
  <c r="F294" i="18"/>
  <c r="G314" i="18"/>
  <c r="I284" i="18"/>
  <c r="I312" i="18"/>
  <c r="M304" i="18"/>
  <c r="H296" i="18"/>
  <c r="M192" i="18"/>
  <c r="N271" i="18"/>
  <c r="B285" i="18"/>
  <c r="N300" i="18"/>
  <c r="J272" i="18"/>
  <c r="H281" i="18"/>
  <c r="J276" i="18"/>
  <c r="J282" i="18"/>
  <c r="C244" i="18"/>
  <c r="C279" i="18"/>
  <c r="O291" i="18"/>
  <c r="F269" i="18"/>
  <c r="G350" i="18"/>
  <c r="H349" i="18"/>
  <c r="C269" i="18"/>
  <c r="I332" i="18"/>
  <c r="K317" i="18"/>
  <c r="G290" i="18"/>
  <c r="M265" i="18"/>
  <c r="D266" i="18"/>
  <c r="K285" i="18"/>
  <c r="D348" i="18"/>
  <c r="E324" i="18"/>
  <c r="F309" i="18"/>
  <c r="B327" i="18"/>
  <c r="I297" i="18"/>
  <c r="K297" i="18"/>
  <c r="L321" i="18"/>
  <c r="I264" i="18"/>
  <c r="D274" i="18"/>
  <c r="J281" i="18"/>
  <c r="G276" i="18"/>
  <c r="N261" i="18"/>
  <c r="K321" i="18"/>
  <c r="B291" i="18"/>
  <c r="F305" i="18"/>
  <c r="H248" i="18"/>
  <c r="K221" i="18"/>
  <c r="N302" i="18"/>
  <c r="J271" i="18"/>
  <c r="C275" i="18"/>
  <c r="D278" i="18"/>
  <c r="F250" i="18"/>
  <c r="I327" i="18"/>
  <c r="J338" i="18"/>
  <c r="C268" i="18"/>
  <c r="C315" i="18"/>
  <c r="H334" i="18"/>
  <c r="O313" i="18"/>
  <c r="D316" i="18"/>
  <c r="C294" i="18"/>
  <c r="C316" i="18"/>
  <c r="G294" i="18"/>
  <c r="O276" i="18"/>
  <c r="F295" i="18"/>
  <c r="D332" i="18"/>
  <c r="G285" i="18"/>
  <c r="E267" i="18"/>
  <c r="C271" i="18"/>
  <c r="L293" i="18"/>
  <c r="N299" i="18"/>
  <c r="K234" i="18"/>
  <c r="J273" i="18"/>
  <c r="L245" i="18"/>
  <c r="N339" i="18"/>
  <c r="H287" i="18"/>
  <c r="G292" i="18"/>
  <c r="O283" i="18"/>
  <c r="N280" i="18"/>
  <c r="E284" i="18"/>
  <c r="B253" i="18"/>
  <c r="G278" i="18"/>
  <c r="M287" i="18"/>
  <c r="D319" i="18"/>
  <c r="H307" i="18"/>
  <c r="D301" i="18"/>
  <c r="K197" i="18"/>
  <c r="G267" i="18"/>
  <c r="F266" i="18"/>
  <c r="G258" i="18"/>
  <c r="I269" i="18"/>
  <c r="N292" i="18"/>
  <c r="K277" i="18"/>
  <c r="D242" i="18"/>
  <c r="N291" i="18"/>
  <c r="O205" i="18"/>
  <c r="C264" i="18"/>
  <c r="O248" i="18"/>
  <c r="K255" i="18"/>
  <c r="B267" i="18"/>
  <c r="B240" i="18"/>
  <c r="N295" i="18"/>
  <c r="D156" i="18"/>
  <c r="H150" i="18"/>
  <c r="M272" i="18"/>
  <c r="N239" i="18"/>
  <c r="O215" i="18"/>
  <c r="H276" i="18"/>
  <c r="G273" i="18"/>
  <c r="L262" i="18"/>
  <c r="D293" i="18"/>
  <c r="F259" i="18"/>
  <c r="L330" i="18"/>
  <c r="E247" i="18"/>
  <c r="O263" i="18"/>
  <c r="G240" i="18"/>
  <c r="F257" i="18"/>
  <c r="M290" i="18"/>
  <c r="O262" i="18"/>
  <c r="I251" i="18"/>
  <c r="N303" i="18"/>
  <c r="D336" i="18"/>
  <c r="G284" i="18"/>
  <c r="L244" i="18"/>
  <c r="C243" i="18"/>
  <c r="M300" i="18"/>
  <c r="J211" i="18"/>
  <c r="I256" i="18"/>
  <c r="N234" i="18"/>
  <c r="E241" i="18"/>
  <c r="B256" i="18"/>
  <c r="E259" i="18"/>
  <c r="M235" i="18"/>
  <c r="O196" i="18"/>
  <c r="D231" i="18"/>
  <c r="N251" i="18"/>
  <c r="G244" i="18"/>
  <c r="N278" i="18"/>
  <c r="I214" i="18"/>
  <c r="N272" i="18"/>
  <c r="D270" i="18"/>
  <c r="K245" i="18"/>
  <c r="I282" i="18"/>
  <c r="G255" i="18"/>
  <c r="J322" i="18"/>
  <c r="E252" i="18"/>
  <c r="I259" i="18"/>
  <c r="I228" i="18"/>
  <c r="M288" i="18"/>
  <c r="H256" i="18"/>
  <c r="D269" i="18"/>
  <c r="G227" i="18"/>
  <c r="K247" i="18"/>
  <c r="O290" i="18"/>
  <c r="F304" i="18"/>
  <c r="C270" i="18"/>
  <c r="D321" i="18"/>
  <c r="G307" i="18"/>
  <c r="E283" i="18"/>
  <c r="L301" i="18"/>
  <c r="J287" i="18"/>
  <c r="J278" i="18"/>
  <c r="N265" i="18"/>
  <c r="M280" i="18"/>
  <c r="J270" i="18"/>
  <c r="C207" i="18"/>
  <c r="J289" i="18"/>
  <c r="B284" i="18"/>
  <c r="I280" i="18"/>
  <c r="B243" i="18"/>
  <c r="O264" i="18"/>
  <c r="M268" i="18"/>
  <c r="C260" i="18"/>
  <c r="M238" i="18"/>
  <c r="L259" i="18"/>
  <c r="E237" i="18"/>
  <c r="H167" i="18"/>
  <c r="J265" i="18"/>
  <c r="J248" i="18"/>
  <c r="B286" i="18"/>
  <c r="F273" i="18"/>
  <c r="O277" i="18"/>
  <c r="D292" i="18"/>
  <c r="I245" i="18"/>
  <c r="F248" i="18"/>
  <c r="L243" i="18"/>
  <c r="L263" i="18"/>
  <c r="C303" i="18"/>
  <c r="M206" i="18"/>
  <c r="G259" i="18"/>
  <c r="H257" i="18"/>
  <c r="E180" i="18"/>
  <c r="E243" i="18"/>
  <c r="J291" i="18"/>
  <c r="N276" i="18"/>
  <c r="I253" i="18"/>
  <c r="C249" i="18"/>
  <c r="B245" i="18"/>
  <c r="K250" i="18"/>
  <c r="O234" i="18"/>
  <c r="I238" i="18"/>
  <c r="J314" i="18"/>
  <c r="O323" i="18"/>
  <c r="K303" i="18"/>
  <c r="G279" i="18"/>
  <c r="I303" i="18"/>
  <c r="J274" i="18"/>
  <c r="F203" i="18"/>
  <c r="B264" i="18"/>
  <c r="H180" i="18"/>
  <c r="C227" i="18"/>
  <c r="L230" i="18"/>
  <c r="K241" i="18"/>
  <c r="C187" i="18"/>
  <c r="N183" i="18"/>
  <c r="F253" i="18"/>
  <c r="I206" i="18"/>
  <c r="N264" i="18"/>
  <c r="N218" i="18"/>
  <c r="D323" i="18"/>
  <c r="J243" i="18"/>
  <c r="J257" i="18"/>
  <c r="L252" i="18"/>
  <c r="E286" i="18"/>
  <c r="C284" i="18"/>
  <c r="H288" i="18"/>
  <c r="E265" i="18"/>
  <c r="H285" i="18"/>
  <c r="N259" i="18"/>
  <c r="I226" i="18"/>
  <c r="K296" i="18"/>
  <c r="E263" i="18"/>
  <c r="L306" i="18"/>
  <c r="N283" i="18"/>
  <c r="B277" i="18"/>
  <c r="N319" i="18"/>
  <c r="I290" i="18"/>
  <c r="G303" i="18"/>
  <c r="K232" i="18"/>
  <c r="D249" i="18"/>
  <c r="K275" i="18"/>
  <c r="M251" i="18"/>
  <c r="E275" i="18"/>
  <c r="J241" i="18"/>
  <c r="C291" i="18"/>
  <c r="N222" i="18"/>
  <c r="D217" i="18"/>
  <c r="K187" i="18"/>
  <c r="M245" i="18"/>
  <c r="D259" i="18"/>
  <c r="E232" i="18"/>
  <c r="D297" i="18"/>
  <c r="M246" i="18"/>
  <c r="M244" i="18"/>
  <c r="D294" i="18"/>
  <c r="C242" i="18"/>
  <c r="M276" i="18"/>
  <c r="F238" i="18"/>
  <c r="B294" i="18"/>
  <c r="J258" i="18"/>
  <c r="F298" i="18"/>
  <c r="C236" i="18"/>
  <c r="N281" i="18"/>
  <c r="E242" i="18"/>
  <c r="L261" i="18"/>
  <c r="D200" i="18"/>
  <c r="F278" i="18"/>
  <c r="M188" i="18"/>
  <c r="D262" i="18"/>
  <c r="M220" i="18"/>
  <c r="J203" i="18"/>
  <c r="G186" i="18"/>
  <c r="F210" i="18"/>
  <c r="G180" i="18"/>
  <c r="G207" i="18"/>
  <c r="D222" i="18"/>
  <c r="O81" i="18"/>
  <c r="J214" i="18"/>
  <c r="I232" i="18"/>
  <c r="F199" i="18"/>
  <c r="E225" i="18"/>
  <c r="I219" i="18"/>
  <c r="L290" i="18"/>
  <c r="O301" i="18"/>
  <c r="L287" i="18"/>
  <c r="D295" i="18"/>
  <c r="K335" i="18"/>
  <c r="K301" i="18"/>
  <c r="N327" i="18"/>
  <c r="H319" i="18"/>
  <c r="H259" i="18"/>
  <c r="N270" i="18"/>
  <c r="G289" i="18"/>
  <c r="B250" i="18"/>
  <c r="I261" i="18"/>
  <c r="J295" i="18"/>
  <c r="E249" i="18"/>
  <c r="L250" i="18"/>
  <c r="J297" i="18"/>
  <c r="H262" i="18"/>
  <c r="G281" i="18"/>
  <c r="C246" i="18"/>
  <c r="N254" i="18"/>
  <c r="N257" i="18"/>
  <c r="D168" i="18"/>
  <c r="I181" i="18"/>
  <c r="M231" i="18"/>
  <c r="L172" i="18"/>
  <c r="M242" i="18"/>
  <c r="K231" i="18"/>
  <c r="K287" i="18"/>
  <c r="L305" i="18"/>
  <c r="H261" i="18"/>
  <c r="F291" i="18"/>
  <c r="D289" i="18"/>
  <c r="C273" i="18"/>
  <c r="B269" i="18"/>
  <c r="M271" i="18"/>
  <c r="I270" i="18"/>
  <c r="F280" i="18"/>
  <c r="M250" i="18"/>
  <c r="I235" i="18"/>
  <c r="C250" i="18"/>
  <c r="M210" i="18"/>
  <c r="B185" i="18"/>
  <c r="N235" i="18"/>
  <c r="O307" i="18"/>
  <c r="H258" i="18"/>
  <c r="B260" i="18"/>
  <c r="G321" i="18"/>
  <c r="B263" i="18"/>
  <c r="D240" i="18"/>
  <c r="J227" i="18"/>
  <c r="E270" i="18"/>
  <c r="K299" i="18"/>
  <c r="H301" i="18"/>
  <c r="B255" i="18"/>
  <c r="C282" i="18"/>
  <c r="K199" i="18"/>
  <c r="H269" i="18"/>
  <c r="G305" i="18"/>
  <c r="K260" i="18"/>
  <c r="O179" i="18"/>
  <c r="L238" i="18"/>
  <c r="E202" i="18"/>
  <c r="D166" i="18"/>
  <c r="J233" i="18"/>
  <c r="J250" i="18"/>
  <c r="E260" i="18"/>
  <c r="D276" i="18"/>
  <c r="C252" i="18"/>
  <c r="H299" i="18"/>
  <c r="D267" i="18"/>
  <c r="O281" i="18"/>
  <c r="J249" i="18"/>
  <c r="J253" i="18"/>
  <c r="L291" i="18"/>
  <c r="M237" i="18"/>
  <c r="D306" i="18"/>
  <c r="M319" i="18"/>
  <c r="F302" i="18"/>
  <c r="O292" i="18"/>
  <c r="M274" i="18"/>
  <c r="O279" i="18"/>
  <c r="F270" i="18"/>
  <c r="D256" i="18"/>
  <c r="J290" i="18"/>
  <c r="C285" i="18"/>
  <c r="E220" i="18"/>
  <c r="J305" i="18"/>
  <c r="N246" i="18"/>
  <c r="M253" i="18"/>
  <c r="E212" i="18"/>
  <c r="M239" i="18"/>
  <c r="H263" i="18"/>
  <c r="K256" i="18"/>
  <c r="L247" i="18"/>
  <c r="N136" i="18"/>
  <c r="L288" i="18"/>
  <c r="D243" i="18"/>
  <c r="G225" i="18"/>
  <c r="H253" i="18"/>
  <c r="H212" i="18"/>
  <c r="I222" i="18"/>
  <c r="D226" i="18"/>
  <c r="J165" i="18"/>
  <c r="K223" i="18"/>
  <c r="C181" i="18"/>
  <c r="G213" i="18"/>
  <c r="B217" i="18"/>
  <c r="F265" i="18"/>
  <c r="M252" i="18"/>
  <c r="N248" i="18"/>
  <c r="N192" i="18"/>
  <c r="O229" i="18"/>
  <c r="E233" i="18"/>
  <c r="L271" i="18"/>
  <c r="G198" i="18"/>
  <c r="G254" i="18"/>
  <c r="N175" i="18"/>
  <c r="L268" i="18"/>
  <c r="J189" i="18"/>
  <c r="I221" i="18"/>
  <c r="H157" i="18"/>
  <c r="J168" i="18"/>
  <c r="I173" i="18"/>
  <c r="D188" i="18"/>
  <c r="F145" i="18"/>
  <c r="J268" i="18"/>
  <c r="I242" i="18"/>
  <c r="J226" i="18"/>
  <c r="M155" i="18"/>
  <c r="O156" i="18"/>
  <c r="N197" i="18"/>
  <c r="L164" i="18"/>
  <c r="D120" i="18"/>
  <c r="L187" i="18"/>
  <c r="F123" i="18"/>
  <c r="M201" i="18"/>
  <c r="C133" i="18"/>
  <c r="H216" i="18"/>
  <c r="L210" i="18"/>
  <c r="K171" i="18"/>
  <c r="C125" i="18"/>
  <c r="J193" i="18"/>
  <c r="N187" i="18"/>
  <c r="I145" i="18"/>
  <c r="F205" i="18"/>
  <c r="N104" i="18"/>
  <c r="K237" i="18"/>
  <c r="O240" i="18"/>
  <c r="C245" i="18"/>
  <c r="E235" i="18"/>
  <c r="M258" i="18"/>
  <c r="J118" i="18"/>
  <c r="H250" i="18"/>
  <c r="D241" i="18"/>
  <c r="C350" i="18"/>
  <c r="K266" i="18"/>
  <c r="O308" i="18"/>
  <c r="H336" i="18"/>
  <c r="H330" i="18"/>
  <c r="F329" i="18"/>
  <c r="B257" i="18"/>
  <c r="M308" i="18"/>
  <c r="E278" i="18"/>
  <c r="G277" i="18"/>
  <c r="E239" i="18"/>
  <c r="C266" i="18"/>
  <c r="C261" i="18"/>
  <c r="J255" i="18"/>
  <c r="K307" i="18"/>
  <c r="G239" i="18"/>
  <c r="K215" i="18"/>
  <c r="F254" i="18"/>
  <c r="C283" i="18"/>
  <c r="D304" i="18"/>
  <c r="I239" i="18"/>
  <c r="G197" i="18"/>
  <c r="M224" i="18"/>
  <c r="D173" i="18"/>
  <c r="F244" i="18"/>
  <c r="O185" i="18"/>
  <c r="L256" i="18"/>
  <c r="E288" i="18"/>
  <c r="C186" i="18"/>
  <c r="D288" i="18"/>
  <c r="F267" i="18"/>
  <c r="J247" i="18"/>
  <c r="G265" i="18"/>
  <c r="J279" i="18"/>
  <c r="B265" i="18"/>
  <c r="J262" i="18"/>
  <c r="E230" i="18"/>
  <c r="C215" i="18"/>
  <c r="M228" i="18"/>
  <c r="B234" i="18"/>
  <c r="I257" i="18"/>
  <c r="I272" i="18"/>
  <c r="B311" i="18"/>
  <c r="F255" i="18"/>
  <c r="G215" i="18"/>
  <c r="F245" i="18"/>
  <c r="M292" i="18"/>
  <c r="O269" i="18"/>
  <c r="N322" i="18"/>
  <c r="L255" i="18"/>
  <c r="M269" i="18"/>
  <c r="E276" i="18"/>
  <c r="J266" i="18"/>
  <c r="H290" i="18"/>
  <c r="F285" i="18"/>
  <c r="D258" i="18"/>
  <c r="N256" i="18"/>
  <c r="B233" i="18"/>
  <c r="G211" i="18"/>
  <c r="G247" i="18"/>
  <c r="C225" i="18"/>
  <c r="E176" i="18"/>
  <c r="N213" i="18"/>
  <c r="O257" i="18"/>
  <c r="M233" i="18"/>
  <c r="O193" i="18"/>
  <c r="L257" i="18"/>
  <c r="E304" i="18"/>
  <c r="C272" i="18"/>
  <c r="L278" i="18"/>
  <c r="G242" i="18"/>
  <c r="M257" i="18"/>
  <c r="K283" i="18"/>
  <c r="G217" i="18"/>
  <c r="C317" i="18"/>
  <c r="M305" i="18"/>
  <c r="I233" i="18"/>
  <c r="I283" i="18"/>
  <c r="B268" i="18"/>
  <c r="L266" i="18"/>
  <c r="E272" i="18"/>
  <c r="E281" i="18"/>
  <c r="B274" i="18"/>
  <c r="O271" i="18"/>
  <c r="D232" i="18"/>
  <c r="F264" i="18"/>
  <c r="C223" i="18"/>
  <c r="H243" i="18"/>
  <c r="N181" i="18"/>
  <c r="J275" i="18"/>
  <c r="G195" i="18"/>
  <c r="C262" i="18"/>
  <c r="K179" i="18"/>
  <c r="F185" i="18"/>
  <c r="K263" i="18"/>
  <c r="K222" i="18"/>
  <c r="C240" i="18"/>
  <c r="L220" i="18"/>
  <c r="L307" i="18"/>
  <c r="D235" i="18"/>
  <c r="K220" i="18"/>
  <c r="O214" i="18"/>
  <c r="J237" i="18"/>
  <c r="L289" i="18"/>
  <c r="F225" i="18"/>
  <c r="G185" i="18"/>
  <c r="I178" i="18"/>
  <c r="M212" i="18"/>
  <c r="E192" i="18"/>
  <c r="L202" i="18"/>
  <c r="F281" i="18"/>
  <c r="G232" i="18"/>
  <c r="I298" i="18"/>
  <c r="F247" i="18"/>
  <c r="B290" i="18"/>
  <c r="B305" i="18"/>
  <c r="J259" i="18"/>
  <c r="C184" i="18"/>
  <c r="O191" i="18"/>
  <c r="H178" i="18"/>
  <c r="J151" i="18"/>
  <c r="N145" i="18"/>
  <c r="H182" i="18"/>
  <c r="I154" i="18"/>
  <c r="L128" i="18"/>
  <c r="N267" i="18"/>
  <c r="F249" i="18"/>
  <c r="M328" i="18"/>
  <c r="O312" i="18"/>
  <c r="G291" i="18"/>
  <c r="K282" i="18"/>
  <c r="C309" i="18"/>
  <c r="K292" i="18"/>
  <c r="H277" i="18"/>
  <c r="E296" i="18"/>
  <c r="D283" i="18"/>
  <c r="C290" i="18"/>
  <c r="O321" i="18"/>
  <c r="L323" i="18"/>
  <c r="K239" i="18"/>
  <c r="M182" i="18"/>
  <c r="K269" i="18"/>
  <c r="I319" i="18"/>
  <c r="M278" i="18"/>
  <c r="L282" i="18"/>
  <c r="D277" i="18"/>
  <c r="C241" i="18"/>
  <c r="B241" i="18"/>
  <c r="O249" i="18"/>
  <c r="M263" i="18"/>
  <c r="O184" i="18"/>
  <c r="F188" i="18"/>
  <c r="F236" i="18"/>
  <c r="J285" i="18"/>
  <c r="E240" i="18"/>
  <c r="D248" i="18"/>
  <c r="I314" i="18"/>
  <c r="K258" i="18"/>
  <c r="I255" i="18"/>
  <c r="G233" i="18"/>
  <c r="J283" i="18"/>
  <c r="I307" i="18"/>
  <c r="J206" i="18"/>
  <c r="O203" i="18"/>
  <c r="L215" i="18"/>
  <c r="H229" i="18"/>
  <c r="G238" i="18"/>
  <c r="K238" i="18"/>
  <c r="M208" i="18"/>
  <c r="B275" i="18"/>
  <c r="L280" i="18"/>
  <c r="K279" i="18"/>
  <c r="L294" i="18"/>
  <c r="G261" i="18"/>
  <c r="O265" i="18"/>
  <c r="C267" i="18"/>
  <c r="C199" i="18"/>
  <c r="H284" i="18"/>
  <c r="O314" i="18"/>
  <c r="E208" i="18"/>
  <c r="B283" i="18"/>
  <c r="O250" i="18"/>
  <c r="D246" i="18"/>
  <c r="O197" i="18"/>
  <c r="N293" i="18"/>
  <c r="G251" i="18"/>
  <c r="H268" i="18"/>
  <c r="H267" i="18"/>
  <c r="M204" i="18"/>
  <c r="G219" i="18"/>
  <c r="O253" i="18"/>
  <c r="I254" i="18"/>
  <c r="L237" i="18"/>
  <c r="M243" i="18"/>
  <c r="G283" i="18"/>
  <c r="H272" i="18"/>
  <c r="O289" i="18"/>
  <c r="B279" i="18"/>
  <c r="H249" i="18"/>
  <c r="I288" i="18"/>
  <c r="J292" i="18"/>
  <c r="K265" i="18"/>
  <c r="B296" i="18"/>
  <c r="O246" i="18"/>
  <c r="K271" i="18"/>
  <c r="F260" i="18"/>
  <c r="O275" i="18"/>
  <c r="C211" i="18"/>
  <c r="D290" i="18"/>
  <c r="M286" i="18"/>
  <c r="H246" i="18"/>
  <c r="F271" i="18"/>
  <c r="N245" i="18"/>
  <c r="O243" i="18"/>
  <c r="G246" i="18"/>
  <c r="B239" i="18"/>
  <c r="C234" i="18"/>
  <c r="G230" i="18"/>
  <c r="C248" i="18"/>
  <c r="I207" i="18"/>
  <c r="I183" i="18"/>
  <c r="C259" i="18"/>
  <c r="D239" i="18"/>
  <c r="F220" i="18"/>
  <c r="K254" i="18"/>
  <c r="E228" i="18"/>
  <c r="N269" i="18"/>
  <c r="G152" i="18"/>
  <c r="F193" i="18"/>
  <c r="K281" i="18"/>
  <c r="C219" i="18"/>
  <c r="N266" i="18"/>
  <c r="N240" i="18"/>
  <c r="M248" i="18"/>
  <c r="J254" i="18"/>
  <c r="I262" i="18"/>
  <c r="B153" i="18"/>
  <c r="J280" i="18"/>
  <c r="D155" i="18"/>
  <c r="J190" i="18"/>
  <c r="B123" i="18"/>
  <c r="K131" i="18"/>
  <c r="C196" i="18"/>
  <c r="J196" i="18"/>
  <c r="N232" i="18"/>
  <c r="O138" i="18"/>
  <c r="H175" i="18"/>
  <c r="F125" i="18"/>
  <c r="K211" i="18"/>
  <c r="O226" i="18"/>
  <c r="L117" i="18"/>
  <c r="K235" i="18"/>
  <c r="C204" i="18"/>
  <c r="N190" i="18"/>
  <c r="E171" i="18"/>
  <c r="B252" i="18"/>
  <c r="D280" i="18"/>
  <c r="G181" i="18"/>
  <c r="F222" i="18"/>
  <c r="F256" i="18"/>
  <c r="L166" i="18"/>
  <c r="J256" i="18"/>
  <c r="K216" i="18"/>
  <c r="I190" i="18"/>
  <c r="D194" i="18"/>
  <c r="E204" i="18"/>
  <c r="N207" i="18"/>
  <c r="G256" i="18"/>
  <c r="L249" i="18"/>
  <c r="C257" i="18"/>
  <c r="I234" i="18"/>
  <c r="M241" i="18"/>
  <c r="E262" i="18"/>
  <c r="G260" i="18"/>
  <c r="H191" i="18"/>
  <c r="C220" i="18"/>
  <c r="G151" i="18"/>
  <c r="J235" i="18"/>
  <c r="B229" i="18"/>
  <c r="J125" i="18"/>
  <c r="K161" i="18"/>
  <c r="N211" i="18"/>
  <c r="D206" i="18"/>
  <c r="M163" i="18"/>
  <c r="O115" i="18"/>
  <c r="D123" i="18"/>
  <c r="I197" i="18"/>
  <c r="H221" i="18"/>
  <c r="N148" i="18"/>
  <c r="C154" i="18"/>
  <c r="D151" i="18"/>
  <c r="I200" i="18"/>
  <c r="G200" i="18"/>
  <c r="C216" i="18"/>
  <c r="G210" i="18"/>
  <c r="J134" i="18"/>
  <c r="L112" i="18"/>
  <c r="E193" i="18"/>
  <c r="I187" i="18"/>
  <c r="L111" i="18"/>
  <c r="E153" i="18"/>
  <c r="G132" i="18"/>
  <c r="G199" i="18"/>
  <c r="D218" i="18"/>
  <c r="F140" i="18"/>
  <c r="C173" i="18"/>
  <c r="L216" i="18"/>
  <c r="J180" i="18"/>
  <c r="H218" i="18"/>
  <c r="L181" i="18"/>
  <c r="B176" i="18"/>
  <c r="E110" i="18"/>
  <c r="B124" i="18"/>
  <c r="I165" i="18"/>
  <c r="J159" i="18"/>
  <c r="J260" i="18"/>
  <c r="L273" i="18"/>
  <c r="C251" i="18"/>
  <c r="B261" i="18"/>
  <c r="N137" i="18"/>
  <c r="D132" i="18"/>
  <c r="K261" i="18"/>
  <c r="O241" i="18"/>
  <c r="N243" i="18"/>
  <c r="N262" i="18"/>
  <c r="F288" i="18"/>
  <c r="O244" i="18"/>
  <c r="D275" i="18"/>
  <c r="F186" i="18"/>
  <c r="N229" i="18"/>
  <c r="H245" i="18"/>
  <c r="G253" i="18"/>
  <c r="J245" i="18"/>
  <c r="I241" i="18"/>
  <c r="K213" i="18"/>
  <c r="L246" i="18"/>
  <c r="F197" i="18"/>
  <c r="H213" i="18"/>
  <c r="C197" i="18"/>
  <c r="C167" i="18"/>
  <c r="D208" i="18"/>
  <c r="N173" i="18"/>
  <c r="H132" i="18"/>
  <c r="E143" i="18"/>
  <c r="D184" i="18"/>
  <c r="M223" i="18"/>
  <c r="M172" i="18"/>
  <c r="F228" i="18"/>
  <c r="G189" i="18"/>
  <c r="B213" i="18"/>
  <c r="J92" i="18"/>
  <c r="F50" i="18"/>
  <c r="C75" i="18"/>
  <c r="N191" i="18"/>
  <c r="I231" i="18"/>
  <c r="B114" i="18"/>
  <c r="G188" i="18"/>
  <c r="F212" i="18"/>
  <c r="L139" i="18"/>
  <c r="E158" i="18"/>
  <c r="J222" i="18"/>
  <c r="H189" i="18"/>
  <c r="N116" i="18"/>
  <c r="B225" i="18"/>
  <c r="J261" i="18"/>
  <c r="H275" i="18"/>
  <c r="K236" i="18"/>
  <c r="H251" i="18"/>
  <c r="J182" i="18"/>
  <c r="D171" i="18"/>
  <c r="C193" i="18"/>
  <c r="N263" i="18"/>
  <c r="F242" i="18"/>
  <c r="E218" i="18"/>
  <c r="B271" i="18"/>
  <c r="O231" i="18"/>
  <c r="O260" i="18"/>
  <c r="J119" i="18"/>
  <c r="L248" i="18"/>
  <c r="M200" i="18"/>
  <c r="O238" i="18"/>
  <c r="O251" i="18"/>
  <c r="K229" i="18"/>
  <c r="L269" i="18"/>
  <c r="E244" i="18"/>
  <c r="H128" i="18"/>
  <c r="D210" i="18"/>
  <c r="B177" i="18"/>
  <c r="F132" i="18"/>
  <c r="K206" i="18"/>
  <c r="J230" i="18"/>
  <c r="B158" i="18"/>
  <c r="H109" i="18"/>
  <c r="M183" i="18"/>
  <c r="L207" i="18"/>
  <c r="D135" i="18"/>
  <c r="K185" i="18"/>
  <c r="B173" i="18"/>
  <c r="K212" i="18"/>
  <c r="C59" i="18"/>
  <c r="E44" i="18"/>
  <c r="H163" i="18"/>
  <c r="I191" i="18"/>
  <c r="H215" i="18"/>
  <c r="O107" i="18"/>
  <c r="I224" i="18"/>
  <c r="F227" i="18"/>
  <c r="M186" i="18"/>
  <c r="D228" i="18"/>
  <c r="O177" i="18"/>
  <c r="H204" i="18"/>
  <c r="I225" i="18"/>
  <c r="K224" i="18"/>
  <c r="H211" i="18"/>
  <c r="F178" i="18"/>
  <c r="N88" i="18"/>
  <c r="F102" i="18"/>
  <c r="D59" i="18"/>
  <c r="J163" i="18"/>
  <c r="D237" i="18"/>
  <c r="B145" i="18"/>
  <c r="B169" i="18"/>
  <c r="K208" i="18"/>
  <c r="N119" i="18"/>
  <c r="B115" i="18"/>
  <c r="O218" i="18"/>
  <c r="M185" i="18"/>
  <c r="B196" i="18"/>
  <c r="D203" i="18"/>
  <c r="M135" i="18"/>
  <c r="B197" i="18"/>
  <c r="M197" i="18"/>
  <c r="F116" i="18"/>
  <c r="B232" i="18"/>
  <c r="I160" i="18"/>
  <c r="E166" i="18"/>
  <c r="K209" i="18"/>
  <c r="E167" i="18"/>
  <c r="H149" i="18"/>
  <c r="D142" i="18"/>
  <c r="B154" i="18"/>
  <c r="N238" i="18"/>
  <c r="O187" i="18"/>
  <c r="H120" i="18"/>
  <c r="I223" i="18"/>
  <c r="G190" i="18"/>
  <c r="C164" i="18"/>
  <c r="I186" i="18"/>
  <c r="K200" i="18"/>
  <c r="J224" i="18"/>
  <c r="L177" i="18"/>
  <c r="B172" i="18"/>
  <c r="L224" i="18"/>
  <c r="L175" i="18"/>
  <c r="E111" i="18"/>
  <c r="L203" i="18"/>
  <c r="C158" i="18"/>
  <c r="H92" i="18"/>
  <c r="M148" i="18"/>
  <c r="I106" i="18"/>
  <c r="L176" i="18"/>
  <c r="I175" i="18"/>
  <c r="O188" i="18"/>
  <c r="M153" i="18"/>
  <c r="O135" i="18"/>
  <c r="L93" i="18"/>
  <c r="C91" i="18"/>
  <c r="C67" i="18"/>
  <c r="J93" i="18"/>
  <c r="F122" i="18"/>
  <c r="B360" i="12"/>
  <c r="K54" i="18"/>
  <c r="E34" i="18"/>
  <c r="M74" i="18"/>
  <c r="I170" i="18"/>
  <c r="O164" i="18"/>
  <c r="L131" i="18"/>
  <c r="M54" i="18"/>
  <c r="K95" i="18"/>
  <c r="K71" i="18"/>
  <c r="D98" i="18"/>
  <c r="J140" i="18"/>
  <c r="I96" i="18"/>
  <c r="D51" i="18"/>
  <c r="O75" i="18"/>
  <c r="M42" i="18"/>
  <c r="B14" i="18"/>
  <c r="J148" i="18"/>
  <c r="M132" i="18"/>
  <c r="F272" i="18"/>
  <c r="F252" i="18"/>
  <c r="M209" i="18"/>
  <c r="I188" i="18"/>
  <c r="I208" i="18"/>
  <c r="N225" i="18"/>
  <c r="L229" i="18"/>
  <c r="D128" i="18"/>
  <c r="D118" i="18"/>
  <c r="H77" i="18"/>
  <c r="H158" i="18"/>
  <c r="H173" i="18"/>
  <c r="F187" i="18"/>
  <c r="I203" i="18"/>
  <c r="L140" i="18"/>
  <c r="F239" i="18"/>
  <c r="K180" i="18"/>
  <c r="C226" i="18"/>
  <c r="L144" i="18"/>
  <c r="D282" i="18"/>
  <c r="N255" i="18"/>
  <c r="L232" i="18"/>
  <c r="N198" i="18"/>
  <c r="D261" i="18"/>
  <c r="H271" i="18"/>
  <c r="G263" i="18"/>
  <c r="E280" i="18"/>
  <c r="L274" i="18"/>
  <c r="B273" i="18"/>
  <c r="D216" i="18"/>
  <c r="G202" i="18"/>
  <c r="E224" i="18"/>
  <c r="M222" i="18"/>
  <c r="G248" i="18"/>
  <c r="J244" i="18"/>
  <c r="I266" i="18"/>
  <c r="F258" i="18"/>
  <c r="N294" i="18"/>
  <c r="B168" i="18"/>
  <c r="B175" i="18"/>
  <c r="D236" i="18"/>
  <c r="N236" i="18"/>
  <c r="N212" i="18"/>
  <c r="O181" i="18"/>
  <c r="L208" i="18"/>
  <c r="G176" i="18"/>
  <c r="I202" i="18"/>
  <c r="K233" i="18"/>
  <c r="C190" i="18"/>
  <c r="J171" i="18"/>
  <c r="B180" i="18"/>
  <c r="J240" i="18"/>
  <c r="N109" i="18"/>
  <c r="C129" i="18"/>
  <c r="D81" i="18"/>
  <c r="D195" i="18"/>
  <c r="N231" i="18"/>
  <c r="M147" i="18"/>
  <c r="L188" i="18"/>
  <c r="G228" i="18"/>
  <c r="D110" i="18"/>
  <c r="F164" i="18"/>
  <c r="N165" i="18"/>
  <c r="I205" i="18"/>
  <c r="K150" i="18"/>
  <c r="B210" i="18"/>
  <c r="N227" i="18"/>
  <c r="L194" i="18"/>
  <c r="D65" i="18"/>
  <c r="D99" i="18"/>
  <c r="M56" i="18"/>
  <c r="J173" i="18"/>
  <c r="E213" i="18"/>
  <c r="M162" i="18"/>
  <c r="D227" i="18"/>
  <c r="B194" i="18"/>
  <c r="H121" i="18"/>
  <c r="O139" i="18"/>
  <c r="F204" i="18"/>
  <c r="O221" i="18"/>
  <c r="K252" i="18"/>
  <c r="N260" i="18"/>
  <c r="F276" i="18"/>
  <c r="I112" i="18"/>
  <c r="K243" i="18"/>
  <c r="I220" i="18"/>
  <c r="L251" i="18"/>
  <c r="E261" i="18"/>
  <c r="J267" i="18"/>
  <c r="O225" i="18"/>
  <c r="D253" i="18"/>
  <c r="I240" i="18"/>
  <c r="D286" i="18"/>
  <c r="B236" i="18"/>
  <c r="F299" i="18"/>
  <c r="D263" i="18"/>
  <c r="O239" i="18"/>
  <c r="N250" i="18"/>
  <c r="K253" i="18"/>
  <c r="H265" i="18"/>
  <c r="J191" i="18"/>
  <c r="E222" i="18"/>
  <c r="L226" i="18"/>
  <c r="K195" i="18"/>
  <c r="E205" i="18"/>
  <c r="D229" i="18"/>
  <c r="M145" i="18"/>
  <c r="M190" i="18"/>
  <c r="G182" i="18"/>
  <c r="F206" i="18"/>
  <c r="K166" i="18"/>
  <c r="D160" i="18"/>
  <c r="G224" i="18"/>
  <c r="B121" i="18"/>
  <c r="J87" i="18"/>
  <c r="B127" i="18"/>
  <c r="N160" i="18"/>
  <c r="H168" i="18"/>
  <c r="C208" i="18"/>
  <c r="E236" i="18"/>
  <c r="N170" i="18"/>
  <c r="J232" i="18"/>
  <c r="L69" i="18"/>
  <c r="G212" i="18"/>
  <c r="H154" i="18"/>
  <c r="C205" i="18"/>
  <c r="F207" i="18"/>
  <c r="J201" i="18"/>
  <c r="O237" i="18"/>
  <c r="K240" i="18"/>
  <c r="J264" i="18"/>
  <c r="C258" i="18"/>
  <c r="L179" i="18"/>
  <c r="C288" i="18"/>
  <c r="E254" i="18"/>
  <c r="C256" i="18"/>
  <c r="E245" i="18"/>
  <c r="E258" i="18"/>
  <c r="O232" i="18"/>
  <c r="J242" i="18"/>
  <c r="K246" i="18"/>
  <c r="K278" i="18"/>
  <c r="L276" i="18"/>
  <c r="F277" i="18"/>
  <c r="I218" i="18"/>
  <c r="L286" i="18"/>
  <c r="F240" i="18"/>
  <c r="D285" i="18"/>
  <c r="B254" i="18"/>
  <c r="L126" i="18"/>
  <c r="L186" i="18"/>
  <c r="G226" i="18"/>
  <c r="L180" i="18"/>
  <c r="D189" i="18"/>
  <c r="H162" i="18"/>
  <c r="B88" i="18"/>
  <c r="K230" i="18"/>
  <c r="F166" i="18"/>
  <c r="E214" i="18"/>
  <c r="J225" i="18"/>
  <c r="N219" i="18"/>
  <c r="D114" i="18"/>
  <c r="G143" i="18"/>
  <c r="M165" i="18"/>
  <c r="O147" i="18"/>
  <c r="H214" i="18"/>
  <c r="D225" i="18"/>
  <c r="B192" i="18"/>
  <c r="D219" i="18"/>
  <c r="J239" i="18"/>
  <c r="N203" i="18"/>
  <c r="K63" i="18"/>
  <c r="F196" i="18"/>
  <c r="D214" i="18"/>
  <c r="B181" i="18"/>
  <c r="O206" i="18"/>
  <c r="E201" i="18"/>
  <c r="H125" i="18"/>
  <c r="M168" i="18"/>
  <c r="F216" i="18"/>
  <c r="G173" i="18"/>
  <c r="C136" i="18"/>
  <c r="D140" i="18"/>
  <c r="D220" i="18"/>
  <c r="N215" i="18"/>
  <c r="G218" i="18"/>
  <c r="E185" i="18"/>
  <c r="E124" i="18"/>
  <c r="B193" i="18"/>
  <c r="I195" i="18"/>
  <c r="H219" i="18"/>
  <c r="J172" i="18"/>
  <c r="C179" i="18"/>
  <c r="G95" i="18"/>
  <c r="F223" i="18"/>
  <c r="N221" i="18"/>
  <c r="J192" i="18"/>
  <c r="H194" i="18"/>
  <c r="O219" i="18"/>
  <c r="K188" i="18"/>
  <c r="L192" i="18"/>
  <c r="F163" i="18"/>
  <c r="M108" i="18"/>
  <c r="G153" i="18"/>
  <c r="C111" i="18"/>
  <c r="N121" i="18"/>
  <c r="M219" i="18"/>
  <c r="J197" i="18"/>
  <c r="C200" i="18"/>
  <c r="B224" i="18"/>
  <c r="M103" i="18"/>
  <c r="L174" i="18"/>
  <c r="B235" i="18"/>
  <c r="D201" i="18"/>
  <c r="L160" i="18"/>
  <c r="B155" i="18"/>
  <c r="B219" i="18"/>
  <c r="K163" i="18"/>
  <c r="D141" i="18"/>
  <c r="M166" i="18"/>
  <c r="G148" i="18"/>
  <c r="H156" i="18"/>
  <c r="E146" i="18"/>
  <c r="C198" i="18"/>
  <c r="N159" i="18"/>
  <c r="K80" i="18"/>
  <c r="D75" i="18"/>
  <c r="F92" i="18"/>
  <c r="B50" i="18"/>
  <c r="O83" i="18"/>
  <c r="M179" i="18"/>
  <c r="J126" i="18"/>
  <c r="G127" i="18"/>
  <c r="H139" i="18"/>
  <c r="C86" i="18"/>
  <c r="O85" i="18"/>
  <c r="D136" i="18"/>
  <c r="N131" i="18"/>
  <c r="L109" i="18"/>
  <c r="N94" i="18"/>
  <c r="L61" i="18"/>
  <c r="B344" i="12"/>
  <c r="N117" i="18"/>
  <c r="L135" i="18"/>
  <c r="I136" i="18"/>
  <c r="L157" i="18"/>
  <c r="E161" i="18"/>
  <c r="F158" i="18"/>
  <c r="D125" i="18"/>
  <c r="C47" i="18"/>
  <c r="F87" i="18"/>
  <c r="N142" i="18"/>
  <c r="H230" i="18"/>
  <c r="E159" i="18"/>
  <c r="N128" i="18"/>
  <c r="B244" i="18"/>
  <c r="K191" i="18"/>
  <c r="E234" i="18"/>
  <c r="O151" i="18"/>
  <c r="N220" i="18"/>
  <c r="G177" i="18"/>
  <c r="L143" i="18"/>
  <c r="L107" i="18"/>
  <c r="O121" i="18"/>
  <c r="G154" i="18"/>
  <c r="N216" i="18"/>
  <c r="J170" i="18"/>
  <c r="D238" i="18"/>
  <c r="G208" i="18"/>
  <c r="L138" i="18"/>
  <c r="M213" i="18"/>
  <c r="D179" i="18"/>
  <c r="J208" i="18"/>
  <c r="K219" i="18"/>
  <c r="F217" i="18"/>
  <c r="B270" i="18"/>
  <c r="J204" i="18"/>
  <c r="O192" i="18"/>
  <c r="C254" i="18"/>
  <c r="F262" i="18"/>
  <c r="K249" i="18"/>
  <c r="E196" i="18"/>
  <c r="G234" i="18"/>
  <c r="O209" i="18"/>
  <c r="K248" i="18"/>
  <c r="C134" i="18"/>
  <c r="L254" i="18"/>
  <c r="M262" i="18"/>
  <c r="I237" i="18"/>
  <c r="M247" i="18"/>
  <c r="K207" i="18"/>
  <c r="H252" i="18"/>
  <c r="G221" i="18"/>
  <c r="C149" i="18"/>
  <c r="L193" i="18"/>
  <c r="O168" i="18"/>
  <c r="B230" i="18"/>
  <c r="J205" i="18"/>
  <c r="H172" i="18"/>
  <c r="H169" i="18"/>
  <c r="K170" i="18"/>
  <c r="L182" i="18"/>
  <c r="G222" i="18"/>
  <c r="K184" i="18"/>
  <c r="N226" i="18"/>
  <c r="B163" i="18"/>
  <c r="N129" i="18"/>
  <c r="O91" i="18"/>
  <c r="J46" i="18"/>
  <c r="G71" i="18"/>
  <c r="G183" i="18"/>
  <c r="H208" i="18"/>
  <c r="C209" i="18"/>
  <c r="O186" i="18"/>
  <c r="N210" i="18"/>
  <c r="J132" i="18"/>
  <c r="B215" i="18"/>
  <c r="D221" i="18"/>
  <c r="B188" i="18"/>
  <c r="C247" i="18"/>
  <c r="G223" i="18"/>
  <c r="F208" i="18"/>
  <c r="K146" i="18"/>
  <c r="F69" i="18"/>
  <c r="E151" i="18"/>
  <c r="F124" i="18"/>
  <c r="O222" i="18"/>
  <c r="M189" i="18"/>
  <c r="O216" i="18"/>
  <c r="B159" i="18"/>
  <c r="K217" i="18"/>
  <c r="H51" i="18"/>
  <c r="C194" i="18"/>
  <c r="K259" i="18"/>
  <c r="D300" i="18"/>
  <c r="I213" i="18"/>
  <c r="G245" i="18"/>
  <c r="E227" i="18"/>
  <c r="L223" i="18"/>
  <c r="B242" i="18"/>
  <c r="B231" i="18"/>
  <c r="H236" i="18"/>
  <c r="C218" i="18"/>
  <c r="D257" i="18"/>
  <c r="J195" i="18"/>
  <c r="O236" i="18"/>
  <c r="H210" i="18"/>
  <c r="I246" i="18"/>
  <c r="N224" i="18"/>
  <c r="L239" i="18"/>
  <c r="L241" i="18"/>
  <c r="O256" i="18"/>
  <c r="J234" i="18"/>
  <c r="H274" i="18"/>
  <c r="K190" i="18"/>
  <c r="D187" i="18"/>
  <c r="H206" i="18"/>
  <c r="F159" i="18"/>
  <c r="F179" i="18"/>
  <c r="M181" i="18"/>
  <c r="L205" i="18"/>
  <c r="F84" i="18"/>
  <c r="E229" i="18"/>
  <c r="B216" i="18"/>
  <c r="N182" i="18"/>
  <c r="H142" i="18"/>
  <c r="L136" i="18"/>
  <c r="K218" i="18"/>
  <c r="G145" i="18"/>
  <c r="N122" i="18"/>
  <c r="K147" i="18"/>
  <c r="C114" i="18"/>
  <c r="J109" i="18"/>
  <c r="B228" i="18"/>
  <c r="L217" i="18"/>
  <c r="N153" i="18"/>
  <c r="L120" i="18"/>
  <c r="J200" i="18"/>
  <c r="N194" i="18"/>
  <c r="B131" i="18"/>
  <c r="J183" i="18"/>
  <c r="J161" i="18"/>
  <c r="G193" i="18"/>
  <c r="M230" i="18"/>
  <c r="H197" i="18"/>
  <c r="L275" i="18"/>
  <c r="D211" i="18"/>
  <c r="G179" i="18"/>
  <c r="H260" i="18"/>
  <c r="G204" i="18"/>
  <c r="B258" i="18"/>
  <c r="B202" i="18"/>
  <c r="I212" i="18"/>
  <c r="E195" i="18"/>
  <c r="E226" i="18"/>
  <c r="O208" i="18"/>
  <c r="M249" i="18"/>
  <c r="J221" i="18"/>
  <c r="C195" i="18"/>
  <c r="L198" i="18"/>
  <c r="E246" i="18"/>
  <c r="M194" i="18"/>
  <c r="O259" i="18"/>
  <c r="D234" i="18"/>
  <c r="K169" i="18"/>
  <c r="J131" i="18"/>
  <c r="O202" i="18"/>
  <c r="F237" i="18"/>
  <c r="L165" i="18"/>
  <c r="B139" i="18"/>
  <c r="H223" i="18"/>
  <c r="D213" i="18"/>
  <c r="F149" i="18"/>
  <c r="E210" i="18"/>
  <c r="D199" i="18"/>
  <c r="F180" i="18"/>
  <c r="K225" i="18"/>
  <c r="D172" i="18"/>
  <c r="M116" i="18"/>
  <c r="F181" i="18"/>
  <c r="H205" i="18"/>
  <c r="D139" i="18"/>
  <c r="L156" i="18"/>
  <c r="M260" i="18"/>
  <c r="M187" i="18"/>
  <c r="C165" i="18"/>
  <c r="I250" i="18"/>
  <c r="M226" i="18"/>
  <c r="N168" i="18"/>
  <c r="J158" i="18"/>
  <c r="K138" i="18"/>
  <c r="J179" i="18"/>
  <c r="E219" i="18"/>
  <c r="G164" i="18"/>
  <c r="N155" i="18"/>
  <c r="E168" i="18"/>
  <c r="B204" i="18"/>
  <c r="M114" i="18"/>
  <c r="D198" i="18"/>
  <c r="H192" i="18"/>
  <c r="C150" i="18"/>
  <c r="K183" i="18"/>
  <c r="F175" i="18"/>
  <c r="J169" i="18"/>
  <c r="C168" i="18"/>
  <c r="N188" i="18"/>
  <c r="K153" i="18"/>
  <c r="J130" i="18"/>
  <c r="N132" i="18"/>
  <c r="F184" i="18"/>
  <c r="C192" i="18"/>
  <c r="M157" i="18"/>
  <c r="F226" i="18"/>
  <c r="J236" i="18"/>
  <c r="N209" i="18"/>
  <c r="F233" i="18"/>
  <c r="N199" i="18"/>
  <c r="O204" i="18"/>
  <c r="M150" i="18"/>
  <c r="L185" i="18"/>
  <c r="E123" i="18"/>
  <c r="N179" i="18"/>
  <c r="D174" i="18"/>
  <c r="E177" i="18"/>
  <c r="H225" i="18"/>
  <c r="M229" i="18"/>
  <c r="C224" i="18"/>
  <c r="F148" i="18"/>
  <c r="N135" i="18"/>
  <c r="G135" i="18"/>
  <c r="L199" i="18"/>
  <c r="E206" i="18"/>
  <c r="C161" i="18"/>
  <c r="J138" i="18"/>
  <c r="G163" i="18"/>
  <c r="C122" i="18"/>
  <c r="M107" i="18"/>
  <c r="E76" i="18"/>
  <c r="B104" i="18"/>
  <c r="N158" i="18"/>
  <c r="F59" i="18"/>
  <c r="E175" i="18"/>
  <c r="C160" i="18"/>
  <c r="I167" i="18"/>
  <c r="E88" i="18"/>
  <c r="K139" i="18"/>
  <c r="K126" i="18"/>
  <c r="O212" i="18"/>
  <c r="L133" i="18"/>
  <c r="K111" i="18"/>
  <c r="I84" i="18"/>
  <c r="J154" i="18"/>
  <c r="G110" i="18"/>
  <c r="F60" i="18"/>
  <c r="C85" i="18"/>
  <c r="O51" i="18"/>
  <c r="E54" i="18"/>
  <c r="E144" i="18"/>
  <c r="O101" i="18"/>
  <c r="E231" i="18"/>
  <c r="B152" i="18"/>
  <c r="K158" i="18"/>
  <c r="I230" i="18"/>
  <c r="D271" i="18"/>
  <c r="E126" i="18"/>
  <c r="G103" i="18"/>
  <c r="L222" i="18"/>
  <c r="D170" i="18"/>
  <c r="B220" i="18"/>
  <c r="O105" i="18"/>
  <c r="F131" i="18"/>
  <c r="I229" i="18"/>
  <c r="K251" i="18"/>
  <c r="M234" i="18"/>
  <c r="I184" i="18"/>
  <c r="D144" i="18"/>
  <c r="F211" i="18"/>
  <c r="N205" i="18"/>
  <c r="F214" i="18"/>
  <c r="D185" i="18"/>
  <c r="D247" i="18"/>
  <c r="C212" i="18"/>
  <c r="N306" i="18"/>
  <c r="B167" i="18"/>
  <c r="E268" i="18"/>
  <c r="I260" i="18"/>
  <c r="G250" i="18"/>
  <c r="B223" i="18"/>
  <c r="D268" i="18"/>
  <c r="O213" i="18"/>
  <c r="D298" i="18"/>
  <c r="K227" i="18"/>
  <c r="H244" i="18"/>
  <c r="L204" i="18"/>
  <c r="C217" i="18"/>
  <c r="M199" i="18"/>
  <c r="B280" i="18"/>
  <c r="F177" i="18"/>
  <c r="J252" i="18"/>
  <c r="B191" i="18"/>
  <c r="E203" i="18"/>
  <c r="F170" i="18"/>
  <c r="J143" i="18"/>
  <c r="K201" i="18"/>
  <c r="D182" i="18"/>
  <c r="M221" i="18"/>
  <c r="J77" i="18"/>
  <c r="J229" i="18"/>
  <c r="C232" i="18"/>
  <c r="O198" i="18"/>
  <c r="D209" i="18"/>
  <c r="H203" i="18"/>
  <c r="K137" i="18"/>
  <c r="H151" i="18"/>
  <c r="K156" i="18"/>
  <c r="L153" i="18"/>
  <c r="J120" i="18"/>
  <c r="C206" i="18"/>
  <c r="L110" i="18"/>
  <c r="F234" i="18"/>
  <c r="J220" i="18"/>
  <c r="H187" i="18"/>
  <c r="B66" i="18"/>
  <c r="O210" i="18"/>
  <c r="L197" i="18"/>
  <c r="O176" i="18"/>
  <c r="D124" i="18"/>
  <c r="H118" i="18"/>
  <c r="J202" i="18"/>
  <c r="C127" i="18"/>
  <c r="E179" i="18"/>
  <c r="G129" i="18"/>
  <c r="B151" i="18"/>
  <c r="K154" i="18"/>
  <c r="D205" i="18"/>
  <c r="H199" i="18"/>
  <c r="J135" i="18"/>
  <c r="N201" i="18"/>
  <c r="F182" i="18"/>
  <c r="J176" i="18"/>
  <c r="C185" i="18"/>
  <c r="H241" i="18"/>
  <c r="N277" i="18"/>
  <c r="D255" i="18"/>
  <c r="F161" i="18"/>
  <c r="J155" i="18"/>
  <c r="O285" i="18"/>
  <c r="E251" i="18"/>
  <c r="B246" i="18"/>
  <c r="D251" i="18"/>
  <c r="N247" i="18"/>
  <c r="M193" i="18"/>
  <c r="H247" i="18"/>
  <c r="L209" i="18"/>
  <c r="K244" i="18"/>
  <c r="I194" i="18"/>
  <c r="C183" i="18"/>
  <c r="H273" i="18"/>
  <c r="L233" i="18"/>
  <c r="B276" i="18"/>
  <c r="O247" i="18"/>
  <c r="C213" i="18"/>
  <c r="L264" i="18"/>
  <c r="L200" i="18"/>
  <c r="C235" i="18"/>
  <c r="K228" i="18"/>
  <c r="N152" i="18"/>
  <c r="F143" i="18"/>
  <c r="I211" i="18"/>
  <c r="M205" i="18"/>
  <c r="B130" i="18"/>
  <c r="K178" i="18"/>
  <c r="C117" i="18"/>
  <c r="O261" i="18"/>
  <c r="E238" i="18"/>
  <c r="M142" i="18"/>
  <c r="F120" i="18"/>
  <c r="C145" i="18"/>
  <c r="I236" i="18"/>
  <c r="O199" i="18"/>
  <c r="B200" i="18"/>
  <c r="F194" i="18"/>
  <c r="I128" i="18"/>
  <c r="F142" i="18"/>
  <c r="D177" i="18"/>
  <c r="H171" i="18"/>
  <c r="K105" i="18"/>
  <c r="H119" i="18"/>
  <c r="L158" i="18"/>
  <c r="D178" i="18"/>
  <c r="M196" i="18"/>
  <c r="E250" i="18"/>
  <c r="I210" i="18"/>
  <c r="B221" i="18"/>
  <c r="F215" i="18"/>
  <c r="M240" i="18"/>
  <c r="C231" i="18"/>
  <c r="G201" i="18"/>
  <c r="D272" i="18"/>
  <c r="I252" i="18"/>
  <c r="D279" i="18"/>
  <c r="B272" i="18"/>
  <c r="O227" i="18"/>
  <c r="O217" i="18"/>
  <c r="B304" i="18"/>
  <c r="B207" i="18"/>
  <c r="C189" i="18"/>
  <c r="O211" i="18"/>
  <c r="N237" i="18"/>
  <c r="L277" i="18"/>
  <c r="H184" i="18"/>
  <c r="K196" i="18"/>
  <c r="C191" i="18"/>
  <c r="F218" i="18"/>
  <c r="J212" i="18"/>
  <c r="M146" i="18"/>
  <c r="J160" i="18"/>
  <c r="H195" i="18"/>
  <c r="L189" i="18"/>
  <c r="O123" i="18"/>
  <c r="L137" i="18"/>
  <c r="H193" i="18"/>
  <c r="H196" i="18"/>
  <c r="G237" i="18"/>
  <c r="F110" i="18"/>
  <c r="H166" i="18"/>
  <c r="D162" i="18"/>
  <c r="H174" i="18"/>
  <c r="D233" i="18"/>
  <c r="F133" i="18"/>
  <c r="J127" i="18"/>
  <c r="C182" i="18"/>
  <c r="E136" i="18"/>
  <c r="H234" i="18"/>
  <c r="B211" i="18"/>
  <c r="B166" i="18"/>
  <c r="G113" i="18"/>
  <c r="E178" i="18"/>
  <c r="L235" i="18"/>
  <c r="L201" i="18"/>
  <c r="F189" i="18"/>
  <c r="O162" i="18"/>
  <c r="D105" i="18"/>
  <c r="E211" i="18"/>
  <c r="J198" i="18"/>
  <c r="L146" i="18"/>
  <c r="N242" i="18"/>
  <c r="L212" i="18"/>
  <c r="F192" i="18"/>
  <c r="H116" i="18"/>
  <c r="H226" i="18"/>
  <c r="J187" i="18"/>
  <c r="L150" i="18"/>
  <c r="I227" i="18"/>
  <c r="K73" i="18"/>
  <c r="C53" i="18"/>
  <c r="D190" i="18"/>
  <c r="L225" i="18"/>
  <c r="G131" i="18"/>
  <c r="N202" i="18"/>
  <c r="O134" i="18"/>
  <c r="L191" i="18"/>
  <c r="J209" i="18"/>
  <c r="H176" i="18"/>
  <c r="E125" i="18"/>
  <c r="M80" i="18"/>
  <c r="L231" i="18"/>
  <c r="G257" i="18"/>
  <c r="H122" i="18"/>
  <c r="L236" i="18"/>
  <c r="D192" i="18"/>
  <c r="D158" i="18"/>
  <c r="I161" i="18"/>
  <c r="H202" i="18"/>
  <c r="F169" i="18"/>
  <c r="D126" i="18"/>
  <c r="I189" i="18"/>
  <c r="G241" i="18"/>
  <c r="F231" i="18"/>
  <c r="C113" i="18"/>
  <c r="J68" i="18"/>
  <c r="G93" i="18"/>
  <c r="B214" i="18"/>
  <c r="D130" i="18"/>
  <c r="N144" i="18"/>
  <c r="K145" i="18"/>
  <c r="K136" i="18"/>
  <c r="G123" i="18"/>
  <c r="B143" i="18"/>
  <c r="I157" i="18"/>
  <c r="L163" i="18"/>
  <c r="G162" i="18"/>
  <c r="J48" i="18"/>
  <c r="K175" i="18"/>
  <c r="B119" i="18"/>
  <c r="H114" i="18"/>
  <c r="J122" i="18"/>
  <c r="N85" i="18"/>
  <c r="E60" i="18"/>
  <c r="M106" i="18"/>
  <c r="B135" i="18"/>
  <c r="K214" i="18"/>
  <c r="F229" i="18"/>
  <c r="O117" i="18"/>
  <c r="K210" i="18"/>
  <c r="L152" i="18"/>
  <c r="L132" i="18"/>
  <c r="M232" i="18"/>
  <c r="I199" i="18"/>
  <c r="I169" i="18"/>
  <c r="D167" i="18"/>
  <c r="L178" i="18"/>
  <c r="D154" i="18"/>
  <c r="B238" i="18"/>
  <c r="N230" i="18"/>
  <c r="E165" i="18"/>
  <c r="I139" i="18"/>
  <c r="L213" i="18"/>
  <c r="B208" i="18"/>
  <c r="E142" i="18"/>
  <c r="B156" i="18"/>
  <c r="I209" i="18"/>
  <c r="L214" i="18"/>
  <c r="J181" i="18"/>
  <c r="C144" i="18"/>
  <c r="I180" i="18"/>
  <c r="F200" i="18"/>
  <c r="D152" i="18"/>
  <c r="E133" i="18"/>
  <c r="O170" i="18"/>
  <c r="G101" i="18"/>
  <c r="F76" i="18"/>
  <c r="D23" i="18"/>
  <c r="C172" i="18"/>
  <c r="F126" i="18"/>
  <c r="E160" i="18"/>
  <c r="N83" i="18"/>
  <c r="C222" i="18"/>
  <c r="J153" i="18"/>
  <c r="F111" i="18"/>
  <c r="B70" i="18"/>
  <c r="M121" i="18"/>
  <c r="D80" i="18"/>
  <c r="I148" i="18"/>
  <c r="C102" i="18"/>
  <c r="M171" i="18"/>
  <c r="O148" i="18"/>
  <c r="D60" i="18"/>
  <c r="C100" i="18"/>
  <c r="J167" i="18"/>
  <c r="L162" i="18"/>
  <c r="N115" i="18"/>
  <c r="J74" i="18"/>
  <c r="N124" i="18"/>
  <c r="K149" i="18"/>
  <c r="J175" i="18"/>
  <c r="F41" i="18"/>
  <c r="J69" i="18"/>
  <c r="G364" i="12"/>
  <c r="C177" i="18"/>
  <c r="E112" i="18"/>
  <c r="B237" i="18"/>
  <c r="G119" i="18"/>
  <c r="G138" i="18"/>
  <c r="K173" i="18"/>
  <c r="I137" i="18"/>
  <c r="F202" i="18"/>
  <c r="M225" i="18"/>
  <c r="H179" i="18"/>
  <c r="I117" i="18"/>
  <c r="G206" i="18"/>
  <c r="D193" i="18"/>
  <c r="M167" i="18"/>
  <c r="H61" i="18"/>
  <c r="D83" i="18"/>
  <c r="C228" i="18"/>
  <c r="O194" i="18"/>
  <c r="I144" i="18"/>
  <c r="N208" i="18"/>
  <c r="C239" i="18"/>
  <c r="G175" i="18"/>
  <c r="K121" i="18"/>
  <c r="B186" i="18"/>
  <c r="I182" i="18"/>
  <c r="G147" i="18"/>
  <c r="H188" i="18"/>
  <c r="O190" i="18"/>
  <c r="N214" i="18"/>
  <c r="O167" i="18"/>
  <c r="D113" i="18"/>
  <c r="L95" i="18"/>
  <c r="D104" i="18"/>
  <c r="D134" i="18"/>
  <c r="G146" i="18"/>
  <c r="J152" i="18"/>
  <c r="I74" i="18"/>
  <c r="E134" i="18"/>
  <c r="O159" i="18"/>
  <c r="D180" i="18"/>
  <c r="N180" i="18"/>
  <c r="D150" i="18"/>
  <c r="F146" i="18"/>
  <c r="D106" i="18"/>
  <c r="N70" i="18"/>
  <c r="M125" i="18"/>
  <c r="H26" i="18"/>
  <c r="H363" i="12"/>
  <c r="M137" i="18"/>
  <c r="I130" i="18"/>
  <c r="H237" i="18"/>
  <c r="N233" i="18"/>
  <c r="E164" i="18"/>
  <c r="J157" i="18"/>
  <c r="J164" i="18"/>
  <c r="G99" i="18"/>
  <c r="H75" i="18"/>
  <c r="E68" i="18"/>
  <c r="M48" i="18"/>
  <c r="F75" i="18"/>
  <c r="D108" i="18"/>
  <c r="G157" i="18"/>
  <c r="D197" i="18"/>
  <c r="O183" i="18"/>
  <c r="B171" i="18"/>
  <c r="F219" i="18"/>
  <c r="B122" i="18"/>
  <c r="M207" i="18"/>
  <c r="E256" i="18"/>
  <c r="O195" i="18"/>
  <c r="F114" i="18"/>
  <c r="N86" i="18"/>
  <c r="G187" i="18"/>
  <c r="G196" i="18"/>
  <c r="B179" i="18"/>
  <c r="O228" i="18"/>
  <c r="N147" i="18"/>
  <c r="K99" i="18"/>
  <c r="H217" i="18"/>
  <c r="J194" i="18"/>
  <c r="C263" i="18"/>
  <c r="H190" i="18"/>
  <c r="N189" i="18"/>
  <c r="F198" i="18"/>
  <c r="O178" i="18"/>
  <c r="D138" i="18"/>
  <c r="B128" i="18"/>
  <c r="J99" i="18"/>
  <c r="I168" i="18"/>
  <c r="M50" i="18"/>
  <c r="I72" i="18"/>
  <c r="N123" i="18"/>
  <c r="N81" i="18"/>
  <c r="F45" i="18"/>
  <c r="E182" i="18"/>
  <c r="H201" i="18"/>
  <c r="N139" i="18"/>
  <c r="N92" i="18"/>
  <c r="D143" i="18"/>
  <c r="M170" i="18"/>
  <c r="E194" i="18"/>
  <c r="J59" i="18"/>
  <c r="M105" i="18"/>
  <c r="B20" i="18"/>
  <c r="G142" i="18"/>
  <c r="K113" i="18"/>
  <c r="C166" i="18"/>
  <c r="C171" i="18"/>
  <c r="F62" i="18"/>
  <c r="E96" i="18"/>
  <c r="L147" i="18"/>
  <c r="H105" i="18"/>
  <c r="G139" i="18"/>
  <c r="B126" i="18"/>
  <c r="H124" i="18"/>
  <c r="I143" i="18"/>
  <c r="K133" i="18"/>
  <c r="K77" i="18"/>
  <c r="G25" i="18"/>
  <c r="I333" i="12"/>
  <c r="I56" i="18"/>
  <c r="I149" i="18"/>
  <c r="J146" i="18"/>
  <c r="H113" i="18"/>
  <c r="K165" i="18"/>
  <c r="N176" i="18"/>
  <c r="F172" i="18"/>
  <c r="O108" i="18"/>
  <c r="M72" i="18"/>
  <c r="G53" i="18"/>
  <c r="N79" i="18"/>
  <c r="K135" i="18"/>
  <c r="E78" i="18"/>
  <c r="F100" i="18"/>
  <c r="K57" i="18"/>
  <c r="F93" i="18"/>
  <c r="C346" i="12"/>
  <c r="I142" i="18"/>
  <c r="O127" i="18"/>
  <c r="I176" i="18"/>
  <c r="I164" i="18"/>
  <c r="H198" i="18"/>
  <c r="L195" i="18"/>
  <c r="D74" i="18"/>
  <c r="B98" i="18"/>
  <c r="K103" i="18"/>
  <c r="F68" i="18"/>
  <c r="F103" i="18"/>
  <c r="L154" i="18"/>
  <c r="C137" i="18"/>
  <c r="C40" i="18"/>
  <c r="M169" i="18"/>
  <c r="K141" i="18"/>
  <c r="E140" i="18"/>
  <c r="J52" i="18"/>
  <c r="D8" i="18"/>
  <c r="L64" i="18"/>
  <c r="E104" i="18"/>
  <c r="B198" i="18"/>
  <c r="L173" i="18"/>
  <c r="L218" i="18"/>
  <c r="G45" i="18"/>
  <c r="N195" i="18"/>
  <c r="G171" i="18"/>
  <c r="L206" i="18"/>
  <c r="E209" i="18"/>
  <c r="H233" i="18"/>
  <c r="D82" i="18"/>
  <c r="H76" i="18"/>
  <c r="H228" i="18"/>
  <c r="F195" i="18"/>
  <c r="J150" i="18"/>
  <c r="O224" i="18"/>
  <c r="M191" i="18"/>
  <c r="O136" i="18"/>
  <c r="L127" i="18"/>
  <c r="C202" i="18"/>
  <c r="B226" i="18"/>
  <c r="H153" i="18"/>
  <c r="C229" i="18"/>
  <c r="F191" i="18"/>
  <c r="O230" i="18"/>
  <c r="I86" i="18"/>
  <c r="I62" i="18"/>
  <c r="B89" i="18"/>
  <c r="K160" i="18"/>
  <c r="E150" i="18"/>
  <c r="E223" i="18"/>
  <c r="J129" i="18"/>
  <c r="J80" i="18"/>
  <c r="H47" i="18"/>
  <c r="O166" i="18"/>
  <c r="L123" i="18"/>
  <c r="K157" i="18"/>
  <c r="M159" i="18"/>
  <c r="L148" i="18"/>
  <c r="M161" i="18"/>
  <c r="D137" i="18"/>
  <c r="D47" i="18"/>
  <c r="G310" i="12"/>
  <c r="I365" i="12"/>
  <c r="I78" i="18"/>
  <c r="J136" i="18"/>
  <c r="G161" i="18"/>
  <c r="E128" i="18"/>
  <c r="N51" i="18"/>
  <c r="L114" i="18"/>
  <c r="F155" i="18"/>
  <c r="K167" i="18"/>
  <c r="H155" i="18"/>
  <c r="D97" i="18"/>
  <c r="N54" i="18"/>
  <c r="K79" i="18"/>
  <c r="I46" i="18"/>
  <c r="G360" i="12"/>
  <c r="O6" i="18"/>
  <c r="G216" i="18"/>
  <c r="C159" i="18"/>
  <c r="O220" i="18"/>
  <c r="F153" i="18"/>
  <c r="C255" i="18"/>
  <c r="H108" i="18"/>
  <c r="E190" i="18"/>
  <c r="K172" i="18"/>
  <c r="C210" i="18"/>
  <c r="B146" i="18"/>
  <c r="G209" i="18"/>
  <c r="G231" i="18"/>
  <c r="O182" i="18"/>
  <c r="D107" i="18"/>
  <c r="K148" i="18"/>
  <c r="N141" i="18"/>
  <c r="O150" i="18"/>
  <c r="K204" i="18"/>
  <c r="J228" i="18"/>
  <c r="K198" i="18"/>
  <c r="M218" i="18"/>
  <c r="K181" i="18"/>
  <c r="K100" i="18"/>
  <c r="C233" i="18"/>
  <c r="E198" i="18"/>
  <c r="J217" i="18"/>
  <c r="L170" i="18"/>
  <c r="B165" i="18"/>
  <c r="B162" i="18"/>
  <c r="F168" i="18"/>
  <c r="M122" i="18"/>
  <c r="H177" i="18"/>
  <c r="F109" i="18"/>
  <c r="C93" i="18"/>
  <c r="L124" i="18"/>
  <c r="M143" i="18"/>
  <c r="B150" i="18"/>
  <c r="C73" i="18"/>
  <c r="B56" i="18"/>
  <c r="O89" i="18"/>
  <c r="K47" i="18"/>
  <c r="F83" i="18"/>
  <c r="L47" i="18"/>
  <c r="H69" i="18"/>
  <c r="E94" i="18"/>
  <c r="C61" i="18"/>
  <c r="B37" i="18"/>
  <c r="I89" i="18"/>
  <c r="J114" i="18"/>
  <c r="G165" i="18"/>
  <c r="F221" i="18"/>
  <c r="D183" i="18"/>
  <c r="J133" i="18"/>
  <c r="I59" i="18"/>
  <c r="F52" i="18"/>
  <c r="B74" i="18"/>
  <c r="M98" i="18"/>
  <c r="K65" i="18"/>
  <c r="E135" i="18"/>
  <c r="C157" i="18"/>
  <c r="D224" i="18"/>
  <c r="E131" i="18"/>
  <c r="H220" i="18"/>
  <c r="H239" i="18"/>
  <c r="B178" i="18"/>
  <c r="K193" i="18"/>
  <c r="N143" i="18"/>
  <c r="I179" i="18"/>
  <c r="F190" i="18"/>
  <c r="H126" i="18"/>
  <c r="F165" i="18"/>
  <c r="G55" i="18"/>
  <c r="C77" i="18"/>
  <c r="B212" i="18"/>
  <c r="N178" i="18"/>
  <c r="F173" i="18"/>
  <c r="N223" i="18"/>
  <c r="L190" i="18"/>
  <c r="L227" i="18"/>
  <c r="L211" i="18"/>
  <c r="B201" i="18"/>
  <c r="N167" i="18"/>
  <c r="E221" i="18"/>
  <c r="C188" i="18"/>
  <c r="N174" i="18"/>
  <c r="D148" i="18"/>
  <c r="K128" i="18"/>
  <c r="N64" i="18"/>
  <c r="K89" i="18"/>
  <c r="M96" i="18"/>
  <c r="N154" i="18"/>
  <c r="J112" i="18"/>
  <c r="I146" i="18"/>
  <c r="D70" i="18"/>
  <c r="K226" i="18"/>
  <c r="J186" i="18"/>
  <c r="L122" i="18"/>
  <c r="I151" i="18"/>
  <c r="E122" i="18"/>
  <c r="D73" i="18"/>
  <c r="O97" i="18"/>
  <c r="M64" i="18"/>
  <c r="F22" i="18"/>
  <c r="E25" i="18"/>
  <c r="J34" i="18"/>
  <c r="N80" i="18"/>
  <c r="I185" i="18"/>
  <c r="J141" i="18"/>
  <c r="O165" i="18"/>
  <c r="N60" i="18"/>
  <c r="M144" i="18"/>
  <c r="L77" i="18"/>
  <c r="L103" i="18"/>
  <c r="G69" i="18"/>
  <c r="C115" i="18"/>
  <c r="C131" i="18"/>
  <c r="B82" i="18"/>
  <c r="N48" i="18"/>
  <c r="I3" i="18"/>
  <c r="L72" i="18"/>
  <c r="M154" i="18"/>
  <c r="E172" i="18"/>
  <c r="O119" i="18"/>
  <c r="J76" i="18"/>
  <c r="M129" i="18"/>
  <c r="K67" i="18"/>
  <c r="M112" i="18"/>
  <c r="G115" i="18"/>
  <c r="J27" i="18"/>
  <c r="G144" i="18"/>
  <c r="G167" i="18"/>
  <c r="O99" i="18"/>
  <c r="K151" i="18"/>
  <c r="O142" i="18"/>
  <c r="B140" i="18"/>
  <c r="N106" i="18"/>
  <c r="J97" i="18"/>
  <c r="B69" i="18"/>
  <c r="M136" i="18"/>
  <c r="I114" i="18"/>
  <c r="J60" i="18"/>
  <c r="I94" i="18"/>
  <c r="E52" i="18"/>
  <c r="N87" i="18"/>
  <c r="C8" i="18"/>
  <c r="H232" i="18"/>
  <c r="D116" i="18"/>
  <c r="E145" i="18"/>
  <c r="M113" i="18"/>
  <c r="O157" i="18"/>
  <c r="K115" i="18"/>
  <c r="F213" i="18"/>
  <c r="O78" i="18"/>
  <c r="K159" i="18"/>
  <c r="C104" i="18"/>
  <c r="I323" i="12"/>
  <c r="F101" i="18"/>
  <c r="B366" i="12"/>
  <c r="E33" i="18"/>
  <c r="J41" i="18"/>
  <c r="B100" i="18"/>
  <c r="B94" i="18"/>
  <c r="L7" i="18"/>
  <c r="N110" i="18"/>
  <c r="E117" i="18"/>
  <c r="J102" i="18"/>
  <c r="B53" i="18"/>
  <c r="N33" i="18"/>
  <c r="D28" i="18"/>
  <c r="F84" i="12"/>
  <c r="I294" i="12"/>
  <c r="I61" i="18"/>
  <c r="K36" i="18"/>
  <c r="I40" i="18"/>
  <c r="G44" i="18"/>
  <c r="K110" i="18"/>
  <c r="G75" i="18"/>
  <c r="K69" i="18"/>
  <c r="F342" i="12"/>
  <c r="B46" i="18"/>
  <c r="L84" i="18"/>
  <c r="B79" i="18"/>
  <c r="K60" i="18"/>
  <c r="E71" i="18"/>
  <c r="I65" i="18"/>
  <c r="M93" i="18"/>
  <c r="E132" i="18"/>
  <c r="B83" i="18"/>
  <c r="J218" i="18"/>
  <c r="K19" i="18"/>
  <c r="F134" i="18"/>
  <c r="H238" i="18"/>
  <c r="L155" i="18"/>
  <c r="K45" i="18"/>
  <c r="O70" i="18"/>
  <c r="H83" i="18"/>
  <c r="D223" i="18"/>
  <c r="E184" i="18"/>
  <c r="C201" i="18"/>
  <c r="D175" i="18"/>
  <c r="O233" i="18"/>
  <c r="K177" i="18"/>
  <c r="H209" i="18"/>
  <c r="F183" i="18"/>
  <c r="O140" i="18"/>
  <c r="L168" i="18"/>
  <c r="G159" i="18"/>
  <c r="B187" i="18"/>
  <c r="B205" i="18"/>
  <c r="N171" i="18"/>
  <c r="B199" i="18"/>
  <c r="H207" i="18"/>
  <c r="F174" i="18"/>
  <c r="G116" i="18"/>
  <c r="D176" i="18"/>
  <c r="J184" i="18"/>
  <c r="N157" i="18"/>
  <c r="E186" i="18"/>
  <c r="M178" i="18"/>
  <c r="J137" i="18"/>
  <c r="N112" i="18"/>
  <c r="K162" i="18"/>
  <c r="H117" i="18"/>
  <c r="E118" i="18"/>
  <c r="E99" i="18"/>
  <c r="N185" i="18"/>
  <c r="C180" i="18"/>
  <c r="J121" i="18"/>
  <c r="D79" i="18"/>
  <c r="E173" i="18"/>
  <c r="B96" i="18"/>
  <c r="L53" i="18"/>
  <c r="K87" i="18"/>
  <c r="B136" i="18"/>
  <c r="H131" i="18"/>
  <c r="L100" i="18"/>
  <c r="D67" i="18"/>
  <c r="O30" i="18"/>
  <c r="J100" i="18"/>
  <c r="N89" i="18"/>
  <c r="L88" i="18"/>
  <c r="B134" i="18"/>
  <c r="M158" i="18"/>
  <c r="D212" i="18"/>
  <c r="H50" i="18"/>
  <c r="F154" i="18"/>
  <c r="L149" i="18"/>
  <c r="N107" i="18"/>
  <c r="L71" i="18"/>
  <c r="D92" i="18"/>
  <c r="F139" i="18"/>
  <c r="O174" i="18"/>
  <c r="B51" i="18"/>
  <c r="H94" i="18"/>
  <c r="L73" i="18"/>
  <c r="K194" i="18"/>
  <c r="I54" i="18"/>
  <c r="I121" i="18"/>
  <c r="D145" i="18"/>
  <c r="D133" i="18"/>
  <c r="H135" i="18"/>
  <c r="B190" i="18"/>
  <c r="I215" i="18"/>
  <c r="D169" i="18"/>
  <c r="K192" i="18"/>
  <c r="L169" i="18"/>
  <c r="L134" i="18"/>
  <c r="L234" i="18"/>
  <c r="O200" i="18"/>
  <c r="C146" i="18"/>
  <c r="L130" i="18"/>
  <c r="L228" i="18"/>
  <c r="G136" i="18"/>
  <c r="N186" i="18"/>
  <c r="D181" i="18"/>
  <c r="F117" i="18"/>
  <c r="I201" i="18"/>
  <c r="M175" i="18"/>
  <c r="M164" i="18"/>
  <c r="N169" i="18"/>
  <c r="B133" i="18"/>
  <c r="N111" i="18"/>
  <c r="J219" i="18"/>
  <c r="B183" i="18"/>
  <c r="H144" i="18"/>
  <c r="M203" i="18"/>
  <c r="J147" i="18"/>
  <c r="I119" i="18"/>
  <c r="G168" i="18"/>
  <c r="C140" i="18"/>
  <c r="I108" i="18"/>
  <c r="B80" i="18"/>
  <c r="E8" i="18"/>
  <c r="J166" i="18"/>
  <c r="O132" i="18"/>
  <c r="B106" i="18"/>
  <c r="M91" i="18"/>
  <c r="J117" i="18"/>
  <c r="E137" i="18"/>
  <c r="H143" i="18"/>
  <c r="G65" i="18"/>
  <c r="C110" i="18"/>
  <c r="E81" i="18"/>
  <c r="B195" i="18"/>
  <c r="G77" i="18"/>
  <c r="O57" i="18"/>
  <c r="H84" i="18"/>
  <c r="M152" i="18"/>
  <c r="O74" i="18"/>
  <c r="B125" i="18"/>
  <c r="M141" i="18"/>
  <c r="B148" i="18"/>
  <c r="O69" i="18"/>
  <c r="G121" i="18"/>
  <c r="J199" i="18"/>
  <c r="G194" i="18"/>
  <c r="L94" i="18"/>
  <c r="F230" i="18"/>
  <c r="K189" i="18"/>
  <c r="B209" i="18"/>
  <c r="M227" i="18"/>
  <c r="E187" i="18"/>
  <c r="B189" i="18"/>
  <c r="N166" i="18"/>
  <c r="C101" i="18"/>
  <c r="N114" i="18"/>
  <c r="H159" i="18"/>
  <c r="D117" i="18"/>
  <c r="J188" i="18"/>
  <c r="N161" i="18"/>
  <c r="D273" i="18"/>
  <c r="H200" i="18"/>
  <c r="F167" i="18"/>
  <c r="N95" i="18"/>
  <c r="I192" i="18"/>
  <c r="J177" i="18"/>
  <c r="E217" i="18"/>
  <c r="H227" i="18"/>
  <c r="L221" i="18"/>
  <c r="O155" i="18"/>
  <c r="G174" i="18"/>
  <c r="J111" i="18"/>
  <c r="K132" i="18"/>
  <c r="N138" i="18"/>
  <c r="M58" i="18"/>
  <c r="F152" i="18"/>
  <c r="B110" i="18"/>
  <c r="O143" i="18"/>
  <c r="L68" i="18"/>
  <c r="F91" i="18"/>
  <c r="J85" i="18"/>
  <c r="M128" i="18"/>
  <c r="B90" i="18"/>
  <c r="I129" i="18"/>
  <c r="G63" i="18"/>
  <c r="G169" i="18"/>
  <c r="H70" i="18"/>
  <c r="K13" i="18"/>
  <c r="B92" i="18"/>
  <c r="J44" i="18"/>
  <c r="J162" i="18"/>
  <c r="H136" i="18"/>
  <c r="K152" i="18"/>
  <c r="E170" i="18"/>
  <c r="G344" i="12"/>
  <c r="E46" i="18"/>
  <c r="O67" i="18"/>
  <c r="B113" i="18"/>
  <c r="D76" i="18"/>
  <c r="K118" i="18"/>
  <c r="H140" i="18"/>
  <c r="O158" i="18"/>
  <c r="D53" i="18"/>
  <c r="E109" i="18"/>
  <c r="F63" i="18"/>
  <c r="F136" i="18"/>
  <c r="G87" i="18"/>
  <c r="C124" i="18"/>
  <c r="M66" i="18"/>
  <c r="M198" i="18"/>
  <c r="C175" i="18"/>
  <c r="B117" i="18"/>
  <c r="J103" i="18"/>
  <c r="H86" i="18"/>
  <c r="O125" i="18"/>
  <c r="N217" i="18"/>
  <c r="D215" i="18"/>
  <c r="O145" i="18"/>
  <c r="G140" i="18"/>
  <c r="H137" i="18"/>
  <c r="C178" i="18"/>
  <c r="D96" i="18"/>
  <c r="J67" i="18"/>
  <c r="K52" i="18"/>
  <c r="C230" i="18"/>
  <c r="B222" i="18"/>
  <c r="C142" i="18"/>
  <c r="D115" i="18"/>
  <c r="G96" i="18"/>
  <c r="J116" i="18"/>
  <c r="L167" i="18"/>
  <c r="H112" i="18"/>
  <c r="K142" i="18"/>
  <c r="M127" i="18"/>
  <c r="G155" i="18"/>
  <c r="H235" i="18"/>
  <c r="L171" i="18"/>
  <c r="K125" i="18"/>
  <c r="G58" i="18"/>
  <c r="O15" i="18"/>
  <c r="E353" i="12"/>
  <c r="C82" i="18"/>
  <c r="L48" i="18"/>
  <c r="B43" i="18"/>
  <c r="D40" i="18"/>
  <c r="D29" i="18"/>
  <c r="H23" i="18"/>
  <c r="D121" i="18"/>
  <c r="O62" i="18"/>
  <c r="G308" i="12"/>
  <c r="N36" i="18"/>
  <c r="I342" i="12"/>
  <c r="E366" i="12"/>
  <c r="E356" i="12"/>
  <c r="J145" i="18"/>
  <c r="J84" i="18"/>
  <c r="E56" i="18"/>
  <c r="N151" i="18"/>
  <c r="L85" i="18"/>
  <c r="N55" i="18"/>
  <c r="I107" i="18"/>
  <c r="M217" i="18"/>
  <c r="G111" i="18"/>
  <c r="N206" i="18"/>
  <c r="N200" i="18"/>
  <c r="J185" i="18"/>
  <c r="E248" i="18"/>
  <c r="D186" i="18"/>
  <c r="J215" i="18"/>
  <c r="I204" i="18"/>
  <c r="F201" i="18"/>
  <c r="B170" i="18"/>
  <c r="D204" i="18"/>
  <c r="J174" i="18"/>
  <c r="B157" i="18"/>
  <c r="F171" i="18"/>
  <c r="E197" i="18"/>
  <c r="B184" i="18"/>
  <c r="F157" i="18"/>
  <c r="E189" i="18"/>
  <c r="H231" i="18"/>
  <c r="C170" i="18"/>
  <c r="H134" i="18"/>
  <c r="E215" i="18"/>
  <c r="G192" i="18"/>
  <c r="E200" i="18"/>
  <c r="E188" i="18"/>
  <c r="C135" i="18"/>
  <c r="K205" i="18"/>
  <c r="K117" i="18"/>
  <c r="H138" i="18"/>
  <c r="H164" i="18"/>
  <c r="M176" i="18"/>
  <c r="G134" i="18"/>
  <c r="J8" i="18"/>
  <c r="I64" i="18"/>
  <c r="E86" i="18"/>
  <c r="N163" i="18"/>
  <c r="J107" i="18"/>
  <c r="O131" i="18"/>
  <c r="D207" i="18"/>
  <c r="N113" i="18"/>
  <c r="H71" i="18"/>
  <c r="D61" i="18"/>
  <c r="J81" i="18"/>
  <c r="C151" i="18"/>
  <c r="O103" i="18"/>
  <c r="B64" i="18"/>
  <c r="M88" i="18"/>
  <c r="K55" i="18"/>
  <c r="I313" i="12"/>
  <c r="C141" i="18"/>
  <c r="K186" i="18"/>
  <c r="D122" i="18"/>
  <c r="B76" i="18"/>
  <c r="H127" i="18"/>
  <c r="E152" i="18"/>
  <c r="C119" i="18"/>
  <c r="L42" i="18"/>
  <c r="O86" i="18"/>
  <c r="F72" i="18"/>
  <c r="J139" i="18"/>
  <c r="F156" i="18"/>
  <c r="M138" i="18"/>
  <c r="N177" i="18"/>
  <c r="G150" i="18"/>
  <c r="N62" i="18"/>
  <c r="J213" i="18"/>
  <c r="H170" i="18"/>
  <c r="E155" i="18"/>
  <c r="G220" i="18"/>
  <c r="E183" i="18"/>
  <c r="F209" i="18"/>
  <c r="J216" i="18"/>
  <c r="H183" i="18"/>
  <c r="J178" i="18"/>
  <c r="K144" i="18"/>
  <c r="G172" i="18"/>
  <c r="L196" i="18"/>
  <c r="K174" i="18"/>
  <c r="D164" i="18"/>
  <c r="O207" i="18"/>
  <c r="L105" i="18"/>
  <c r="B147" i="18"/>
  <c r="F141" i="18"/>
  <c r="J238" i="18"/>
  <c r="O149" i="18"/>
  <c r="E216" i="18"/>
  <c r="G214" i="18"/>
  <c r="E181" i="18"/>
  <c r="I141" i="18"/>
  <c r="L142" i="18"/>
  <c r="E157" i="18"/>
  <c r="I133" i="18"/>
  <c r="N56" i="18"/>
  <c r="J78" i="18"/>
  <c r="O104" i="18"/>
  <c r="E70" i="18"/>
  <c r="M22" i="18"/>
  <c r="I162" i="18"/>
  <c r="E120" i="18"/>
  <c r="J231" i="18"/>
  <c r="I83" i="18"/>
  <c r="J113" i="18"/>
  <c r="K134" i="18"/>
  <c r="N140" i="18"/>
  <c r="O63" i="18"/>
  <c r="H106" i="18"/>
  <c r="L46" i="18"/>
  <c r="O172" i="18"/>
  <c r="I153" i="18"/>
  <c r="F108" i="18"/>
  <c r="C109" i="18"/>
  <c r="M174" i="18"/>
  <c r="H103" i="18"/>
  <c r="L118" i="18"/>
  <c r="E139" i="18"/>
  <c r="H145" i="18"/>
  <c r="J128" i="18"/>
  <c r="L184" i="18"/>
  <c r="M177" i="18"/>
  <c r="N228" i="18"/>
  <c r="O180" i="18"/>
  <c r="N120" i="18"/>
  <c r="O245" i="18"/>
  <c r="G170" i="18"/>
  <c r="M184" i="18"/>
  <c r="C237" i="18"/>
  <c r="L159" i="18"/>
  <c r="B218" i="18"/>
  <c r="N184" i="18"/>
  <c r="F112" i="18"/>
  <c r="N156" i="18"/>
  <c r="D202" i="18"/>
  <c r="E174" i="18"/>
  <c r="M202" i="18"/>
  <c r="G191" i="18"/>
  <c r="N149" i="18"/>
  <c r="D131" i="18"/>
  <c r="D230" i="18"/>
  <c r="H224" i="18"/>
  <c r="F119" i="18"/>
  <c r="I152" i="18"/>
  <c r="H141" i="18"/>
  <c r="M215" i="18"/>
  <c r="K182" i="18"/>
  <c r="E169" i="18"/>
  <c r="B109" i="18"/>
  <c r="M173" i="18"/>
  <c r="D157" i="18"/>
  <c r="C163" i="18"/>
  <c r="F82" i="18"/>
  <c r="C116" i="18"/>
  <c r="O73" i="18"/>
  <c r="I345" i="12"/>
  <c r="J110" i="18"/>
  <c r="I109" i="18"/>
  <c r="B161" i="18"/>
  <c r="F94" i="18"/>
  <c r="L145" i="18"/>
  <c r="O175" i="18"/>
  <c r="G137" i="18"/>
  <c r="B61" i="18"/>
  <c r="K108" i="18"/>
  <c r="J90" i="18"/>
  <c r="N127" i="18"/>
  <c r="E148" i="18"/>
  <c r="O161" i="18"/>
  <c r="D91" i="18"/>
  <c r="B58" i="18"/>
  <c r="N4" i="18"/>
  <c r="F150" i="18"/>
  <c r="B108" i="18"/>
  <c r="O141" i="18"/>
  <c r="J65" i="18"/>
  <c r="B206" i="18"/>
  <c r="F129" i="18"/>
  <c r="G156" i="18"/>
  <c r="L51" i="18"/>
  <c r="E90" i="18"/>
  <c r="N61" i="18"/>
  <c r="F66" i="18"/>
  <c r="C152" i="18"/>
  <c r="D149" i="18"/>
  <c r="B116" i="18"/>
  <c r="M134" i="18"/>
  <c r="G124" i="18"/>
  <c r="N72" i="18"/>
  <c r="K114" i="18"/>
  <c r="N146" i="18"/>
  <c r="B203" i="18"/>
  <c r="B174" i="18"/>
  <c r="F127" i="18"/>
  <c r="O154" i="18"/>
  <c r="K101" i="18"/>
  <c r="H67" i="18"/>
  <c r="D102" i="18"/>
  <c r="K68" i="18"/>
  <c r="I343" i="12"/>
  <c r="E67" i="18"/>
  <c r="K130" i="18"/>
  <c r="C169" i="18"/>
  <c r="M124" i="18"/>
  <c r="I196" i="18"/>
  <c r="C88" i="18"/>
  <c r="E138" i="18"/>
  <c r="L108" i="18"/>
  <c r="L141" i="18"/>
  <c r="E106" i="18"/>
  <c r="N46" i="18"/>
  <c r="G85" i="18"/>
  <c r="C43" i="18"/>
  <c r="L78" i="18"/>
  <c r="O21" i="18"/>
  <c r="I73" i="18"/>
  <c r="J57" i="18"/>
  <c r="I350" i="12"/>
  <c r="G73" i="18"/>
  <c r="H40" i="18"/>
  <c r="B36" i="18"/>
  <c r="G34" i="18"/>
  <c r="M39" i="18"/>
  <c r="J38" i="18"/>
  <c r="C31" i="18"/>
  <c r="M79" i="18"/>
  <c r="C334" i="12"/>
  <c r="C324" i="12"/>
  <c r="F252" i="12"/>
  <c r="F226" i="12"/>
  <c r="G42" i="18"/>
  <c r="K66" i="18"/>
  <c r="G125" i="18"/>
  <c r="D35" i="18"/>
  <c r="D46" i="18"/>
  <c r="L106" i="18"/>
  <c r="B336" i="12"/>
  <c r="I45" i="18"/>
  <c r="C25" i="18"/>
  <c r="G19" i="18"/>
  <c r="I35" i="18"/>
  <c r="O124" i="18"/>
  <c r="B99" i="18"/>
  <c r="D18" i="18"/>
  <c r="F92" i="12"/>
  <c r="I302" i="12"/>
  <c r="C340" i="12"/>
  <c r="M13" i="18"/>
  <c r="E66" i="18"/>
  <c r="F115" i="18"/>
  <c r="D163" i="18"/>
  <c r="K106" i="18"/>
  <c r="B39" i="18"/>
  <c r="F40" i="18"/>
  <c r="G325" i="12"/>
  <c r="E11" i="18"/>
  <c r="G62" i="18"/>
  <c r="M111" i="18"/>
  <c r="N34" i="18"/>
  <c r="M4" i="18"/>
  <c r="G318" i="12"/>
  <c r="I363" i="12"/>
  <c r="D347" i="12"/>
  <c r="G92" i="18"/>
  <c r="L115" i="18"/>
  <c r="G112" i="18"/>
  <c r="G26" i="18"/>
  <c r="I104" i="18"/>
  <c r="J149" i="18"/>
  <c r="I163" i="18"/>
  <c r="L57" i="18"/>
  <c r="D109" i="18"/>
  <c r="O133" i="18"/>
  <c r="M100" i="18"/>
  <c r="E97" i="18"/>
  <c r="G166" i="18"/>
  <c r="B54" i="18"/>
  <c r="H181" i="18"/>
  <c r="O100" i="18"/>
  <c r="D90" i="18"/>
  <c r="C139" i="18"/>
  <c r="J94" i="18"/>
  <c r="I37" i="18"/>
  <c r="I147" i="18"/>
  <c r="J144" i="18"/>
  <c r="H111" i="18"/>
  <c r="E103" i="18"/>
  <c r="H222" i="18"/>
  <c r="L183" i="18"/>
  <c r="N133" i="18"/>
  <c r="F88" i="18"/>
  <c r="L59" i="18"/>
  <c r="H98" i="18"/>
  <c r="G84" i="18"/>
  <c r="C64" i="18"/>
  <c r="I335" i="12"/>
  <c r="K62" i="18"/>
  <c r="O129" i="18"/>
  <c r="K93" i="18"/>
  <c r="O87" i="18"/>
  <c r="G7" i="18"/>
  <c r="F64" i="18"/>
  <c r="G104" i="18"/>
  <c r="F97" i="18"/>
  <c r="J51" i="18"/>
  <c r="N47" i="18"/>
  <c r="M97" i="18"/>
  <c r="I192" i="12"/>
  <c r="D39" i="18"/>
  <c r="C348" i="12"/>
  <c r="G17" i="18"/>
  <c r="G68" i="18"/>
  <c r="C318" i="12"/>
  <c r="I99" i="18"/>
  <c r="B71" i="18"/>
  <c r="F65" i="18"/>
  <c r="E312" i="12"/>
  <c r="K122" i="18"/>
  <c r="B65" i="18"/>
  <c r="D42" i="18"/>
  <c r="G76" i="18"/>
  <c r="C365" i="12"/>
  <c r="F121" i="18"/>
  <c r="J62" i="18"/>
  <c r="B160" i="18"/>
  <c r="I116" i="18"/>
  <c r="B84" i="18"/>
  <c r="E163" i="18"/>
  <c r="F160" i="18"/>
  <c r="D127" i="18"/>
  <c r="I122" i="18"/>
  <c r="G184" i="18"/>
  <c r="B141" i="18"/>
  <c r="H165" i="18"/>
  <c r="I131" i="18"/>
  <c r="H7" i="18"/>
  <c r="J40" i="18"/>
  <c r="I124" i="18"/>
  <c r="B182" i="18"/>
  <c r="K164" i="18"/>
  <c r="K176" i="18"/>
  <c r="M92" i="18"/>
  <c r="K59" i="18"/>
  <c r="D111" i="18"/>
  <c r="G203" i="18"/>
  <c r="I193" i="18"/>
  <c r="D191" i="18"/>
  <c r="E149" i="18"/>
  <c r="M126" i="18"/>
  <c r="D89" i="18"/>
  <c r="F73" i="18"/>
  <c r="B342" i="12"/>
  <c r="B68" i="18"/>
  <c r="H11" i="18"/>
  <c r="H54" i="18"/>
  <c r="N50" i="18"/>
  <c r="L83" i="18"/>
  <c r="G326" i="12"/>
  <c r="J11" i="18"/>
  <c r="N5" i="18"/>
  <c r="H82" i="18"/>
  <c r="B350" i="12"/>
  <c r="C24" i="18"/>
  <c r="G18" i="18"/>
  <c r="H327" i="12"/>
  <c r="G234" i="12"/>
  <c r="M118" i="18"/>
  <c r="E28" i="18"/>
  <c r="K43" i="18"/>
  <c r="B349" i="12"/>
  <c r="H79" i="18"/>
  <c r="F95" i="18"/>
  <c r="M95" i="18"/>
  <c r="F17" i="18"/>
  <c r="H68" i="18"/>
  <c r="J45" i="18"/>
  <c r="H31" i="18"/>
  <c r="M29" i="18"/>
  <c r="N40" i="18"/>
  <c r="H33" i="18"/>
  <c r="G100" i="12"/>
  <c r="G74" i="12"/>
  <c r="O130" i="18"/>
  <c r="E32" i="18"/>
  <c r="G97" i="18"/>
  <c r="H41" i="18"/>
  <c r="D32" i="18"/>
  <c r="F118" i="18"/>
  <c r="O109" i="18"/>
  <c r="G126" i="18"/>
  <c r="K102" i="18"/>
  <c r="H59" i="18"/>
  <c r="E84" i="18"/>
  <c r="C51" i="18"/>
  <c r="H93" i="18"/>
  <c r="E115" i="18"/>
  <c r="L63" i="18"/>
  <c r="K97" i="18"/>
  <c r="I95" i="18"/>
  <c r="F53" i="18"/>
  <c r="J47" i="18"/>
  <c r="M115" i="18"/>
  <c r="C176" i="18"/>
  <c r="F128" i="18"/>
  <c r="E162" i="18"/>
  <c r="B87" i="18"/>
  <c r="O49" i="18"/>
  <c r="N105" i="18"/>
  <c r="N126" i="18"/>
  <c r="C99" i="18"/>
  <c r="O59" i="18"/>
  <c r="K81" i="18"/>
  <c r="H148" i="18"/>
  <c r="J95" i="18"/>
  <c r="I36" i="18"/>
  <c r="M102" i="18"/>
  <c r="I60" i="18"/>
  <c r="N35" i="18"/>
  <c r="H73" i="18"/>
  <c r="G43" i="18"/>
  <c r="K46" i="18"/>
  <c r="K98" i="18"/>
  <c r="O92" i="18"/>
  <c r="I21" i="18"/>
  <c r="C314" i="12"/>
  <c r="O111" i="18"/>
  <c r="I100" i="18"/>
  <c r="K48" i="18"/>
  <c r="I104" i="12"/>
  <c r="B331" i="12"/>
  <c r="J30" i="18"/>
  <c r="E326" i="12"/>
  <c r="G130" i="18"/>
  <c r="G16" i="18"/>
  <c r="C49" i="18"/>
  <c r="I93" i="18"/>
  <c r="O43" i="18"/>
  <c r="N82" i="18"/>
  <c r="D77" i="18"/>
  <c r="J20" i="18"/>
  <c r="K90" i="18"/>
  <c r="I90" i="18"/>
  <c r="M84" i="18"/>
  <c r="O33" i="18"/>
  <c r="B17" i="18"/>
  <c r="F11" i="18"/>
  <c r="F16" i="18"/>
  <c r="N31" i="18"/>
  <c r="M21" i="18"/>
  <c r="B91" i="18"/>
  <c r="C355" i="12"/>
  <c r="C9" i="18"/>
  <c r="B30" i="18"/>
  <c r="O163" i="18"/>
  <c r="D56" i="18"/>
  <c r="G27" i="18"/>
  <c r="L40" i="18"/>
  <c r="H36" i="18"/>
  <c r="D339" i="12"/>
  <c r="G260" i="12"/>
  <c r="L33" i="18"/>
  <c r="M76" i="18"/>
  <c r="E20" i="18"/>
  <c r="D86" i="18"/>
  <c r="L16" i="18"/>
  <c r="C10" i="18"/>
  <c r="N196" i="18"/>
  <c r="I140" i="18"/>
  <c r="N41" i="18"/>
  <c r="I81" i="18"/>
  <c r="F224" i="18"/>
  <c r="F135" i="18"/>
  <c r="O160" i="18"/>
  <c r="F56" i="18"/>
  <c r="J106" i="18"/>
  <c r="O235" i="18"/>
  <c r="F232" i="18"/>
  <c r="H46" i="18"/>
  <c r="G78" i="18"/>
  <c r="G332" i="12"/>
  <c r="J115" i="18"/>
  <c r="L119" i="18"/>
  <c r="E102" i="18"/>
  <c r="N172" i="18"/>
  <c r="N98" i="18"/>
  <c r="L65" i="18"/>
  <c r="O144" i="18"/>
  <c r="B142" i="18"/>
  <c r="N108" i="18"/>
  <c r="J210" i="18"/>
  <c r="F176" i="18"/>
  <c r="L116" i="18"/>
  <c r="O146" i="18"/>
  <c r="C123" i="18"/>
  <c r="G342" i="12"/>
  <c r="M83" i="18"/>
  <c r="G86" i="18"/>
  <c r="C330" i="12"/>
  <c r="E130" i="18"/>
  <c r="D85" i="18"/>
  <c r="E49" i="18"/>
  <c r="M28" i="18"/>
  <c r="C23" i="18"/>
  <c r="H115" i="18"/>
  <c r="G350" i="12"/>
  <c r="F25" i="18"/>
  <c r="J19" i="18"/>
  <c r="F350" i="12"/>
  <c r="M33" i="18"/>
  <c r="O10" i="18"/>
  <c r="J28" i="18"/>
  <c r="L49" i="18"/>
  <c r="G349" i="12"/>
  <c r="O106" i="18"/>
  <c r="N99" i="18"/>
  <c r="O95" i="18"/>
  <c r="I34" i="18"/>
  <c r="I349" i="12"/>
  <c r="I339" i="12"/>
  <c r="N45" i="18"/>
  <c r="B31" i="18"/>
  <c r="M5" i="18"/>
  <c r="H361" i="12"/>
  <c r="G252" i="12"/>
  <c r="G202" i="12"/>
  <c r="I42" i="18"/>
  <c r="D196" i="18"/>
  <c r="M149" i="18"/>
  <c r="O113" i="18"/>
  <c r="N125" i="18"/>
  <c r="I158" i="18"/>
  <c r="F90" i="18"/>
  <c r="D57" i="18"/>
  <c r="C126" i="18"/>
  <c r="H99" i="18"/>
  <c r="J108" i="18"/>
  <c r="J105" i="18"/>
  <c r="L4" i="18"/>
  <c r="B22" i="18"/>
  <c r="F357" i="12"/>
  <c r="F44" i="18"/>
  <c r="B149" i="18"/>
  <c r="C162" i="18"/>
  <c r="I171" i="18"/>
  <c r="G91" i="18"/>
  <c r="N78" i="18"/>
  <c r="K120" i="18"/>
  <c r="O65" i="18"/>
  <c r="H102" i="18"/>
  <c r="J70" i="18"/>
  <c r="L87" i="18"/>
  <c r="H45" i="18"/>
  <c r="G79" i="18"/>
  <c r="G60" i="18"/>
  <c r="O118" i="18"/>
  <c r="J66" i="18"/>
  <c r="C327" i="12"/>
  <c r="H147" i="18"/>
  <c r="H49" i="18"/>
  <c r="D43" i="18"/>
  <c r="K49" i="18"/>
  <c r="G120" i="18"/>
  <c r="L22" i="18"/>
  <c r="E87" i="18"/>
  <c r="K34" i="18"/>
  <c r="N101" i="18"/>
  <c r="O122" i="18"/>
  <c r="J29" i="18"/>
  <c r="L125" i="18"/>
  <c r="O31" i="18"/>
  <c r="C79" i="18"/>
  <c r="I10" i="18"/>
  <c r="H65" i="18"/>
  <c r="B7" i="18"/>
  <c r="B13" i="18"/>
  <c r="D337" i="12"/>
  <c r="F96" i="18"/>
  <c r="L151" i="18"/>
  <c r="E113" i="18"/>
  <c r="F144" i="18"/>
  <c r="H130" i="18"/>
  <c r="C148" i="18"/>
  <c r="G149" i="18"/>
  <c r="F74" i="18"/>
  <c r="I105" i="18"/>
  <c r="G61" i="18"/>
  <c r="B97" i="18"/>
  <c r="G320" i="12"/>
  <c r="L54" i="18"/>
  <c r="C358" i="12"/>
  <c r="G117" i="18"/>
  <c r="O112" i="18"/>
  <c r="L219" i="18"/>
  <c r="D146" i="18"/>
  <c r="H97" i="18"/>
  <c r="I159" i="18"/>
  <c r="M110" i="18"/>
  <c r="B72" i="18"/>
  <c r="I111" i="18"/>
  <c r="L86" i="18"/>
  <c r="B81" i="18"/>
  <c r="K119" i="18"/>
  <c r="H85" i="18"/>
  <c r="I329" i="12"/>
  <c r="L3" i="18"/>
  <c r="B120" i="18"/>
  <c r="I49" i="18"/>
  <c r="H64" i="18"/>
  <c r="K127" i="18"/>
  <c r="M12" i="18"/>
  <c r="M63" i="18"/>
  <c r="C310" i="12"/>
  <c r="B38" i="18"/>
  <c r="I337" i="12"/>
  <c r="F8" i="18"/>
  <c r="F42" i="18"/>
  <c r="O37" i="18"/>
  <c r="F124" i="12"/>
  <c r="F98" i="12"/>
  <c r="O56" i="18"/>
  <c r="C357" i="12"/>
  <c r="F48" i="18"/>
  <c r="M34" i="18"/>
  <c r="G141" i="18"/>
  <c r="E98" i="18"/>
  <c r="E17" i="18"/>
  <c r="F85" i="18"/>
  <c r="F77" i="18"/>
  <c r="H4" i="18"/>
  <c r="C42" i="18"/>
  <c r="C94" i="18"/>
  <c r="G88" i="18"/>
  <c r="O16" i="18"/>
  <c r="I200" i="12"/>
  <c r="I174" i="12"/>
  <c r="L25" i="18"/>
  <c r="F113" i="18"/>
  <c r="M211" i="18"/>
  <c r="E41" i="18"/>
  <c r="M101" i="18"/>
  <c r="L55" i="18"/>
  <c r="I80" i="18"/>
  <c r="G47" i="18"/>
  <c r="B138" i="18"/>
  <c r="I120" i="18"/>
  <c r="G235" i="18"/>
  <c r="C130" i="18"/>
  <c r="C105" i="18"/>
  <c r="G49" i="18"/>
  <c r="I110" i="18"/>
  <c r="E207" i="18"/>
  <c r="G158" i="18"/>
  <c r="O153" i="18"/>
  <c r="F98" i="18"/>
  <c r="I26" i="18"/>
  <c r="H78" i="18"/>
  <c r="O173" i="18"/>
  <c r="J142" i="18"/>
  <c r="C128" i="18"/>
  <c r="H152" i="18"/>
  <c r="I155" i="18"/>
  <c r="L161" i="18"/>
  <c r="K83" i="18"/>
  <c r="C55" i="18"/>
  <c r="L99" i="18"/>
  <c r="G354" i="12"/>
  <c r="J101" i="18"/>
  <c r="G72" i="18"/>
  <c r="G324" i="12"/>
  <c r="N74" i="18"/>
  <c r="L90" i="18"/>
  <c r="B85" i="18"/>
  <c r="F21" i="18"/>
  <c r="E64" i="18"/>
  <c r="G106" i="18"/>
  <c r="G98" i="18"/>
  <c r="H52" i="18"/>
  <c r="I47" i="18"/>
  <c r="M41" i="18"/>
  <c r="G92" i="12"/>
  <c r="F323" i="12"/>
  <c r="F33" i="18"/>
  <c r="B103" i="18"/>
  <c r="G334" i="12"/>
  <c r="D16" i="18"/>
  <c r="H96" i="18"/>
  <c r="C72" i="18"/>
  <c r="J156" i="18"/>
  <c r="K58" i="18"/>
  <c r="O126" i="18"/>
  <c r="D95" i="18"/>
  <c r="H89" i="18"/>
  <c r="H107" i="18"/>
  <c r="M32" i="18"/>
  <c r="C27" i="18"/>
  <c r="I98" i="18"/>
  <c r="G317" i="12"/>
  <c r="G178" i="18"/>
  <c r="G81" i="18"/>
  <c r="O116" i="18"/>
  <c r="C143" i="18"/>
  <c r="O114" i="18"/>
  <c r="C338" i="12"/>
  <c r="B132" i="18"/>
  <c r="M156" i="18"/>
  <c r="K123" i="18"/>
  <c r="F47" i="18"/>
  <c r="D165" i="18"/>
  <c r="I177" i="18"/>
  <c r="C138" i="18"/>
  <c r="B101" i="18"/>
  <c r="O71" i="18"/>
  <c r="J43" i="18"/>
  <c r="B118" i="18"/>
  <c r="C69" i="18"/>
  <c r="M90" i="18"/>
  <c r="H185" i="18"/>
  <c r="C45" i="18"/>
  <c r="J63" i="18"/>
  <c r="K107" i="18"/>
  <c r="I217" i="18"/>
  <c r="C174" i="18"/>
  <c r="M104" i="18"/>
  <c r="H161" i="18"/>
  <c r="D119" i="18"/>
  <c r="C153" i="18"/>
  <c r="N77" i="18"/>
  <c r="F49" i="18"/>
  <c r="I19" i="18"/>
  <c r="C320" i="12"/>
  <c r="I361" i="12"/>
  <c r="H17" i="18"/>
  <c r="F349" i="12"/>
  <c r="I44" i="18"/>
  <c r="O88" i="18"/>
  <c r="H60" i="18"/>
  <c r="D359" i="12"/>
  <c r="N53" i="18"/>
  <c r="O38" i="18"/>
  <c r="G37" i="18"/>
  <c r="E345" i="12"/>
  <c r="O19" i="18"/>
  <c r="E14" i="18"/>
  <c r="H12" i="18"/>
  <c r="F35" i="18"/>
  <c r="E321" i="12"/>
  <c r="E51" i="18"/>
  <c r="K104" i="18"/>
  <c r="I97" i="18"/>
  <c r="K94" i="18"/>
  <c r="N10" i="18"/>
  <c r="D5" i="18"/>
  <c r="N66" i="18"/>
  <c r="K44" i="18"/>
  <c r="E24" i="18"/>
  <c r="I18" i="18"/>
  <c r="O44" i="18"/>
  <c r="E334" i="12"/>
  <c r="E324" i="12"/>
  <c r="L92" i="18"/>
  <c r="E360" i="12"/>
  <c r="C106" i="18"/>
  <c r="J75" i="18"/>
  <c r="C44" i="18"/>
  <c r="H87" i="18"/>
  <c r="H18" i="18"/>
  <c r="D31" i="18"/>
  <c r="M6" i="18"/>
  <c r="M14" i="18"/>
  <c r="K12" i="18"/>
  <c r="J79" i="18"/>
  <c r="J71" i="18"/>
  <c r="E361" i="12"/>
  <c r="I296" i="12"/>
  <c r="I270" i="12"/>
  <c r="F351" i="12"/>
  <c r="K33" i="18"/>
  <c r="O27" i="18"/>
  <c r="M78" i="18"/>
  <c r="F358" i="12"/>
  <c r="L91" i="18"/>
  <c r="K61" i="18"/>
  <c r="I69" i="18"/>
  <c r="D44" i="18"/>
  <c r="H38" i="18"/>
  <c r="E42" i="18"/>
  <c r="C354" i="12"/>
  <c r="M160" i="18"/>
  <c r="N43" i="18"/>
  <c r="C41" i="18"/>
  <c r="K42" i="18"/>
  <c r="M35" i="18"/>
  <c r="J98" i="18"/>
  <c r="H6" i="18"/>
  <c r="I362" i="12"/>
  <c r="E93" i="18"/>
  <c r="E74" i="18"/>
  <c r="I332" i="12"/>
  <c r="I322" i="12"/>
  <c r="E146" i="12"/>
  <c r="H284" i="12"/>
  <c r="B334" i="12"/>
  <c r="H274" i="12"/>
  <c r="G175" i="12"/>
  <c r="F49" i="12"/>
  <c r="C39" i="18"/>
  <c r="F218" i="12"/>
  <c r="I63" i="18"/>
  <c r="C150" i="12"/>
  <c r="I280" i="12"/>
  <c r="I254" i="12"/>
  <c r="I244" i="12"/>
  <c r="I162" i="12"/>
  <c r="I240" i="12"/>
  <c r="I214" i="12"/>
  <c r="M3" i="18"/>
  <c r="D127" i="12"/>
  <c r="D234" i="12"/>
  <c r="I123" i="18"/>
  <c r="G67" i="18"/>
  <c r="H95" i="18"/>
  <c r="H104" i="18"/>
  <c r="N3" i="18"/>
  <c r="O46" i="18"/>
  <c r="L44" i="18"/>
  <c r="D153" i="18"/>
  <c r="C71" i="18"/>
  <c r="F70" i="18"/>
  <c r="H80" i="18"/>
  <c r="M15" i="18"/>
  <c r="N65" i="18"/>
  <c r="N118" i="18"/>
  <c r="E147" i="18"/>
  <c r="C108" i="18"/>
  <c r="G133" i="18"/>
  <c r="K143" i="18"/>
  <c r="J86" i="18"/>
  <c r="H53" i="18"/>
  <c r="N73" i="18"/>
  <c r="G160" i="18"/>
  <c r="H133" i="18"/>
  <c r="M109" i="18"/>
  <c r="B59" i="18"/>
  <c r="H55" i="18"/>
  <c r="D112" i="18"/>
  <c r="B227" i="18"/>
  <c r="N204" i="18"/>
  <c r="B129" i="18"/>
  <c r="C156" i="18"/>
  <c r="N26" i="18"/>
  <c r="M82" i="18"/>
  <c r="E107" i="18"/>
  <c r="E62" i="18"/>
  <c r="N97" i="18"/>
  <c r="O171" i="18"/>
  <c r="J223" i="18"/>
  <c r="H146" i="18"/>
  <c r="L89" i="18"/>
  <c r="J88" i="18"/>
  <c r="D100" i="18"/>
  <c r="E65" i="18"/>
  <c r="G292" i="12"/>
  <c r="B63" i="18"/>
  <c r="C48" i="18"/>
  <c r="E95" i="18"/>
  <c r="C95" i="18"/>
  <c r="G89" i="18"/>
  <c r="K39" i="18"/>
  <c r="D93" i="18"/>
  <c r="B107" i="18"/>
  <c r="L98" i="18"/>
  <c r="B35" i="18"/>
  <c r="C34" i="18"/>
  <c r="G28" i="18"/>
  <c r="G236" i="12"/>
  <c r="G194" i="12"/>
  <c r="G322" i="12"/>
  <c r="B105" i="18"/>
  <c r="M53" i="18"/>
  <c r="G33" i="18"/>
  <c r="B52" i="18"/>
  <c r="H72" i="18"/>
  <c r="L66" i="18"/>
  <c r="I366" i="12"/>
  <c r="G128" i="18"/>
  <c r="M85" i="18"/>
  <c r="C80" i="18"/>
  <c r="K72" i="18"/>
  <c r="D33" i="18"/>
  <c r="H27" i="18"/>
  <c r="B364" i="12"/>
  <c r="J123" i="18"/>
  <c r="E108" i="18"/>
  <c r="M55" i="18"/>
  <c r="I166" i="18"/>
  <c r="N162" i="18"/>
  <c r="L129" i="18"/>
  <c r="K51" i="18"/>
  <c r="C103" i="18"/>
  <c r="E199" i="18"/>
  <c r="H160" i="18"/>
  <c r="M119" i="18"/>
  <c r="B78" i="18"/>
  <c r="O47" i="18"/>
  <c r="M151" i="18"/>
  <c r="L79" i="18"/>
  <c r="N96" i="18"/>
  <c r="J54" i="18"/>
  <c r="I88" i="18"/>
  <c r="C306" i="12"/>
  <c r="L113" i="18"/>
  <c r="I138" i="18"/>
  <c r="G105" i="18"/>
  <c r="L102" i="18"/>
  <c r="B137" i="18"/>
  <c r="O152" i="18"/>
  <c r="D159" i="18"/>
  <c r="E82" i="18"/>
  <c r="K53" i="18"/>
  <c r="C98" i="18"/>
  <c r="J10" i="18"/>
  <c r="L43" i="18"/>
  <c r="K124" i="18"/>
  <c r="C350" i="12"/>
  <c r="J50" i="18"/>
  <c r="F89" i="18"/>
  <c r="J83" i="18"/>
  <c r="E344" i="12"/>
  <c r="E58" i="18"/>
  <c r="N103" i="18"/>
  <c r="O96" i="18"/>
  <c r="I315" i="12"/>
  <c r="F20" i="18"/>
  <c r="J14" i="18"/>
  <c r="D304" i="12"/>
  <c r="O48" i="18"/>
  <c r="F361" i="12"/>
  <c r="I321" i="12"/>
  <c r="C360" i="12"/>
  <c r="I48" i="18"/>
  <c r="B95" i="18"/>
  <c r="E85" i="18"/>
  <c r="E75" i="18"/>
  <c r="H311" i="12"/>
  <c r="E121" i="18"/>
  <c r="J24" i="18"/>
  <c r="N18" i="18"/>
  <c r="I77" i="18"/>
  <c r="F364" i="12"/>
  <c r="F354" i="12"/>
  <c r="C97" i="18"/>
  <c r="I16" i="18"/>
  <c r="I102" i="18"/>
  <c r="I126" i="18"/>
  <c r="I156" i="18"/>
  <c r="I70" i="18"/>
  <c r="C132" i="18"/>
  <c r="O77" i="18"/>
  <c r="H129" i="18"/>
  <c r="E154" i="18"/>
  <c r="N193" i="18"/>
  <c r="J207" i="18"/>
  <c r="O169" i="18"/>
  <c r="H123" i="18"/>
  <c r="I125" i="18"/>
  <c r="E127" i="18"/>
  <c r="C7" i="18"/>
  <c r="E38" i="18"/>
  <c r="B48" i="18"/>
  <c r="M133" i="18"/>
  <c r="N130" i="18"/>
  <c r="N164" i="18"/>
  <c r="H88" i="18"/>
  <c r="M140" i="18"/>
  <c r="K202" i="18"/>
  <c r="F147" i="18"/>
  <c r="I174" i="18"/>
  <c r="N150" i="18"/>
  <c r="H91" i="18"/>
  <c r="D49" i="18"/>
  <c r="C83" i="18"/>
  <c r="M45" i="18"/>
  <c r="I311" i="12"/>
  <c r="O61" i="18"/>
  <c r="C11" i="18"/>
  <c r="O120" i="18"/>
  <c r="M44" i="18"/>
  <c r="B55" i="18"/>
  <c r="J35" i="18"/>
  <c r="G10" i="18"/>
  <c r="K4" i="18"/>
  <c r="G50" i="18"/>
  <c r="I319" i="12"/>
  <c r="I53" i="18"/>
  <c r="M47" i="18"/>
  <c r="G132" i="12"/>
  <c r="G106" i="12"/>
  <c r="E116" i="18"/>
  <c r="B11" i="18"/>
  <c r="F39" i="18"/>
  <c r="I318" i="12"/>
  <c r="I50" i="18"/>
  <c r="O94" i="18"/>
  <c r="D13" i="18"/>
  <c r="C16" i="18"/>
  <c r="H25" i="18"/>
  <c r="L19" i="18"/>
  <c r="K3" i="18"/>
  <c r="E59" i="18"/>
  <c r="E40" i="18"/>
  <c r="C33" i="18"/>
  <c r="F220" i="12"/>
  <c r="F194" i="12"/>
  <c r="G314" i="12"/>
  <c r="B15" i="18"/>
  <c r="G108" i="18"/>
  <c r="M40" i="18"/>
  <c r="I357" i="12"/>
  <c r="G228" i="12"/>
  <c r="O64" i="18"/>
  <c r="I232" i="12"/>
  <c r="M131" i="18"/>
  <c r="L27" i="18"/>
  <c r="E18" i="18"/>
  <c r="B319" i="12"/>
  <c r="B352" i="12"/>
  <c r="B111" i="18"/>
  <c r="M139" i="18"/>
  <c r="K140" i="18"/>
  <c r="F137" i="18"/>
  <c r="E92" i="18"/>
  <c r="C214" i="18"/>
  <c r="K155" i="18"/>
  <c r="B354" i="12"/>
  <c r="O45" i="18"/>
  <c r="F55" i="18"/>
  <c r="G323" i="12"/>
  <c r="C32" i="18"/>
  <c r="C96" i="18"/>
  <c r="M120" i="18"/>
  <c r="J15" i="18"/>
  <c r="J56" i="18"/>
  <c r="B102" i="18"/>
  <c r="J16" i="18"/>
  <c r="M52" i="18"/>
  <c r="L26" i="18"/>
  <c r="O29" i="18"/>
  <c r="D62" i="18"/>
  <c r="G346" i="12"/>
  <c r="G298" i="12"/>
  <c r="G156" i="12"/>
  <c r="I102" i="12"/>
  <c r="E80" i="18"/>
  <c r="B93" i="18"/>
  <c r="L35" i="18"/>
  <c r="J91" i="18"/>
  <c r="G122" i="18"/>
  <c r="G102" i="18"/>
  <c r="M73" i="18"/>
  <c r="C155" i="18"/>
  <c r="M65" i="18"/>
  <c r="L6" i="18"/>
  <c r="F158" i="12"/>
  <c r="F204" i="12"/>
  <c r="E365" i="12"/>
  <c r="M7" i="18"/>
  <c r="F164" i="12"/>
  <c r="E325" i="12"/>
  <c r="G75" i="12"/>
  <c r="B67" i="12"/>
  <c r="F316" i="12"/>
  <c r="I147" i="12"/>
  <c r="I51" i="18"/>
  <c r="F29" i="18"/>
  <c r="F36" i="18"/>
  <c r="K27" i="18"/>
  <c r="G282" i="12"/>
  <c r="F26" i="18"/>
  <c r="I347" i="12"/>
  <c r="G242" i="12"/>
  <c r="C254" i="12"/>
  <c r="H124" i="12"/>
  <c r="F153" i="12"/>
  <c r="G18" i="12"/>
  <c r="D227" i="12"/>
  <c r="D190" i="12"/>
  <c r="F15" i="18"/>
  <c r="N22" i="18"/>
  <c r="B18" i="18"/>
  <c r="E90" i="12"/>
  <c r="K56" i="18"/>
  <c r="I115" i="18"/>
  <c r="K76" i="18"/>
  <c r="H351" i="12"/>
  <c r="H62" i="18"/>
  <c r="L56" i="18"/>
  <c r="E337" i="12"/>
  <c r="J18" i="18"/>
  <c r="K168" i="18"/>
  <c r="B144" i="18"/>
  <c r="E105" i="18"/>
  <c r="I168" i="12"/>
  <c r="I142" i="12"/>
  <c r="B341" i="12"/>
  <c r="H16" i="18"/>
  <c r="L10" i="18"/>
  <c r="H74" i="18"/>
  <c r="E328" i="12"/>
  <c r="K85" i="18"/>
  <c r="F57" i="18"/>
  <c r="C322" i="12"/>
  <c r="C121" i="18"/>
  <c r="K109" i="18"/>
  <c r="E53" i="18"/>
  <c r="D68" i="18"/>
  <c r="B60" i="18"/>
  <c r="H42" i="18"/>
  <c r="F311" i="12"/>
  <c r="K9" i="18"/>
  <c r="G294" i="12"/>
  <c r="B28" i="18"/>
  <c r="C62" i="18"/>
  <c r="G56" i="18"/>
  <c r="H13" i="18"/>
  <c r="G9" i="18"/>
  <c r="E39" i="18"/>
  <c r="L37" i="18"/>
  <c r="H217" i="12"/>
  <c r="H156" i="12"/>
  <c r="H191" i="12"/>
  <c r="H146" i="12"/>
  <c r="F295" i="12"/>
  <c r="H97" i="12"/>
  <c r="G138" i="12"/>
  <c r="I198" i="12"/>
  <c r="G351" i="12"/>
  <c r="B270" i="12"/>
  <c r="I152" i="12"/>
  <c r="I126" i="12"/>
  <c r="I116" i="12"/>
  <c r="D236" i="12"/>
  <c r="I112" i="12"/>
  <c r="I86" i="12"/>
  <c r="G110" i="12"/>
  <c r="C297" i="12"/>
  <c r="H348" i="12"/>
  <c r="C287" i="12"/>
  <c r="B178" i="12"/>
  <c r="B133" i="12"/>
  <c r="C356" i="12"/>
  <c r="I160" i="12"/>
  <c r="H364" i="12"/>
  <c r="G102" i="12"/>
  <c r="F27" i="18"/>
  <c r="N16" i="18"/>
  <c r="B86" i="18"/>
  <c r="C362" i="12"/>
  <c r="B112" i="18"/>
  <c r="E156" i="18"/>
  <c r="I71" i="18"/>
  <c r="F105" i="18"/>
  <c r="F78" i="18"/>
  <c r="J72" i="18"/>
  <c r="B16" i="18"/>
  <c r="C344" i="12"/>
  <c r="J42" i="18"/>
  <c r="C21" i="18"/>
  <c r="E15" i="18"/>
  <c r="I9" i="18"/>
  <c r="K96" i="18"/>
  <c r="D341" i="12"/>
  <c r="F81" i="18"/>
  <c r="G66" i="18"/>
  <c r="N49" i="18"/>
  <c r="F46" i="18"/>
  <c r="G118" i="18"/>
  <c r="G333" i="12"/>
  <c r="E114" i="18"/>
  <c r="O53" i="18"/>
  <c r="L36" i="18"/>
  <c r="I288" i="12"/>
  <c r="E316" i="12"/>
  <c r="G166" i="12"/>
  <c r="K38" i="18"/>
  <c r="C349" i="12"/>
  <c r="C339" i="12"/>
  <c r="C13" i="18"/>
  <c r="O23" i="18"/>
  <c r="C309" i="12"/>
  <c r="G264" i="12"/>
  <c r="D348" i="12"/>
  <c r="H64" i="12"/>
  <c r="D338" i="12"/>
  <c r="H54" i="12"/>
  <c r="F167" i="12"/>
  <c r="G32" i="12"/>
  <c r="I110" i="12"/>
  <c r="D278" i="12"/>
  <c r="B351" i="12"/>
  <c r="B142" i="12"/>
  <c r="E26" i="18"/>
  <c r="E10" i="18"/>
  <c r="D10" i="18"/>
  <c r="H350" i="12"/>
  <c r="F337" i="12"/>
  <c r="D34" i="18"/>
  <c r="F102" i="12"/>
  <c r="C169" i="12"/>
  <c r="C204" i="12"/>
  <c r="C159" i="12"/>
  <c r="E286" i="12"/>
  <c r="E241" i="12"/>
  <c r="G357" i="12"/>
  <c r="E351" i="12"/>
  <c r="G184" i="12"/>
  <c r="F222" i="12"/>
  <c r="N25" i="18"/>
  <c r="K30" i="18"/>
  <c r="O84" i="18"/>
  <c r="G336" i="12"/>
  <c r="H357" i="12"/>
  <c r="D7" i="18"/>
  <c r="C364" i="12"/>
  <c r="M36" i="18"/>
  <c r="O40" i="18"/>
  <c r="I20" i="18"/>
  <c r="C352" i="12"/>
  <c r="F188" i="12"/>
  <c r="F162" i="12"/>
  <c r="L28" i="18"/>
  <c r="B34" i="18"/>
  <c r="F28" i="18"/>
  <c r="N84" i="18"/>
  <c r="C359" i="12"/>
  <c r="G82" i="18"/>
  <c r="L67" i="18"/>
  <c r="I353" i="12"/>
  <c r="N12" i="18"/>
  <c r="F341" i="12"/>
  <c r="F339" i="12"/>
  <c r="B41" i="18"/>
  <c r="N57" i="18"/>
  <c r="D52" i="18"/>
  <c r="E313" i="12"/>
  <c r="F5" i="18"/>
  <c r="D37" i="18"/>
  <c r="G100" i="18"/>
  <c r="K23" i="18"/>
  <c r="O17" i="18"/>
  <c r="B27" i="18"/>
  <c r="K75" i="18"/>
  <c r="B363" i="12"/>
  <c r="B353" i="12"/>
  <c r="B86" i="12"/>
  <c r="E173" i="12"/>
  <c r="E208" i="12"/>
  <c r="E163" i="12"/>
  <c r="G303" i="12"/>
  <c r="H36" i="12"/>
  <c r="G355" i="12"/>
  <c r="G226" i="12"/>
  <c r="E323" i="12"/>
  <c r="C278" i="12"/>
  <c r="F172" i="12"/>
  <c r="F146" i="12"/>
  <c r="F136" i="12"/>
  <c r="I290" i="12"/>
  <c r="F132" i="12"/>
  <c r="F106" i="12"/>
  <c r="E22" i="18"/>
  <c r="D255" i="12"/>
  <c r="F34" i="12"/>
  <c r="D245" i="12"/>
  <c r="C186" i="12"/>
  <c r="J39" i="18"/>
  <c r="I206" i="12"/>
  <c r="J17" i="18"/>
  <c r="G80" i="18"/>
  <c r="J96" i="18"/>
  <c r="D286" i="12"/>
  <c r="C50" i="18"/>
  <c r="G312" i="12"/>
  <c r="J55" i="18"/>
  <c r="O102" i="18"/>
  <c r="E141" i="18"/>
  <c r="F9" i="18"/>
  <c r="G107" i="18"/>
  <c r="F79" i="18"/>
  <c r="K92" i="18"/>
  <c r="G90" i="18"/>
  <c r="G109" i="18"/>
  <c r="G313" i="12"/>
  <c r="D64" i="18"/>
  <c r="H81" i="18"/>
  <c r="C89" i="18"/>
  <c r="N9" i="18"/>
  <c r="B77" i="18"/>
  <c r="L74" i="18"/>
  <c r="I58" i="18"/>
  <c r="G51" i="18"/>
  <c r="M86" i="18"/>
  <c r="N67" i="18"/>
  <c r="L60" i="18"/>
  <c r="E320" i="12"/>
  <c r="M81" i="18"/>
  <c r="I128" i="12"/>
  <c r="G337" i="12"/>
  <c r="O13" i="18"/>
  <c r="B23" i="18"/>
  <c r="C63" i="18"/>
  <c r="M68" i="18"/>
  <c r="K116" i="18"/>
  <c r="O22" i="18"/>
  <c r="J73" i="18"/>
  <c r="E57" i="18"/>
  <c r="C60" i="18"/>
  <c r="G88" i="12"/>
  <c r="H314" i="12"/>
  <c r="N7" i="18"/>
  <c r="E308" i="12"/>
  <c r="F86" i="12"/>
  <c r="E335" i="12"/>
  <c r="I228" i="12"/>
  <c r="D287" i="12"/>
  <c r="C108" i="12"/>
  <c r="I29" i="12"/>
  <c r="C173" i="12"/>
  <c r="M30" i="18"/>
  <c r="E37" i="18"/>
  <c r="G262" i="12"/>
  <c r="C30" i="18"/>
  <c r="E69" i="18"/>
  <c r="C353" i="12"/>
  <c r="D349" i="12"/>
  <c r="G46" i="18"/>
  <c r="H177" i="12"/>
  <c r="G28" i="12"/>
  <c r="D117" i="12"/>
  <c r="F306" i="12"/>
  <c r="B261" i="12"/>
  <c r="G330" i="12"/>
  <c r="F180" i="12"/>
  <c r="B29" i="18"/>
  <c r="G230" i="12"/>
  <c r="H10" i="18"/>
  <c r="H29" i="18"/>
  <c r="N100" i="18"/>
  <c r="H15" i="18"/>
  <c r="K91" i="18"/>
  <c r="D54" i="18"/>
  <c r="H48" i="18"/>
  <c r="I334" i="12"/>
  <c r="N91" i="18"/>
  <c r="D161" i="18"/>
  <c r="F138" i="18"/>
  <c r="C54" i="18"/>
  <c r="N14" i="18"/>
  <c r="D9" i="18"/>
  <c r="F276" i="12"/>
  <c r="F250" i="12"/>
  <c r="F240" i="12"/>
  <c r="I355" i="12"/>
  <c r="I68" i="18"/>
  <c r="M20" i="18"/>
  <c r="I325" i="12"/>
  <c r="N59" i="18"/>
  <c r="I118" i="18"/>
  <c r="C107" i="18"/>
  <c r="B26" i="18"/>
  <c r="E73" i="18"/>
  <c r="J58" i="18"/>
  <c r="B346" i="12"/>
  <c r="O9" i="18"/>
  <c r="F176" i="12"/>
  <c r="I266" i="12"/>
  <c r="E352" i="12"/>
  <c r="H323" i="12"/>
  <c r="G304" i="12"/>
  <c r="G222" i="12"/>
  <c r="O20" i="18"/>
  <c r="G274" i="12"/>
  <c r="E363" i="12"/>
  <c r="F195" i="12"/>
  <c r="G60" i="12"/>
  <c r="F185" i="12"/>
  <c r="G50" i="12"/>
  <c r="D259" i="12"/>
  <c r="D222" i="12"/>
  <c r="M117" i="18"/>
  <c r="I22" i="18"/>
  <c r="O35" i="18"/>
  <c r="H233" i="12"/>
  <c r="L5" i="18"/>
  <c r="G361" i="12"/>
  <c r="O25" i="18"/>
  <c r="B198" i="12"/>
  <c r="G331" i="12"/>
  <c r="G321" i="12"/>
  <c r="B246" i="12"/>
  <c r="E269" i="12"/>
  <c r="E304" i="12"/>
  <c r="E259" i="12"/>
  <c r="H141" i="12"/>
  <c r="H96" i="12"/>
  <c r="F284" i="12"/>
  <c r="C325" i="12"/>
  <c r="I156" i="12"/>
  <c r="D280" i="12"/>
  <c r="G148" i="12"/>
  <c r="L17" i="18"/>
  <c r="C15" i="18"/>
  <c r="D78" i="18"/>
  <c r="F106" i="18"/>
  <c r="I150" i="18"/>
  <c r="G40" i="18"/>
  <c r="I91" i="18"/>
  <c r="N76" i="18"/>
  <c r="D71" i="18"/>
  <c r="H63" i="18"/>
  <c r="I14" i="18"/>
  <c r="M8" i="18"/>
  <c r="F148" i="12"/>
  <c r="F122" i="12"/>
  <c r="F112" i="12"/>
  <c r="H353" i="12"/>
  <c r="E129" i="18"/>
  <c r="J3" i="18"/>
  <c r="K86" i="18"/>
  <c r="D129" i="18"/>
  <c r="N44" i="18"/>
  <c r="K112" i="18"/>
  <c r="K25" i="18"/>
  <c r="J82" i="18"/>
  <c r="I52" i="18"/>
  <c r="M11" i="18"/>
  <c r="G48" i="18"/>
  <c r="I252" i="12"/>
  <c r="I138" i="12"/>
  <c r="G220" i="12"/>
  <c r="G186" i="12"/>
  <c r="G176" i="12"/>
  <c r="G94" i="12"/>
  <c r="G172" i="12"/>
  <c r="G146" i="12"/>
  <c r="D17" i="18"/>
  <c r="I303" i="12"/>
  <c r="I64" i="12"/>
  <c r="I293" i="12"/>
  <c r="D248" i="12"/>
  <c r="D131" i="12"/>
  <c r="O137" i="18"/>
  <c r="I310" i="12"/>
  <c r="I338" i="12"/>
  <c r="L18" i="18"/>
  <c r="O93" i="18"/>
  <c r="G5" i="18"/>
  <c r="B361" i="12"/>
  <c r="L8" i="18"/>
  <c r="F71" i="18"/>
  <c r="H39" i="18"/>
  <c r="L32" i="18"/>
  <c r="E274" i="12"/>
  <c r="E141" i="12"/>
  <c r="E176" i="12"/>
  <c r="E131" i="12"/>
  <c r="G271" i="12"/>
  <c r="E73" i="12"/>
  <c r="I4" i="18"/>
  <c r="I33" i="18"/>
  <c r="B33" i="18"/>
  <c r="D148" i="12"/>
  <c r="F268" i="12"/>
  <c r="C20" i="18"/>
  <c r="O79" i="18"/>
  <c r="B75" i="18"/>
  <c r="J64" i="18"/>
  <c r="N58" i="18"/>
  <c r="G365" i="12"/>
  <c r="N134" i="18"/>
  <c r="E72" i="18"/>
  <c r="I66" i="18"/>
  <c r="K15" i="18"/>
  <c r="E359" i="12"/>
  <c r="E349" i="12"/>
  <c r="G39" i="18"/>
  <c r="G258" i="12"/>
  <c r="G248" i="12"/>
  <c r="F14" i="18"/>
  <c r="G196" i="12"/>
  <c r="F51" i="18"/>
  <c r="G356" i="12"/>
  <c r="L97" i="18"/>
  <c r="M123" i="18"/>
  <c r="L104" i="18"/>
  <c r="L41" i="18"/>
  <c r="C87" i="18"/>
  <c r="J49" i="18"/>
  <c r="E329" i="12"/>
  <c r="C312" i="12"/>
  <c r="G280" i="12"/>
  <c r="F286" i="12"/>
  <c r="I39" i="18"/>
  <c r="F348" i="12"/>
  <c r="F338" i="12"/>
  <c r="E354" i="12"/>
  <c r="M24" i="18"/>
  <c r="J25" i="18"/>
  <c r="F248" i="12"/>
  <c r="G203" i="12"/>
  <c r="B14" i="12"/>
  <c r="G193" i="12"/>
  <c r="E68" i="12"/>
  <c r="I275" i="12"/>
  <c r="I36" i="12"/>
  <c r="G345" i="12"/>
  <c r="E341" i="12"/>
  <c r="I320" i="12"/>
  <c r="E250" i="12"/>
  <c r="E343" i="12"/>
  <c r="E333" i="12"/>
  <c r="N71" i="18"/>
  <c r="C206" i="12"/>
  <c r="O39" i="18"/>
  <c r="O32" i="18"/>
  <c r="D292" i="12"/>
  <c r="B289" i="12"/>
  <c r="C76" i="12"/>
  <c r="B279" i="12"/>
  <c r="E158" i="12"/>
  <c r="E113" i="12"/>
  <c r="G57" i="18"/>
  <c r="F10" i="18"/>
  <c r="E218" i="12"/>
  <c r="I222" i="12"/>
  <c r="G114" i="18"/>
  <c r="M57" i="18"/>
  <c r="D55" i="18"/>
  <c r="F162" i="18"/>
  <c r="N90" i="18"/>
  <c r="I38" i="18"/>
  <c r="B44" i="18"/>
  <c r="L96" i="18"/>
  <c r="M195" i="18"/>
  <c r="I82" i="18"/>
  <c r="D101" i="18"/>
  <c r="D147" i="18"/>
  <c r="B164" i="18"/>
  <c r="L50" i="18"/>
  <c r="G366" i="12"/>
  <c r="K84" i="18"/>
  <c r="O128" i="18"/>
  <c r="F212" i="12"/>
  <c r="H43" i="18"/>
  <c r="L75" i="18"/>
  <c r="G83" i="18"/>
  <c r="D94" i="18"/>
  <c r="J104" i="18"/>
  <c r="I132" i="18"/>
  <c r="C57" i="18"/>
  <c r="B338" i="12"/>
  <c r="I127" i="18"/>
  <c r="H66" i="18"/>
  <c r="I331" i="12"/>
  <c r="O98" i="18"/>
  <c r="E47" i="18"/>
  <c r="G347" i="12"/>
  <c r="G120" i="12"/>
  <c r="I28" i="18"/>
  <c r="C147" i="18"/>
  <c r="B356" i="12"/>
  <c r="M62" i="18"/>
  <c r="K28" i="18"/>
  <c r="L70" i="18"/>
  <c r="D72" i="18"/>
  <c r="M71" i="18"/>
  <c r="C84" i="18"/>
  <c r="E355" i="12"/>
  <c r="E282" i="12"/>
  <c r="E318" i="12"/>
  <c r="F168" i="12"/>
  <c r="C238" i="12"/>
  <c r="G24" i="18"/>
  <c r="C337" i="12"/>
  <c r="C73" i="12"/>
  <c r="F321" i="12"/>
  <c r="C218" i="12"/>
  <c r="E145" i="12"/>
  <c r="I32" i="18"/>
  <c r="F346" i="12"/>
  <c r="I234" i="12"/>
  <c r="C76" i="18"/>
  <c r="C38" i="18"/>
  <c r="G190" i="12"/>
  <c r="C52" i="18"/>
  <c r="F37" i="18"/>
  <c r="F163" i="12"/>
  <c r="B196" i="12"/>
  <c r="B151" i="12"/>
  <c r="H269" i="12"/>
  <c r="H224" i="12"/>
  <c r="I6" i="18"/>
  <c r="I348" i="12"/>
  <c r="D328" i="12"/>
  <c r="I202" i="12"/>
  <c r="I5" i="18"/>
  <c r="D45" i="18"/>
  <c r="L101" i="18"/>
  <c r="K29" i="18"/>
  <c r="C81" i="18"/>
  <c r="L52" i="18"/>
  <c r="B47" i="18"/>
  <c r="I25" i="18"/>
  <c r="H90" i="18"/>
  <c r="O76" i="18"/>
  <c r="M69" i="18"/>
  <c r="B6" i="18"/>
  <c r="C333" i="12"/>
  <c r="C323" i="12"/>
  <c r="F359" i="12"/>
  <c r="F345" i="12"/>
  <c r="C326" i="12"/>
  <c r="J13" i="18"/>
  <c r="H359" i="12"/>
  <c r="B67" i="18"/>
  <c r="F61" i="18"/>
  <c r="H58" i="18"/>
  <c r="I43" i="18"/>
  <c r="M37" i="18"/>
  <c r="G244" i="12"/>
  <c r="I87" i="18"/>
  <c r="G340" i="12"/>
  <c r="L39" i="18"/>
  <c r="F282" i="12"/>
  <c r="M89" i="18"/>
  <c r="C182" i="12"/>
  <c r="D320" i="12"/>
  <c r="I286" i="12"/>
  <c r="I276" i="12"/>
  <c r="I194" i="12"/>
  <c r="I272" i="12"/>
  <c r="I246" i="12"/>
  <c r="E306" i="12"/>
  <c r="D159" i="12"/>
  <c r="D266" i="12"/>
  <c r="D149" i="12"/>
  <c r="C90" i="12"/>
  <c r="B293" i="12"/>
  <c r="C66" i="18"/>
  <c r="I224" i="12"/>
  <c r="M27" i="18"/>
  <c r="G134" i="12"/>
  <c r="C308" i="12"/>
  <c r="C317" i="12"/>
  <c r="C307" i="12"/>
  <c r="F352" i="12"/>
  <c r="B9" i="18"/>
  <c r="I24" i="18"/>
  <c r="G192" i="12"/>
  <c r="G299" i="12"/>
  <c r="H32" i="12"/>
  <c r="G289" i="12"/>
  <c r="H22" i="12"/>
  <c r="F135" i="12"/>
  <c r="B81" i="12"/>
  <c r="F258" i="12"/>
  <c r="I166" i="12"/>
  <c r="G319" i="12"/>
  <c r="B238" i="12"/>
  <c r="G341" i="12"/>
  <c r="E101" i="18"/>
  <c r="D84" i="18"/>
  <c r="L76" i="18"/>
  <c r="M61" i="18"/>
  <c r="C56" i="18"/>
  <c r="G276" i="12"/>
  <c r="C90" i="18"/>
  <c r="F6" i="18"/>
  <c r="G362" i="12"/>
  <c r="N6" i="18"/>
  <c r="D41" i="18"/>
  <c r="J33" i="18"/>
  <c r="E319" i="12"/>
  <c r="E309" i="12"/>
  <c r="D103" i="18"/>
  <c r="G12" i="18"/>
  <c r="H9" i="18"/>
  <c r="F130" i="18"/>
  <c r="K82" i="18"/>
  <c r="I67" i="18"/>
  <c r="G316" i="12"/>
  <c r="G306" i="12"/>
  <c r="H56" i="18"/>
  <c r="B12" i="18"/>
  <c r="B340" i="12"/>
  <c r="G266" i="12"/>
  <c r="I262" i="12"/>
  <c r="J12" i="18"/>
  <c r="B302" i="12"/>
  <c r="I184" i="12"/>
  <c r="I158" i="12"/>
  <c r="I148" i="12"/>
  <c r="D268" i="12"/>
  <c r="I144" i="12"/>
  <c r="I118" i="12"/>
  <c r="G174" i="12"/>
  <c r="H345" i="12"/>
  <c r="H37" i="18"/>
  <c r="H332" i="12"/>
  <c r="B210" i="12"/>
  <c r="B165" i="12"/>
  <c r="O66" i="18"/>
  <c r="L30" i="18"/>
  <c r="G216" i="12"/>
  <c r="F254" i="12"/>
  <c r="G309" i="12"/>
  <c r="D30" i="18"/>
  <c r="H24" i="18"/>
  <c r="E322" i="12"/>
  <c r="J7" i="18"/>
  <c r="F7" i="18"/>
  <c r="F184" i="12"/>
  <c r="G171" i="12"/>
  <c r="F45" i="12"/>
  <c r="G161" i="12"/>
  <c r="F35" i="12"/>
  <c r="I243" i="12"/>
  <c r="C66" i="12"/>
  <c r="F355" i="12"/>
  <c r="K21" i="18"/>
  <c r="J31" i="18"/>
  <c r="B110" i="12"/>
  <c r="F347" i="12"/>
  <c r="F32" i="18"/>
  <c r="H355" i="12"/>
  <c r="M77" i="18"/>
  <c r="D63" i="18"/>
  <c r="H57" i="18"/>
  <c r="C311" i="12"/>
  <c r="I101" i="18"/>
  <c r="M70" i="18"/>
  <c r="C65" i="18"/>
  <c r="B62" i="18"/>
  <c r="I356" i="12"/>
  <c r="I346" i="12"/>
  <c r="I256" i="12"/>
  <c r="I230" i="12"/>
  <c r="I220" i="12"/>
  <c r="N28" i="18"/>
  <c r="G352" i="12"/>
  <c r="H365" i="12"/>
  <c r="L11" i="18"/>
  <c r="N68" i="18"/>
  <c r="C118" i="18"/>
  <c r="N102" i="18"/>
  <c r="H8" i="18"/>
  <c r="I76" i="18"/>
  <c r="D48" i="18"/>
  <c r="I264" i="12"/>
  <c r="L34" i="18"/>
  <c r="C328" i="12"/>
  <c r="D212" i="12"/>
  <c r="G84" i="12"/>
  <c r="F307" i="12"/>
  <c r="F296" i="12"/>
  <c r="F214" i="12"/>
  <c r="F292" i="12"/>
  <c r="F266" i="12"/>
  <c r="I360" i="12"/>
  <c r="I175" i="12"/>
  <c r="H53" i="12"/>
  <c r="I165" i="12"/>
  <c r="H366" i="12"/>
  <c r="C301" i="12"/>
  <c r="I134" i="18"/>
  <c r="G300" i="12"/>
  <c r="B10" i="18"/>
  <c r="I17" i="18"/>
  <c r="I92" i="18"/>
  <c r="I340" i="12"/>
  <c r="I330" i="12"/>
  <c r="G64" i="18"/>
  <c r="N69" i="18"/>
  <c r="D66" i="18"/>
  <c r="F43" i="18"/>
  <c r="E106" i="12"/>
  <c r="H252" i="12"/>
  <c r="H287" i="12"/>
  <c r="H242" i="12"/>
  <c r="G143" i="12"/>
  <c r="F82" i="12"/>
  <c r="E35" i="18"/>
  <c r="F356" i="12"/>
  <c r="N93" i="18"/>
  <c r="B49" i="18"/>
  <c r="F34" i="18"/>
  <c r="C316" i="12"/>
  <c r="L45" i="18"/>
  <c r="F151" i="18"/>
  <c r="H110" i="18"/>
  <c r="B45" i="18"/>
  <c r="F58" i="18"/>
  <c r="K129" i="18"/>
  <c r="L121" i="18"/>
  <c r="E100" i="18"/>
  <c r="H34" i="18"/>
  <c r="K78" i="18"/>
  <c r="H21" i="18"/>
  <c r="F186" i="12"/>
  <c r="O14" i="18"/>
  <c r="C343" i="12"/>
  <c r="I172" i="18"/>
  <c r="H30" i="18"/>
  <c r="F99" i="18"/>
  <c r="D87" i="18"/>
  <c r="B348" i="12"/>
  <c r="B365" i="12"/>
  <c r="M94" i="18"/>
  <c r="I341" i="12"/>
  <c r="I358" i="12"/>
  <c r="O52" i="18"/>
  <c r="G288" i="12"/>
  <c r="G130" i="12"/>
  <c r="L20" i="18"/>
  <c r="G29" i="18"/>
  <c r="D21" i="18"/>
  <c r="G11" i="18"/>
  <c r="B358" i="12"/>
  <c r="F104" i="18"/>
  <c r="E7" i="18"/>
  <c r="I351" i="12"/>
  <c r="I326" i="12"/>
  <c r="G290" i="12"/>
  <c r="I352" i="12"/>
  <c r="F12" i="18"/>
  <c r="F178" i="12"/>
  <c r="E27" i="18"/>
  <c r="G41" i="18"/>
  <c r="F138" i="12"/>
  <c r="I146" i="12"/>
  <c r="E10" i="12"/>
  <c r="D277" i="12"/>
  <c r="E190" i="12"/>
  <c r="H25" i="12"/>
  <c r="F244" i="12"/>
  <c r="F144" i="12"/>
  <c r="E122" i="12"/>
  <c r="M43" i="18"/>
  <c r="G272" i="12"/>
  <c r="C78" i="12"/>
  <c r="N24" i="18"/>
  <c r="G36" i="18"/>
  <c r="B161" i="12"/>
  <c r="H159" i="12"/>
  <c r="H114" i="12"/>
  <c r="F263" i="12"/>
  <c r="D62" i="12"/>
  <c r="B21" i="18"/>
  <c r="F154" i="12"/>
  <c r="E45" i="18"/>
  <c r="C118" i="12"/>
  <c r="I248" i="12"/>
  <c r="J32" i="18"/>
  <c r="N21" i="18"/>
  <c r="G59" i="18"/>
  <c r="E16" i="18"/>
  <c r="I317" i="12"/>
  <c r="I307" i="12"/>
  <c r="E91" i="18"/>
  <c r="L12" i="18"/>
  <c r="D50" i="18"/>
  <c r="H100" i="18"/>
  <c r="G204" i="12"/>
  <c r="G170" i="12"/>
  <c r="E119" i="18"/>
  <c r="B347" i="12"/>
  <c r="B337" i="12"/>
  <c r="N75" i="18"/>
  <c r="D12" i="18"/>
  <c r="H101" i="18"/>
  <c r="L58" i="18"/>
  <c r="O54" i="18"/>
  <c r="I327" i="12"/>
  <c r="C58" i="18"/>
  <c r="G52" i="18"/>
  <c r="G328" i="12"/>
  <c r="B73" i="18"/>
  <c r="C366" i="12"/>
  <c r="N32" i="18"/>
  <c r="K74" i="18"/>
  <c r="K50" i="18"/>
  <c r="E154" i="12"/>
  <c r="L62" i="18"/>
  <c r="N39" i="18"/>
  <c r="K40" i="18"/>
  <c r="C110" i="12"/>
  <c r="G70" i="18"/>
  <c r="K64" i="18"/>
  <c r="H330" i="12"/>
  <c r="B193" i="12"/>
  <c r="B228" i="12"/>
  <c r="B183" i="12"/>
  <c r="H301" i="12"/>
  <c r="H256" i="12"/>
  <c r="G164" i="12"/>
  <c r="L15" i="18"/>
  <c r="I188" i="12"/>
  <c r="I106" i="12"/>
  <c r="G180" i="12"/>
  <c r="G154" i="12"/>
  <c r="G144" i="12"/>
  <c r="F315" i="12"/>
  <c r="G140" i="12"/>
  <c r="G114" i="12"/>
  <c r="G327" i="12"/>
  <c r="I271" i="12"/>
  <c r="I32" i="12"/>
  <c r="I261" i="12"/>
  <c r="D216" i="12"/>
  <c r="D99" i="12"/>
  <c r="C288" i="12"/>
  <c r="C112" i="18"/>
  <c r="E4" i="18"/>
  <c r="K17" i="18"/>
  <c r="H201" i="12"/>
  <c r="E43" i="18"/>
  <c r="K20" i="18"/>
  <c r="C92" i="18"/>
  <c r="I359" i="12"/>
  <c r="C78" i="18"/>
  <c r="K70" i="18"/>
  <c r="B4" i="18"/>
  <c r="I11" i="18"/>
  <c r="N20" i="18"/>
  <c r="D15" i="18"/>
  <c r="F327" i="12"/>
  <c r="F290" i="12"/>
  <c r="I113" i="18"/>
  <c r="I316" i="12"/>
  <c r="I306" i="12"/>
  <c r="I75" i="18"/>
  <c r="M67" i="18"/>
  <c r="L82" i="18"/>
  <c r="J124" i="18"/>
  <c r="K35" i="18"/>
  <c r="O90" i="18"/>
  <c r="C342" i="12"/>
  <c r="C332" i="12"/>
  <c r="N13" i="18"/>
  <c r="J26" i="18"/>
  <c r="F365" i="12"/>
  <c r="G256" i="12"/>
  <c r="G305" i="12"/>
  <c r="C329" i="12"/>
  <c r="H265" i="12"/>
  <c r="B24" i="18"/>
  <c r="F18" i="18"/>
  <c r="G311" i="12"/>
  <c r="B230" i="12"/>
  <c r="G363" i="12"/>
  <c r="G353" i="12"/>
  <c r="F314" i="12"/>
  <c r="E301" i="12"/>
  <c r="B100" i="12"/>
  <c r="E291" i="12"/>
  <c r="H173" i="12"/>
  <c r="H128" i="12"/>
  <c r="I136" i="12"/>
  <c r="E358" i="12"/>
  <c r="F363" i="12"/>
  <c r="D180" i="12"/>
  <c r="F300" i="12"/>
  <c r="F274" i="12"/>
  <c r="F264" i="12"/>
  <c r="F182" i="12"/>
  <c r="F260" i="12"/>
  <c r="F234" i="12"/>
  <c r="B57" i="18"/>
  <c r="I143" i="12"/>
  <c r="H21" i="12"/>
  <c r="I133" i="12"/>
  <c r="H322" i="12"/>
  <c r="C269" i="12"/>
  <c r="F54" i="18"/>
  <c r="C335" i="12"/>
  <c r="E83" i="18"/>
  <c r="E362" i="12"/>
  <c r="J89" i="18"/>
  <c r="F107" i="18"/>
  <c r="M99" i="18"/>
  <c r="E79" i="18"/>
  <c r="O110" i="18"/>
  <c r="G348" i="12"/>
  <c r="G338" i="12"/>
  <c r="M60" i="18"/>
  <c r="F30" i="18"/>
  <c r="O5" i="18"/>
  <c r="B362" i="12"/>
  <c r="C351" i="12"/>
  <c r="M38" i="18"/>
  <c r="G32" i="18"/>
  <c r="E61" i="18"/>
  <c r="I55" i="18"/>
  <c r="F86" i="18"/>
  <c r="L29" i="18"/>
  <c r="L80" i="18"/>
  <c r="D69" i="18"/>
  <c r="G74" i="18"/>
  <c r="G358" i="12"/>
  <c r="N29" i="18"/>
  <c r="D24" i="18"/>
  <c r="E50" i="18"/>
  <c r="K11" i="18"/>
  <c r="I309" i="12"/>
  <c r="I238" i="12"/>
  <c r="B315" i="12"/>
  <c r="E12" i="18"/>
  <c r="B174" i="12"/>
  <c r="D296" i="12"/>
  <c r="D270" i="12"/>
  <c r="H28" i="18"/>
  <c r="D140" i="12"/>
  <c r="I12" i="18"/>
  <c r="G3" i="18"/>
  <c r="F166" i="12"/>
  <c r="C201" i="12"/>
  <c r="C236" i="12"/>
  <c r="C191" i="12"/>
  <c r="D331" i="12"/>
  <c r="E273" i="12"/>
  <c r="B42" i="18"/>
  <c r="O42" i="18"/>
  <c r="F304" i="12"/>
  <c r="F126" i="12"/>
  <c r="C319" i="12"/>
  <c r="O28" i="18"/>
  <c r="E23" i="18"/>
  <c r="H331" i="12"/>
  <c r="F366" i="12"/>
  <c r="C6" i="18"/>
  <c r="I164" i="12"/>
  <c r="F291" i="12"/>
  <c r="H89" i="12"/>
  <c r="F281" i="12"/>
  <c r="D70" i="12"/>
  <c r="I115" i="12"/>
  <c r="C60" i="12"/>
  <c r="C141" i="12"/>
  <c r="G188" i="12"/>
  <c r="I120" i="12"/>
  <c r="L23" i="18"/>
  <c r="C321" i="12"/>
  <c r="N63" i="18"/>
  <c r="J6" i="18"/>
  <c r="N19" i="18"/>
  <c r="H137" i="12"/>
  <c r="H92" i="12"/>
  <c r="H127" i="12"/>
  <c r="H82" i="12"/>
  <c r="F231" i="12"/>
  <c r="D30" i="12"/>
  <c r="F156" i="12"/>
  <c r="G15" i="18"/>
  <c r="I124" i="12"/>
  <c r="D244" i="12"/>
  <c r="G116" i="12"/>
  <c r="G90" i="12"/>
  <c r="G80" i="12"/>
  <c r="F246" i="12"/>
  <c r="G76" i="12"/>
  <c r="F298" i="12"/>
  <c r="D36" i="18"/>
  <c r="I207" i="12"/>
  <c r="D80" i="12"/>
  <c r="I197" i="12"/>
  <c r="D152" i="12"/>
  <c r="H349" i="12"/>
  <c r="H115" i="12"/>
  <c r="D138" i="12"/>
  <c r="B118" i="12"/>
  <c r="E197" i="12"/>
  <c r="E232" i="12"/>
  <c r="E187" i="12"/>
  <c r="D344" i="12"/>
  <c r="H60" i="12"/>
  <c r="G173" i="12"/>
  <c r="F47" i="12"/>
  <c r="E298" i="12"/>
  <c r="E157" i="12"/>
  <c r="E192" i="12"/>
  <c r="E147" i="12"/>
  <c r="G287" i="12"/>
  <c r="H20" i="12"/>
  <c r="G133" i="12"/>
  <c r="E202" i="12"/>
  <c r="E85" i="12"/>
  <c r="E120" i="12"/>
  <c r="B324" i="12"/>
  <c r="G215" i="12"/>
  <c r="C15" i="12"/>
  <c r="D209" i="12"/>
  <c r="H15" i="12"/>
  <c r="B219" i="12"/>
  <c r="D333" i="12"/>
  <c r="B10" i="12"/>
  <c r="H58" i="12"/>
  <c r="D61" i="12"/>
  <c r="D297" i="12"/>
  <c r="E339" i="12"/>
  <c r="F187" i="12"/>
  <c r="G52" i="12"/>
  <c r="F177" i="12"/>
  <c r="G42" i="12"/>
  <c r="D251" i="12"/>
  <c r="D214" i="12"/>
  <c r="D97" i="12"/>
  <c r="C18" i="18"/>
  <c r="F147" i="12"/>
  <c r="G12" i="12"/>
  <c r="F137" i="12"/>
  <c r="B13" i="12"/>
  <c r="D211" i="12"/>
  <c r="D174" i="12"/>
  <c r="L21" i="18"/>
  <c r="D318" i="12"/>
  <c r="I76" i="12"/>
  <c r="I301" i="12"/>
  <c r="D256" i="12"/>
  <c r="D139" i="12"/>
  <c r="H344" i="12"/>
  <c r="D36" i="12"/>
  <c r="G55" i="12"/>
  <c r="F74" i="12"/>
  <c r="G68" i="12"/>
  <c r="C18" i="12"/>
  <c r="D27" i="12"/>
  <c r="G19" i="12"/>
  <c r="F301" i="12"/>
  <c r="M18" i="18"/>
  <c r="H161" i="12"/>
  <c r="H116" i="12"/>
  <c r="H151" i="12"/>
  <c r="H106" i="12"/>
  <c r="F255" i="12"/>
  <c r="D54" i="12"/>
  <c r="F101" i="12"/>
  <c r="E332" i="12"/>
  <c r="H121" i="12"/>
  <c r="H76" i="12"/>
  <c r="H111" i="12"/>
  <c r="D122" i="12"/>
  <c r="F215" i="12"/>
  <c r="D14" i="12"/>
  <c r="G200" i="12"/>
  <c r="H309" i="12"/>
  <c r="H40" i="12"/>
  <c r="G297" i="12"/>
  <c r="H30" i="12"/>
  <c r="F143" i="12"/>
  <c r="B25" i="12"/>
  <c r="B115" i="12"/>
  <c r="G17" i="12"/>
  <c r="D90" i="12"/>
  <c r="C21" i="12"/>
  <c r="E24" i="12"/>
  <c r="B41" i="12"/>
  <c r="B79" i="12"/>
  <c r="D233" i="12"/>
  <c r="O72" i="18"/>
  <c r="F123" i="12"/>
  <c r="B63" i="12"/>
  <c r="F113" i="12"/>
  <c r="D88" i="18"/>
  <c r="I94" i="12"/>
  <c r="G35" i="18"/>
  <c r="D204" i="12"/>
  <c r="H335" i="12"/>
  <c r="D294" i="12"/>
  <c r="F294" i="12"/>
  <c r="C265" i="12"/>
  <c r="C300" i="12"/>
  <c r="C255" i="12"/>
  <c r="B146" i="12"/>
  <c r="B101" i="12"/>
  <c r="E48" i="18"/>
  <c r="F334" i="12"/>
  <c r="O60" i="18"/>
  <c r="E330" i="12"/>
  <c r="E89" i="18"/>
  <c r="L24" i="18"/>
  <c r="B19" i="18"/>
  <c r="I312" i="12"/>
  <c r="F80" i="18"/>
  <c r="I364" i="12"/>
  <c r="I354" i="12"/>
  <c r="E194" i="12"/>
  <c r="B328" i="12"/>
  <c r="E112" i="12"/>
  <c r="B308" i="12"/>
  <c r="G207" i="12"/>
  <c r="C70" i="12"/>
  <c r="C243" i="12"/>
  <c r="N8" i="18"/>
  <c r="B317" i="12"/>
  <c r="C16" i="12"/>
  <c r="D301" i="12"/>
  <c r="C242" i="12"/>
  <c r="C197" i="12"/>
  <c r="C88" i="12"/>
  <c r="B291" i="12"/>
  <c r="C305" i="12"/>
  <c r="D271" i="12"/>
  <c r="F50" i="12"/>
  <c r="D261" i="12"/>
  <c r="C202" i="12"/>
  <c r="C157" i="12"/>
  <c r="B296" i="12"/>
  <c r="J9" i="18"/>
  <c r="D199" i="12"/>
  <c r="I98" i="12"/>
  <c r="D189" i="12"/>
  <c r="C130" i="12"/>
  <c r="C85" i="12"/>
  <c r="B224" i="12"/>
  <c r="H23" i="12"/>
  <c r="F48" i="12"/>
  <c r="D11" i="12"/>
  <c r="B19" i="12"/>
  <c r="G189" i="12"/>
  <c r="F52" i="12"/>
  <c r="H211" i="12"/>
  <c r="H166" i="12"/>
  <c r="B286" i="12"/>
  <c r="E293" i="12"/>
  <c r="B92" i="12"/>
  <c r="E283" i="12"/>
  <c r="H165" i="12"/>
  <c r="H120" i="12"/>
  <c r="G269" i="12"/>
  <c r="F70" i="12"/>
  <c r="B214" i="12"/>
  <c r="E253" i="12"/>
  <c r="E288" i="12"/>
  <c r="E243" i="12"/>
  <c r="H125" i="12"/>
  <c r="H80" i="12"/>
  <c r="G229" i="12"/>
  <c r="B94" i="12"/>
  <c r="E181" i="12"/>
  <c r="E216" i="12"/>
  <c r="E171" i="12"/>
  <c r="H317" i="12"/>
  <c r="H44" i="12"/>
  <c r="I161" i="12"/>
  <c r="G51" i="12"/>
  <c r="C163" i="12"/>
  <c r="B275" i="12"/>
  <c r="D31" i="12"/>
  <c r="H214" i="12"/>
  <c r="H43" i="12"/>
  <c r="B280" i="12"/>
  <c r="B171" i="12"/>
  <c r="G86" i="12"/>
  <c r="C289" i="12"/>
  <c r="H340" i="12"/>
  <c r="C279" i="12"/>
  <c r="B170" i="12"/>
  <c r="B125" i="12"/>
  <c r="E252" i="12"/>
  <c r="E207" i="12"/>
  <c r="F262" i="12"/>
  <c r="C249" i="12"/>
  <c r="C284" i="12"/>
  <c r="C239" i="12"/>
  <c r="B130" i="12"/>
  <c r="B85" i="12"/>
  <c r="E212" i="12"/>
  <c r="F110" i="12"/>
  <c r="C177" i="12"/>
  <c r="C212" i="12"/>
  <c r="C167" i="12"/>
  <c r="E294" i="12"/>
  <c r="E249" i="12"/>
  <c r="E140" i="12"/>
  <c r="G21" i="12"/>
  <c r="G253" i="12"/>
  <c r="F213" i="12"/>
  <c r="E36" i="12"/>
  <c r="D153" i="12"/>
  <c r="C38" i="12"/>
  <c r="H147" i="12"/>
  <c r="H102" i="12"/>
  <c r="B158" i="12"/>
  <c r="E229" i="12"/>
  <c r="E264" i="12"/>
  <c r="E219" i="12"/>
  <c r="O26" i="18"/>
  <c r="D94" i="12"/>
  <c r="G205" i="12"/>
  <c r="B18" i="12"/>
  <c r="G339" i="12"/>
  <c r="J37" i="18"/>
  <c r="I344" i="12"/>
  <c r="I135" i="18"/>
  <c r="D20" i="18"/>
  <c r="H14" i="18"/>
  <c r="E234" i="12"/>
  <c r="E109" i="12"/>
  <c r="E144" i="12"/>
  <c r="E99" i="12"/>
  <c r="G239" i="12"/>
  <c r="C39" i="12"/>
  <c r="O55" i="18"/>
  <c r="G315" i="12"/>
  <c r="F208" i="12"/>
  <c r="I298" i="12"/>
  <c r="F31" i="18"/>
  <c r="E3" i="18"/>
  <c r="D354" i="12"/>
  <c r="G254" i="12"/>
  <c r="E336" i="12"/>
  <c r="H307" i="12"/>
  <c r="B40" i="18"/>
  <c r="F227" i="12"/>
  <c r="D26" i="12"/>
  <c r="F217" i="12"/>
  <c r="D16" i="12"/>
  <c r="D291" i="12"/>
  <c r="E132" i="12"/>
  <c r="E87" i="12"/>
  <c r="I23" i="18"/>
  <c r="B217" i="12"/>
  <c r="B252" i="12"/>
  <c r="B207" i="12"/>
  <c r="E86" i="12"/>
  <c r="H280" i="12"/>
  <c r="H171" i="12"/>
  <c r="H126" i="12"/>
  <c r="C286" i="12"/>
  <c r="B177" i="12"/>
  <c r="B212" i="12"/>
  <c r="B167" i="12"/>
  <c r="H285" i="12"/>
  <c r="H240" i="12"/>
  <c r="H131" i="12"/>
  <c r="C134" i="12"/>
  <c r="B105" i="12"/>
  <c r="B140" i="12"/>
  <c r="B95" i="12"/>
  <c r="H213" i="12"/>
  <c r="H168" i="12"/>
  <c r="F277" i="12"/>
  <c r="E56" i="12"/>
  <c r="D185" i="12"/>
  <c r="C4" i="18"/>
  <c r="F38" i="12"/>
  <c r="E295" i="12"/>
  <c r="B69" i="12"/>
  <c r="D322" i="12"/>
  <c r="F224" i="12"/>
  <c r="G195" i="12"/>
  <c r="B71" i="12"/>
  <c r="G185" i="12"/>
  <c r="F59" i="12"/>
  <c r="I267" i="12"/>
  <c r="I28" i="12"/>
  <c r="I113" i="12"/>
  <c r="F152" i="12"/>
  <c r="G155" i="12"/>
  <c r="F29" i="12"/>
  <c r="G145" i="12"/>
  <c r="F13" i="12"/>
  <c r="I227" i="12"/>
  <c r="D134" i="12"/>
  <c r="I236" i="12"/>
  <c r="G83" i="12"/>
  <c r="E15" i="12"/>
  <c r="G73" i="12"/>
  <c r="I61" i="12"/>
  <c r="I155" i="12"/>
  <c r="H33" i="12"/>
  <c r="H142" i="12"/>
  <c r="C36" i="12"/>
  <c r="D20" i="12"/>
  <c r="B21" i="12"/>
  <c r="B50" i="12"/>
  <c r="H39" i="12"/>
  <c r="F73" i="12"/>
  <c r="H313" i="12"/>
  <c r="H42" i="12"/>
  <c r="E266" i="12"/>
  <c r="E133" i="12"/>
  <c r="E168" i="12"/>
  <c r="E123" i="12"/>
  <c r="G263" i="12"/>
  <c r="C63" i="12"/>
  <c r="G109" i="12"/>
  <c r="E41" i="12"/>
  <c r="E210" i="12"/>
  <c r="E93" i="12"/>
  <c r="E128" i="12"/>
  <c r="E83" i="12"/>
  <c r="G223" i="12"/>
  <c r="C23" i="12"/>
  <c r="F329" i="12"/>
  <c r="E114" i="12"/>
  <c r="H260" i="12"/>
  <c r="H295" i="12"/>
  <c r="H250" i="12"/>
  <c r="G151" i="12"/>
  <c r="F25" i="12"/>
  <c r="D81" i="12"/>
  <c r="F60" i="12"/>
  <c r="B91" i="12"/>
  <c r="E191" i="12"/>
  <c r="F71" i="12"/>
  <c r="B74" i="12"/>
  <c r="I68" i="12"/>
  <c r="I249" i="12"/>
  <c r="F96" i="12"/>
  <c r="G131" i="12"/>
  <c r="E63" i="12"/>
  <c r="G121" i="12"/>
  <c r="E53" i="12"/>
  <c r="I203" i="12"/>
  <c r="D72" i="12"/>
  <c r="D289" i="12"/>
  <c r="F140" i="12"/>
  <c r="N37" i="18"/>
  <c r="I79" i="18"/>
  <c r="C174" i="12"/>
  <c r="G20" i="18"/>
  <c r="K14" i="18"/>
  <c r="D220" i="12"/>
  <c r="B257" i="12"/>
  <c r="B292" i="12"/>
  <c r="B247" i="12"/>
  <c r="E126" i="12"/>
  <c r="E81" i="12"/>
  <c r="F38" i="18"/>
  <c r="F116" i="12"/>
  <c r="E348" i="12"/>
  <c r="G198" i="12"/>
  <c r="E9" i="18"/>
  <c r="D11" i="18"/>
  <c r="H5" i="18"/>
  <c r="G31" i="18"/>
  <c r="F24" i="18"/>
  <c r="C341" i="12"/>
  <c r="K18" i="18"/>
  <c r="C36" i="18"/>
  <c r="D102" i="12"/>
  <c r="E13" i="18"/>
  <c r="D82" i="12"/>
  <c r="F199" i="12"/>
  <c r="C96" i="12"/>
  <c r="B235" i="12"/>
  <c r="G214" i="12"/>
  <c r="C12" i="18"/>
  <c r="D162" i="12"/>
  <c r="H362" i="12"/>
  <c r="B234" i="12"/>
  <c r="B189" i="12"/>
  <c r="D327" i="12"/>
  <c r="E271" i="12"/>
  <c r="G142" i="12"/>
  <c r="H320" i="12"/>
  <c r="E5" i="18"/>
  <c r="C303" i="12"/>
  <c r="B194" i="12"/>
  <c r="B149" i="12"/>
  <c r="E276" i="12"/>
  <c r="F238" i="12"/>
  <c r="C241" i="12"/>
  <c r="C276" i="12"/>
  <c r="C231" i="12"/>
  <c r="B122" i="12"/>
  <c r="D321" i="12"/>
  <c r="E204" i="12"/>
  <c r="D19" i="12"/>
  <c r="B26" i="12"/>
  <c r="G221" i="12"/>
  <c r="F62" i="12"/>
  <c r="D281" i="12"/>
  <c r="I30" i="12"/>
  <c r="G213" i="12"/>
  <c r="C13" i="12"/>
  <c r="E138" i="12"/>
  <c r="H276" i="12"/>
  <c r="B318" i="12"/>
  <c r="H266" i="12"/>
  <c r="G167" i="12"/>
  <c r="F41" i="12"/>
  <c r="F261" i="12"/>
  <c r="D60" i="12"/>
  <c r="E82" i="12"/>
  <c r="H236" i="12"/>
  <c r="H271" i="12"/>
  <c r="H226" i="12"/>
  <c r="G127" i="12"/>
  <c r="E59" i="12"/>
  <c r="F221" i="12"/>
  <c r="H225" i="12"/>
  <c r="H164" i="12"/>
  <c r="H199" i="12"/>
  <c r="H154" i="12"/>
  <c r="F303" i="12"/>
  <c r="D120" i="12"/>
  <c r="C187" i="12"/>
  <c r="I27" i="12"/>
  <c r="E135" i="12"/>
  <c r="H238" i="12"/>
  <c r="B84" i="12"/>
  <c r="H77" i="12"/>
  <c r="D29" i="12"/>
  <c r="E196" i="12"/>
  <c r="E151" i="12"/>
  <c r="D260" i="12"/>
  <c r="B281" i="12"/>
  <c r="F326" i="12"/>
  <c r="N52" i="18"/>
  <c r="G162" i="12"/>
  <c r="I308" i="12"/>
  <c r="G240" i="12"/>
  <c r="G158" i="12"/>
  <c r="G268" i="12"/>
  <c r="G210" i="12"/>
  <c r="C120" i="18"/>
  <c r="F131" i="12"/>
  <c r="B73" i="12"/>
  <c r="F121" i="12"/>
  <c r="B61" i="12"/>
  <c r="D195" i="12"/>
  <c r="D158" i="12"/>
  <c r="F130" i="12"/>
  <c r="I134" i="12"/>
  <c r="I30" i="18"/>
  <c r="B206" i="12"/>
  <c r="I88" i="12"/>
  <c r="D302" i="12"/>
  <c r="F353" i="12"/>
  <c r="D172" i="12"/>
  <c r="D288" i="12"/>
  <c r="C336" i="12"/>
  <c r="F230" i="12"/>
  <c r="C233" i="12"/>
  <c r="C268" i="12"/>
  <c r="C223" i="12"/>
  <c r="B114" i="12"/>
  <c r="F305" i="12"/>
  <c r="F109" i="12"/>
  <c r="F288" i="12"/>
  <c r="G227" i="12"/>
  <c r="C27" i="12"/>
  <c r="G217" i="12"/>
  <c r="C17" i="12"/>
  <c r="I299" i="12"/>
  <c r="I60" i="12"/>
  <c r="I145" i="12"/>
  <c r="F216" i="12"/>
  <c r="G187" i="12"/>
  <c r="F61" i="12"/>
  <c r="G177" i="12"/>
  <c r="F51" i="12"/>
  <c r="I259" i="12"/>
  <c r="I20" i="12"/>
  <c r="I300" i="12"/>
  <c r="G115" i="12"/>
  <c r="E47" i="12"/>
  <c r="G105" i="12"/>
  <c r="E37" i="12"/>
  <c r="I187" i="12"/>
  <c r="B66" i="12"/>
  <c r="H206" i="12"/>
  <c r="H27" i="12"/>
  <c r="E69" i="12"/>
  <c r="G38" i="12"/>
  <c r="B23" i="12"/>
  <c r="I46" i="12"/>
  <c r="C224" i="12"/>
  <c r="C83" i="12"/>
  <c r="K26" i="18"/>
  <c r="D151" i="12"/>
  <c r="D258" i="12"/>
  <c r="D141" i="12"/>
  <c r="C82" i="12"/>
  <c r="B285" i="12"/>
  <c r="B176" i="12"/>
  <c r="B131" i="12"/>
  <c r="D351" i="12"/>
  <c r="D111" i="12"/>
  <c r="D218" i="12"/>
  <c r="D101" i="12"/>
  <c r="B290" i="12"/>
  <c r="B245" i="12"/>
  <c r="B136" i="12"/>
  <c r="G182" i="12"/>
  <c r="H354" i="12"/>
  <c r="D146" i="12"/>
  <c r="H343" i="12"/>
  <c r="B218" i="12"/>
  <c r="B173" i="12"/>
  <c r="E300" i="12"/>
  <c r="I43" i="12"/>
  <c r="I75" i="12"/>
  <c r="F83" i="12"/>
  <c r="E12" i="12"/>
  <c r="I233" i="12"/>
  <c r="D41" i="12"/>
  <c r="E32" i="12"/>
  <c r="D265" i="12"/>
  <c r="K22" i="18"/>
  <c r="F155" i="12"/>
  <c r="G20" i="12"/>
  <c r="F145" i="12"/>
  <c r="G10" i="12"/>
  <c r="D219" i="12"/>
  <c r="D182" i="12"/>
  <c r="O34" i="18"/>
  <c r="C68" i="18"/>
  <c r="F115" i="12"/>
  <c r="B55" i="12"/>
  <c r="F105" i="12"/>
  <c r="B327" i="12"/>
  <c r="D179" i="12"/>
  <c r="D142" i="12"/>
  <c r="G335" i="12"/>
  <c r="I279" i="12"/>
  <c r="I40" i="12"/>
  <c r="I269" i="12"/>
  <c r="D224" i="12"/>
  <c r="D107" i="12"/>
  <c r="C296" i="12"/>
  <c r="G54" i="12"/>
  <c r="G23" i="12"/>
  <c r="B53" i="12"/>
  <c r="C58" i="12"/>
  <c r="E26" i="12"/>
  <c r="G61" i="12"/>
  <c r="C160" i="12"/>
  <c r="B267" i="12"/>
  <c r="G278" i="12"/>
  <c r="D87" i="12"/>
  <c r="D194" i="12"/>
  <c r="D77" i="12"/>
  <c r="E311" i="12"/>
  <c r="G329" i="12"/>
  <c r="K7" i="18"/>
  <c r="B166" i="12"/>
  <c r="K37" i="18"/>
  <c r="K31" i="18"/>
  <c r="B182" i="12"/>
  <c r="E237" i="12"/>
  <c r="E272" i="12"/>
  <c r="E227" i="12"/>
  <c r="H109" i="12"/>
  <c r="D114" i="12"/>
  <c r="B357" i="12"/>
  <c r="I29" i="18"/>
  <c r="G152" i="12"/>
  <c r="F190" i="12"/>
  <c r="K88" i="18"/>
  <c r="E350" i="12"/>
  <c r="E340" i="12"/>
  <c r="O12" i="18"/>
  <c r="D3" i="18"/>
  <c r="E310" i="12"/>
  <c r="I292" i="12"/>
  <c r="G107" i="12"/>
  <c r="E39" i="12"/>
  <c r="G97" i="12"/>
  <c r="E29" i="12"/>
  <c r="I179" i="12"/>
  <c r="E260" i="12"/>
  <c r="E215" i="12"/>
  <c r="I186" i="12"/>
  <c r="C97" i="12"/>
  <c r="C132" i="12"/>
  <c r="C87" i="12"/>
  <c r="E214" i="12"/>
  <c r="E169" i="12"/>
  <c r="H299" i="12"/>
  <c r="H254" i="12"/>
  <c r="I114" i="12"/>
  <c r="B305" i="12"/>
  <c r="C92" i="12"/>
  <c r="B295" i="12"/>
  <c r="E174" i="12"/>
  <c r="E129" i="12"/>
  <c r="H259" i="12"/>
  <c r="D164" i="12"/>
  <c r="B233" i="12"/>
  <c r="B268" i="12"/>
  <c r="B223" i="12"/>
  <c r="E102" i="12"/>
  <c r="H296" i="12"/>
  <c r="H187" i="12"/>
  <c r="H59" i="12"/>
  <c r="I201" i="12"/>
  <c r="E305" i="12"/>
  <c r="I62" i="12"/>
  <c r="F324" i="12"/>
  <c r="D55" i="12"/>
  <c r="F205" i="12"/>
  <c r="G232" i="12"/>
  <c r="D340" i="12"/>
  <c r="H56" i="12"/>
  <c r="H321" i="12"/>
  <c r="H46" i="12"/>
  <c r="F159" i="12"/>
  <c r="G24" i="12"/>
  <c r="I241" i="12"/>
  <c r="G160" i="12"/>
  <c r="G283" i="12"/>
  <c r="H16" i="12"/>
  <c r="G273" i="12"/>
  <c r="E77" i="12"/>
  <c r="F119" i="12"/>
  <c r="B59" i="12"/>
  <c r="F256" i="12"/>
  <c r="G211" i="12"/>
  <c r="C11" i="12"/>
  <c r="G201" i="12"/>
  <c r="B83" i="12"/>
  <c r="I283" i="12"/>
  <c r="I44" i="12"/>
  <c r="E159" i="12"/>
  <c r="I13" i="12"/>
  <c r="F39" i="12"/>
  <c r="D112" i="12"/>
  <c r="D37" i="12"/>
  <c r="I57" i="12"/>
  <c r="H87" i="12"/>
  <c r="H179" i="12"/>
  <c r="H134" i="12"/>
  <c r="B222" i="12"/>
  <c r="E261" i="12"/>
  <c r="E296" i="12"/>
  <c r="E251" i="12"/>
  <c r="H133" i="12"/>
  <c r="H88" i="12"/>
  <c r="G237" i="12"/>
  <c r="C37" i="12"/>
  <c r="B150" i="12"/>
  <c r="E221" i="12"/>
  <c r="E256" i="12"/>
  <c r="E211" i="12"/>
  <c r="O8" i="18"/>
  <c r="D78" i="12"/>
  <c r="G197" i="12"/>
  <c r="E290" i="12"/>
  <c r="E149" i="12"/>
  <c r="E184" i="12"/>
  <c r="E139" i="12"/>
  <c r="G279" i="12"/>
  <c r="H12" i="12"/>
  <c r="I97" i="12"/>
  <c r="I74" i="12"/>
  <c r="C99" i="12"/>
  <c r="B211" i="12"/>
  <c r="I65" i="12"/>
  <c r="H150" i="12"/>
  <c r="E16" i="12"/>
  <c r="F141" i="12"/>
  <c r="G104" i="12"/>
  <c r="G259" i="12"/>
  <c r="C59" i="12"/>
  <c r="G249" i="12"/>
  <c r="C49" i="12"/>
  <c r="F95" i="12"/>
  <c r="B35" i="12"/>
  <c r="I177" i="12"/>
  <c r="F272" i="12"/>
  <c r="N11" i="18"/>
  <c r="D6" i="18"/>
  <c r="E31" i="18"/>
  <c r="E63" i="18"/>
  <c r="E342" i="12"/>
  <c r="F120" i="12"/>
  <c r="G139" i="12"/>
  <c r="I73" i="12"/>
  <c r="G129" i="12"/>
  <c r="E61" i="12"/>
  <c r="I211" i="12"/>
  <c r="D88" i="12"/>
  <c r="I324" i="12"/>
  <c r="G98" i="12"/>
  <c r="I13" i="18"/>
  <c r="C214" i="12"/>
  <c r="F108" i="12"/>
  <c r="D332" i="12"/>
  <c r="D312" i="12"/>
  <c r="I226" i="12"/>
  <c r="I304" i="12"/>
  <c r="I278" i="12"/>
  <c r="B5" i="18"/>
  <c r="D191" i="12"/>
  <c r="I82" i="12"/>
  <c r="D181" i="12"/>
  <c r="C122" i="12"/>
  <c r="C77" i="12"/>
  <c r="G117" i="12"/>
  <c r="E49" i="12"/>
  <c r="H249" i="12"/>
  <c r="H180" i="12"/>
  <c r="H215" i="12"/>
  <c r="H170" i="12"/>
  <c r="F333" i="12"/>
  <c r="I53" i="12"/>
  <c r="F165" i="12"/>
  <c r="C363" i="12"/>
  <c r="H193" i="12"/>
  <c r="H140" i="12"/>
  <c r="H175" i="12"/>
  <c r="H130" i="12"/>
  <c r="F279" i="12"/>
  <c r="H67" i="12"/>
  <c r="C37" i="18"/>
  <c r="H113" i="12"/>
  <c r="D130" i="12"/>
  <c r="I31" i="18"/>
  <c r="D98" i="12"/>
  <c r="F207" i="12"/>
  <c r="E76" i="12"/>
  <c r="B243" i="12"/>
  <c r="D15" i="12"/>
  <c r="H182" i="12"/>
  <c r="D74" i="12"/>
  <c r="F46" i="12"/>
  <c r="G30" i="12"/>
  <c r="B22" i="12"/>
  <c r="D357" i="12"/>
  <c r="I336" i="12"/>
  <c r="I167" i="12"/>
  <c r="H45" i="12"/>
  <c r="I157" i="12"/>
  <c r="D356" i="12"/>
  <c r="C293" i="12"/>
  <c r="C184" i="12"/>
  <c r="C139" i="12"/>
  <c r="C74" i="18"/>
  <c r="I127" i="12"/>
  <c r="E75" i="12"/>
  <c r="I117" i="12"/>
  <c r="C298" i="12"/>
  <c r="C253" i="12"/>
  <c r="C144" i="12"/>
  <c r="C345" i="12"/>
  <c r="D295" i="12"/>
  <c r="B80" i="12"/>
  <c r="D285" i="12"/>
  <c r="C226" i="12"/>
  <c r="C181" i="12"/>
  <c r="H334" i="12"/>
  <c r="H69" i="12"/>
  <c r="H9" i="12"/>
  <c r="I11" i="12"/>
  <c r="D35" i="12"/>
  <c r="D13" i="12"/>
  <c r="D92" i="12"/>
  <c r="G63" i="12"/>
  <c r="I281" i="12"/>
  <c r="F160" i="12"/>
  <c r="G163" i="12"/>
  <c r="F37" i="12"/>
  <c r="G153" i="12"/>
  <c r="F27" i="12"/>
  <c r="I235" i="12"/>
  <c r="I33" i="12"/>
  <c r="I81" i="12"/>
  <c r="F88" i="12"/>
  <c r="G123" i="12"/>
  <c r="E55" i="12"/>
  <c r="G113" i="12"/>
  <c r="E45" i="12"/>
  <c r="I195" i="12"/>
  <c r="F78" i="12"/>
  <c r="I172" i="12"/>
  <c r="F299" i="12"/>
  <c r="H105" i="12"/>
  <c r="F289" i="12"/>
  <c r="H85" i="12"/>
  <c r="I123" i="12"/>
  <c r="C69" i="12"/>
  <c r="H78" i="12"/>
  <c r="G69" i="12"/>
  <c r="G46" i="12"/>
  <c r="B49" i="12"/>
  <c r="F9" i="12"/>
  <c r="C44" i="12"/>
  <c r="G64" i="12"/>
  <c r="C275" i="12"/>
  <c r="I41" i="18"/>
  <c r="I103" i="12"/>
  <c r="C48" i="12"/>
  <c r="I93" i="12"/>
  <c r="C274" i="12"/>
  <c r="C229" i="12"/>
  <c r="C120" i="12"/>
  <c r="C75" i="12"/>
  <c r="B339" i="12"/>
  <c r="J61" i="18"/>
  <c r="C46" i="18"/>
  <c r="O82" i="18"/>
  <c r="E77" i="18"/>
  <c r="C70" i="18"/>
  <c r="B306" i="12"/>
  <c r="H220" i="12"/>
  <c r="H255" i="12"/>
  <c r="H210" i="12"/>
  <c r="G111" i="12"/>
  <c r="E43" i="12"/>
  <c r="E30" i="18"/>
  <c r="I103" i="18"/>
  <c r="I284" i="12"/>
  <c r="I170" i="12"/>
  <c r="G284" i="12"/>
  <c r="G218" i="12"/>
  <c r="G208" i="12"/>
  <c r="G126" i="12"/>
  <c r="G212" i="12"/>
  <c r="G178" i="12"/>
  <c r="M49" i="18"/>
  <c r="F99" i="12"/>
  <c r="B39" i="12"/>
  <c r="F89" i="12"/>
  <c r="D284" i="12"/>
  <c r="D163" i="12"/>
  <c r="H243" i="12"/>
  <c r="H198" i="12"/>
  <c r="C102" i="12"/>
  <c r="B89" i="12"/>
  <c r="B124" i="12"/>
  <c r="D325" i="12"/>
  <c r="H197" i="12"/>
  <c r="H152" i="12"/>
  <c r="G301" i="12"/>
  <c r="H34" i="12"/>
  <c r="B278" i="12"/>
  <c r="E285" i="12"/>
  <c r="D336" i="12"/>
  <c r="E275" i="12"/>
  <c r="H157" i="12"/>
  <c r="H112" i="12"/>
  <c r="G261" i="12"/>
  <c r="B134" i="12"/>
  <c r="E213" i="12"/>
  <c r="E248" i="12"/>
  <c r="E203" i="12"/>
  <c r="D363" i="12"/>
  <c r="H65" i="12"/>
  <c r="I225" i="12"/>
  <c r="D33" i="12"/>
  <c r="C227" i="12"/>
  <c r="C91" i="12"/>
  <c r="D63" i="12"/>
  <c r="H278" i="12"/>
  <c r="I54" i="12"/>
  <c r="I185" i="12"/>
  <c r="I204" i="12"/>
  <c r="F325" i="12"/>
  <c r="I37" i="12"/>
  <c r="H305" i="12"/>
  <c r="D128" i="12"/>
  <c r="I139" i="12"/>
  <c r="H17" i="12"/>
  <c r="D225" i="12"/>
  <c r="I132" i="12"/>
  <c r="F275" i="12"/>
  <c r="F79" i="12"/>
  <c r="F265" i="12"/>
  <c r="D64" i="12"/>
  <c r="I99" i="12"/>
  <c r="I90" i="12"/>
  <c r="J5" i="18"/>
  <c r="F203" i="12"/>
  <c r="I69" i="12"/>
  <c r="F193" i="12"/>
  <c r="G58" i="12"/>
  <c r="D267" i="12"/>
  <c r="D230" i="12"/>
  <c r="F63" i="12"/>
  <c r="I51" i="12"/>
  <c r="F24" i="12"/>
  <c r="I10" i="12"/>
  <c r="C42" i="12"/>
  <c r="E48" i="12"/>
  <c r="C26" i="12"/>
  <c r="G181" i="12"/>
  <c r="F55" i="12"/>
  <c r="E98" i="12"/>
  <c r="H244" i="12"/>
  <c r="H279" i="12"/>
  <c r="H234" i="12"/>
  <c r="G135" i="12"/>
  <c r="C68" i="12"/>
  <c r="F229" i="12"/>
  <c r="D28" i="12"/>
  <c r="H281" i="12"/>
  <c r="H204" i="12"/>
  <c r="H239" i="12"/>
  <c r="H194" i="12"/>
  <c r="G95" i="12"/>
  <c r="E27" i="12"/>
  <c r="C331" i="12"/>
  <c r="H185" i="12"/>
  <c r="H132" i="12"/>
  <c r="H167" i="12"/>
  <c r="H122" i="12"/>
  <c r="F271" i="12"/>
  <c r="B355" i="12"/>
  <c r="M23" i="18"/>
  <c r="G250" i="12"/>
  <c r="I212" i="12"/>
  <c r="I130" i="12"/>
  <c r="I208" i="12"/>
  <c r="I182" i="12"/>
  <c r="G302" i="12"/>
  <c r="D95" i="12"/>
  <c r="D202" i="12"/>
  <c r="D85" i="12"/>
  <c r="B274" i="12"/>
  <c r="B229" i="12"/>
  <c r="B120" i="12"/>
  <c r="I27" i="18"/>
  <c r="J23" i="18"/>
  <c r="F360" i="12"/>
  <c r="H169" i="12"/>
  <c r="G307" i="12"/>
  <c r="E36" i="18"/>
  <c r="B343" i="12"/>
  <c r="L81" i="18"/>
  <c r="C19" i="18"/>
  <c r="G13" i="18"/>
  <c r="B126" i="12"/>
  <c r="E205" i="12"/>
  <c r="E240" i="12"/>
  <c r="E195" i="12"/>
  <c r="H352" i="12"/>
  <c r="B70" i="12"/>
  <c r="D73" i="12"/>
  <c r="H22" i="18"/>
  <c r="I199" i="12"/>
  <c r="H66" i="12"/>
  <c r="I189" i="12"/>
  <c r="D144" i="12"/>
  <c r="H341" i="12"/>
  <c r="C216" i="12"/>
  <c r="C171" i="12"/>
  <c r="I328" i="12"/>
  <c r="I159" i="12"/>
  <c r="H37" i="12"/>
  <c r="I149" i="12"/>
  <c r="H346" i="12"/>
  <c r="C285" i="12"/>
  <c r="C176" i="12"/>
  <c r="D27" i="18"/>
  <c r="I87" i="12"/>
  <c r="C32" i="12"/>
  <c r="B329" i="12"/>
  <c r="C258" i="12"/>
  <c r="C213" i="12"/>
  <c r="C104" i="12"/>
  <c r="I25" i="12"/>
  <c r="B76" i="12"/>
  <c r="E30" i="12"/>
  <c r="B68" i="12"/>
  <c r="I19" i="12"/>
  <c r="B45" i="12"/>
  <c r="E100" i="12"/>
  <c r="H294" i="12"/>
  <c r="C294" i="12"/>
  <c r="B185" i="12"/>
  <c r="B220" i="12"/>
  <c r="B175" i="12"/>
  <c r="H293" i="12"/>
  <c r="H248" i="12"/>
  <c r="H139" i="12"/>
  <c r="H94" i="12"/>
  <c r="C222" i="12"/>
  <c r="B145" i="12"/>
  <c r="B180" i="12"/>
  <c r="B135" i="12"/>
  <c r="H253" i="12"/>
  <c r="H208" i="12"/>
  <c r="G22" i="18"/>
  <c r="F330" i="12"/>
  <c r="D313" i="12"/>
  <c r="B108" i="12"/>
  <c r="E299" i="12"/>
  <c r="H181" i="12"/>
  <c r="H136" i="12"/>
  <c r="F181" i="12"/>
  <c r="E20" i="12"/>
  <c r="D121" i="12"/>
  <c r="C283" i="12"/>
  <c r="E54" i="12"/>
  <c r="E231" i="12"/>
  <c r="B36" i="12"/>
  <c r="C192" i="12"/>
  <c r="B299" i="12"/>
  <c r="D362" i="12"/>
  <c r="D119" i="12"/>
  <c r="D226" i="12"/>
  <c r="D109" i="12"/>
  <c r="B298" i="12"/>
  <c r="B253" i="12"/>
  <c r="B144" i="12"/>
  <c r="B99" i="12"/>
  <c r="G270" i="12"/>
  <c r="D79" i="12"/>
  <c r="D186" i="12"/>
  <c r="D69" i="12"/>
  <c r="B258" i="12"/>
  <c r="B213" i="12"/>
  <c r="B104" i="12"/>
  <c r="G118" i="12"/>
  <c r="D305" i="12"/>
  <c r="H358" i="12"/>
  <c r="C295" i="12"/>
  <c r="B186" i="12"/>
  <c r="B141" i="12"/>
  <c r="E268" i="12"/>
  <c r="H75" i="12"/>
  <c r="D66" i="12"/>
  <c r="B54" i="12"/>
  <c r="H19" i="12"/>
  <c r="I169" i="12"/>
  <c r="F68" i="12"/>
  <c r="H275" i="12"/>
  <c r="H230" i="12"/>
  <c r="C166" i="12"/>
  <c r="B121" i="12"/>
  <c r="B156" i="12"/>
  <c r="C347" i="12"/>
  <c r="C29" i="18"/>
  <c r="G23" i="18"/>
  <c r="H32" i="18"/>
  <c r="F67" i="18"/>
  <c r="E6" i="18"/>
  <c r="G128" i="12"/>
  <c r="G267" i="12"/>
  <c r="I67" i="12"/>
  <c r="G257" i="12"/>
  <c r="C57" i="12"/>
  <c r="F103" i="12"/>
  <c r="B43" i="12"/>
  <c r="E327" i="12"/>
  <c r="I15" i="18"/>
  <c r="L14" i="18"/>
  <c r="D361" i="12"/>
  <c r="F236" i="12"/>
  <c r="F210" i="12"/>
  <c r="F200" i="12"/>
  <c r="F118" i="12"/>
  <c r="F196" i="12"/>
  <c r="F170" i="12"/>
  <c r="J22" i="18"/>
  <c r="B333" i="12"/>
  <c r="C24" i="12"/>
  <c r="B313" i="12"/>
  <c r="C250" i="12"/>
  <c r="C205" i="12"/>
  <c r="G245" i="12"/>
  <c r="C45" i="12"/>
  <c r="E178" i="12"/>
  <c r="B312" i="12"/>
  <c r="E104" i="12"/>
  <c r="H298" i="12"/>
  <c r="G199" i="12"/>
  <c r="B78" i="12"/>
  <c r="F293" i="12"/>
  <c r="H93" i="12"/>
  <c r="E130" i="12"/>
  <c r="H268" i="12"/>
  <c r="H303" i="12"/>
  <c r="H258" i="12"/>
  <c r="G159" i="12"/>
  <c r="F33" i="12"/>
  <c r="F253" i="12"/>
  <c r="H273" i="12"/>
  <c r="H196" i="12"/>
  <c r="H231" i="12"/>
  <c r="H186" i="12"/>
  <c r="G87" i="12"/>
  <c r="E19" i="12"/>
  <c r="C251" i="12"/>
  <c r="E34" i="12"/>
  <c r="E199" i="12"/>
  <c r="H302" i="12"/>
  <c r="B29" i="12"/>
  <c r="E17" i="12"/>
  <c r="I55" i="12"/>
  <c r="D169" i="12"/>
  <c r="H3" i="18"/>
  <c r="I295" i="12"/>
  <c r="I56" i="12"/>
  <c r="I285" i="12"/>
  <c r="D240" i="12"/>
  <c r="D123" i="12"/>
  <c r="H318" i="12"/>
  <c r="C267" i="12"/>
  <c r="C35" i="18"/>
  <c r="I255" i="12"/>
  <c r="I16" i="12"/>
  <c r="I245" i="12"/>
  <c r="D200" i="12"/>
  <c r="D83" i="12"/>
  <c r="C272" i="12"/>
  <c r="D4" i="18"/>
  <c r="I183" i="12"/>
  <c r="H61" i="12"/>
  <c r="I173" i="12"/>
  <c r="G14" i="18"/>
  <c r="H312" i="12"/>
  <c r="C200" i="12"/>
  <c r="B33" i="12"/>
  <c r="B11" i="12"/>
  <c r="C22" i="12"/>
  <c r="E58" i="12"/>
  <c r="I39" i="12"/>
  <c r="B40" i="12"/>
  <c r="C46" i="12"/>
  <c r="F173" i="12"/>
  <c r="G168" i="12"/>
  <c r="G291" i="12"/>
  <c r="H24" i="12"/>
  <c r="G281" i="12"/>
  <c r="H14" i="12"/>
  <c r="F127" i="12"/>
  <c r="G67" i="12"/>
  <c r="I209" i="12"/>
  <c r="G96" i="12"/>
  <c r="G251" i="12"/>
  <c r="C51" i="12"/>
  <c r="G241" i="12"/>
  <c r="C41" i="12"/>
  <c r="F87" i="12"/>
  <c r="B27" i="12"/>
  <c r="F192" i="12"/>
  <c r="G179" i="12"/>
  <c r="F53" i="12"/>
  <c r="G169" i="12"/>
  <c r="F43" i="12"/>
  <c r="I251" i="12"/>
  <c r="I12" i="12"/>
  <c r="E95" i="12"/>
  <c r="B38" i="12"/>
  <c r="E33" i="12"/>
  <c r="D52" i="12"/>
  <c r="E74" i="12"/>
  <c r="D84" i="12"/>
  <c r="G15" i="12"/>
  <c r="D105" i="12"/>
  <c r="C3" i="18"/>
  <c r="I231" i="12"/>
  <c r="I17" i="12"/>
  <c r="I221" i="12"/>
  <c r="D176" i="12"/>
  <c r="E21" i="18"/>
  <c r="C248" i="12"/>
  <c r="C203" i="12"/>
  <c r="F94" i="12"/>
  <c r="F242" i="12"/>
  <c r="F232" i="12"/>
  <c r="F150" i="12"/>
  <c r="F228" i="12"/>
  <c r="F202" i="12"/>
  <c r="E55" i="18"/>
  <c r="I111" i="12"/>
  <c r="C56" i="12"/>
  <c r="I101" i="12"/>
  <c r="C282" i="12"/>
  <c r="C237" i="12"/>
  <c r="C128" i="12"/>
  <c r="I314" i="12"/>
  <c r="D58" i="18"/>
  <c r="O68" i="18"/>
  <c r="E186" i="12"/>
  <c r="O24" i="18"/>
  <c r="E19" i="18"/>
  <c r="O58" i="18"/>
  <c r="C142" i="12"/>
  <c r="H44" i="18"/>
  <c r="G94" i="18"/>
  <c r="D156" i="12"/>
  <c r="B225" i="12"/>
  <c r="B260" i="12"/>
  <c r="B215" i="12"/>
  <c r="E94" i="12"/>
  <c r="H288" i="12"/>
  <c r="I89" i="12"/>
  <c r="N23" i="18"/>
  <c r="F219" i="12"/>
  <c r="D18" i="12"/>
  <c r="F209" i="12"/>
  <c r="E80" i="12"/>
  <c r="D283" i="12"/>
  <c r="D246" i="12"/>
  <c r="D129" i="12"/>
  <c r="E331" i="12"/>
  <c r="F179" i="12"/>
  <c r="G44" i="12"/>
  <c r="F169" i="12"/>
  <c r="G34" i="12"/>
  <c r="D243" i="12"/>
  <c r="D206" i="12"/>
  <c r="G54" i="18"/>
  <c r="F107" i="12"/>
  <c r="B47" i="12"/>
  <c r="F97" i="12"/>
  <c r="D300" i="12"/>
  <c r="D171" i="12"/>
  <c r="C28" i="18"/>
  <c r="D65" i="12"/>
  <c r="D21" i="12"/>
  <c r="D126" i="12"/>
  <c r="F16" i="12"/>
  <c r="B37" i="12"/>
  <c r="D59" i="12"/>
  <c r="B152" i="12"/>
  <c r="D317" i="12"/>
  <c r="F142" i="12"/>
  <c r="C193" i="12"/>
  <c r="C228" i="12"/>
  <c r="C183" i="12"/>
  <c r="D315" i="12"/>
  <c r="E265" i="12"/>
  <c r="E156" i="12"/>
  <c r="E111" i="12"/>
  <c r="D308" i="12"/>
  <c r="C153" i="12"/>
  <c r="C188" i="12"/>
  <c r="C143" i="12"/>
  <c r="E270" i="12"/>
  <c r="E225" i="12"/>
  <c r="E116" i="12"/>
  <c r="I154" i="12"/>
  <c r="C81" i="12"/>
  <c r="C116" i="12"/>
  <c r="F332" i="12"/>
  <c r="E198" i="12"/>
  <c r="E153" i="12"/>
  <c r="H283" i="12"/>
  <c r="I31" i="12"/>
  <c r="F157" i="12"/>
  <c r="I257" i="12"/>
  <c r="D49" i="12"/>
  <c r="C259" i="12"/>
  <c r="E42" i="12"/>
  <c r="E11" i="12"/>
  <c r="H308" i="12"/>
  <c r="O80" i="18"/>
  <c r="I135" i="12"/>
  <c r="H13" i="12"/>
  <c r="I125" i="12"/>
  <c r="H306" i="12"/>
  <c r="C261" i="12"/>
  <c r="C152" i="12"/>
  <c r="C107" i="12"/>
  <c r="O36" i="18"/>
  <c r="I95" i="12"/>
  <c r="C40" i="12"/>
  <c r="I85" i="12"/>
  <c r="C266" i="12"/>
  <c r="C221" i="12"/>
  <c r="C112" i="12"/>
  <c r="M26" i="18"/>
  <c r="D263" i="12"/>
  <c r="F42" i="12"/>
  <c r="D253" i="12"/>
  <c r="B345" i="12"/>
  <c r="L38" i="18"/>
  <c r="O50" i="18"/>
  <c r="B8" i="18"/>
  <c r="B294" i="12"/>
  <c r="D38" i="18"/>
  <c r="B32" i="18"/>
  <c r="C190" i="12"/>
  <c r="B129" i="12"/>
  <c r="B164" i="12"/>
  <c r="B119" i="12"/>
  <c r="H237" i="12"/>
  <c r="H192" i="12"/>
  <c r="K5" i="18"/>
  <c r="I96" i="12"/>
  <c r="H319" i="12"/>
  <c r="F331" i="12"/>
  <c r="C26" i="18"/>
  <c r="M10" i="18"/>
  <c r="C5" i="18"/>
  <c r="D14" i="18"/>
  <c r="D25" i="18"/>
  <c r="F340" i="12"/>
  <c r="F319" i="12"/>
  <c r="G235" i="12"/>
  <c r="C35" i="12"/>
  <c r="G225" i="12"/>
  <c r="C25" i="12"/>
  <c r="D310" i="12"/>
  <c r="B184" i="12"/>
  <c r="B107" i="12"/>
  <c r="F206" i="12"/>
  <c r="C225" i="12"/>
  <c r="C260" i="12"/>
  <c r="C215" i="12"/>
  <c r="B106" i="12"/>
  <c r="E297" i="12"/>
  <c r="E188" i="12"/>
  <c r="E143" i="12"/>
  <c r="F134" i="12"/>
  <c r="C185" i="12"/>
  <c r="C220" i="12"/>
  <c r="C175" i="12"/>
  <c r="E302" i="12"/>
  <c r="E257" i="12"/>
  <c r="E148" i="12"/>
  <c r="I218" i="12"/>
  <c r="C113" i="12"/>
  <c r="C148" i="12"/>
  <c r="C103" i="12"/>
  <c r="E230" i="12"/>
  <c r="E185" i="12"/>
  <c r="B326" i="12"/>
  <c r="B32" i="12"/>
  <c r="F245" i="12"/>
  <c r="F85" i="12"/>
  <c r="H71" i="12"/>
  <c r="H339" i="12"/>
  <c r="F28" i="12"/>
  <c r="G85" i="12"/>
  <c r="D19" i="18"/>
  <c r="H209" i="12"/>
  <c r="H148" i="12"/>
  <c r="H183" i="12"/>
  <c r="H138" i="12"/>
  <c r="F287" i="12"/>
  <c r="H81" i="12"/>
  <c r="F133" i="12"/>
  <c r="F362" i="12"/>
  <c r="H153" i="12"/>
  <c r="H108" i="12"/>
  <c r="H143" i="12"/>
  <c r="H98" i="12"/>
  <c r="F247" i="12"/>
  <c r="D46" i="12"/>
  <c r="G296" i="12"/>
  <c r="D358" i="12"/>
  <c r="F76" i="12"/>
  <c r="D346" i="12"/>
  <c r="H62" i="12"/>
  <c r="F175" i="12"/>
  <c r="G40" i="12"/>
  <c r="B179" i="12"/>
  <c r="G49" i="12"/>
  <c r="H118" i="12"/>
  <c r="H18" i="12"/>
  <c r="E62" i="12"/>
  <c r="B77" i="12"/>
  <c r="B42" i="12"/>
  <c r="B310" i="12"/>
  <c r="H262" i="12"/>
  <c r="C230" i="12"/>
  <c r="B153" i="12"/>
  <c r="B188" i="12"/>
  <c r="B143" i="12"/>
  <c r="H261" i="12"/>
  <c r="H216" i="12"/>
  <c r="H107" i="12"/>
  <c r="D106" i="12"/>
  <c r="C158" i="12"/>
  <c r="B113" i="12"/>
  <c r="B148" i="12"/>
  <c r="B103" i="12"/>
  <c r="H221" i="12"/>
  <c r="H176" i="12"/>
  <c r="D342" i="12"/>
  <c r="B254" i="12"/>
  <c r="E277" i="12"/>
  <c r="D319" i="12"/>
  <c r="E267" i="12"/>
  <c r="H149" i="12"/>
  <c r="H104" i="12"/>
  <c r="F117" i="12"/>
  <c r="H103" i="12"/>
  <c r="K16" i="18"/>
  <c r="C219" i="12"/>
  <c r="E18" i="12"/>
  <c r="E167" i="12"/>
  <c r="I47" i="12"/>
  <c r="F269" i="12"/>
  <c r="E364" i="12"/>
  <c r="H129" i="12"/>
  <c r="H84" i="12"/>
  <c r="H119" i="12"/>
  <c r="K24" i="18"/>
  <c r="G122" i="12"/>
  <c r="G112" i="12"/>
  <c r="F278" i="12"/>
  <c r="G108" i="12"/>
  <c r="G82" i="12"/>
  <c r="M16" i="18"/>
  <c r="I239" i="12"/>
  <c r="I49" i="12"/>
  <c r="I229" i="12"/>
  <c r="D184" i="12"/>
  <c r="D67" i="12"/>
  <c r="C256" i="12"/>
  <c r="E317" i="12"/>
  <c r="B25" i="18"/>
  <c r="F13" i="18"/>
  <c r="D323" i="12"/>
  <c r="D26" i="18"/>
  <c r="H20" i="18"/>
  <c r="E315" i="12"/>
  <c r="C270" i="12"/>
  <c r="F3" i="18"/>
  <c r="E357" i="12"/>
  <c r="I210" i="12"/>
  <c r="C105" i="12"/>
  <c r="C140" i="12"/>
  <c r="C95" i="12"/>
  <c r="E222" i="12"/>
  <c r="E177" i="12"/>
  <c r="I217" i="12"/>
  <c r="I268" i="12"/>
  <c r="G99" i="12"/>
  <c r="E31" i="12"/>
  <c r="G89" i="12"/>
  <c r="E21" i="12"/>
  <c r="I171" i="12"/>
  <c r="H49" i="12"/>
  <c r="D257" i="12"/>
  <c r="I196" i="12"/>
  <c r="F309" i="12"/>
  <c r="D136" i="12"/>
  <c r="F297" i="12"/>
  <c r="H101" i="12"/>
  <c r="I131" i="12"/>
  <c r="F10" i="12"/>
  <c r="F343" i="12"/>
  <c r="F235" i="12"/>
  <c r="D34" i="12"/>
  <c r="F225" i="12"/>
  <c r="D24" i="12"/>
  <c r="D299" i="12"/>
  <c r="D262" i="12"/>
  <c r="C53" i="12"/>
  <c r="E40" i="12"/>
  <c r="B57" i="12"/>
  <c r="I42" i="12"/>
  <c r="B30" i="12"/>
  <c r="F32" i="12"/>
  <c r="F318" i="12"/>
  <c r="B203" i="12"/>
  <c r="G150" i="12"/>
  <c r="H337" i="12"/>
  <c r="O18" i="18"/>
  <c r="H316" i="12"/>
  <c r="B202" i="12"/>
  <c r="B157" i="12"/>
  <c r="E284" i="12"/>
  <c r="E239" i="12"/>
  <c r="G78" i="12"/>
  <c r="C281" i="12"/>
  <c r="H326" i="12"/>
  <c r="C271" i="12"/>
  <c r="B162" i="12"/>
  <c r="B117" i="12"/>
  <c r="E244" i="12"/>
  <c r="F174" i="12"/>
  <c r="C209" i="12"/>
  <c r="C244" i="12"/>
  <c r="C199" i="12"/>
  <c r="B90" i="12"/>
  <c r="E281" i="12"/>
  <c r="E172" i="12"/>
  <c r="G53" i="12"/>
  <c r="H123" i="12"/>
  <c r="G93" i="12"/>
  <c r="F15" i="12"/>
  <c r="D217" i="12"/>
  <c r="H31" i="12"/>
  <c r="F30" i="12"/>
  <c r="D137" i="12"/>
  <c r="O41" i="18"/>
  <c r="I263" i="12"/>
  <c r="I24" i="12"/>
  <c r="I253" i="12"/>
  <c r="D208" i="12"/>
  <c r="D91" i="12"/>
  <c r="C280" i="12"/>
  <c r="C235" i="12"/>
  <c r="B359" i="12"/>
  <c r="I223" i="12"/>
  <c r="D118" i="12"/>
  <c r="I213" i="12"/>
  <c r="D168" i="12"/>
  <c r="G6" i="18"/>
  <c r="C240" i="12"/>
  <c r="K41" i="18"/>
  <c r="I151" i="12"/>
  <c r="H29" i="12"/>
  <c r="I141" i="12"/>
  <c r="H338" i="12"/>
  <c r="C277" i="12"/>
  <c r="C168" i="12"/>
  <c r="I58" i="12"/>
  <c r="I21" i="12"/>
  <c r="F54" i="12"/>
  <c r="E22" i="12"/>
  <c r="H11" i="12"/>
  <c r="I63" i="12"/>
  <c r="B216" i="12"/>
  <c r="B139" i="12"/>
  <c r="F270" i="12"/>
  <c r="C257" i="12"/>
  <c r="C292" i="12"/>
  <c r="C247" i="12"/>
  <c r="B138" i="12"/>
  <c r="B93" i="12"/>
  <c r="E220" i="12"/>
  <c r="E175" i="12"/>
  <c r="O11" i="18"/>
  <c r="F335" i="12"/>
  <c r="E347" i="12"/>
  <c r="C302" i="12"/>
  <c r="J21" i="18"/>
  <c r="N15" i="18"/>
  <c r="I274" i="12"/>
  <c r="C137" i="12"/>
  <c r="C172" i="12"/>
  <c r="C127" i="12"/>
  <c r="E254" i="12"/>
  <c r="E209" i="12"/>
  <c r="M46" i="18"/>
  <c r="G124" i="12"/>
  <c r="C315" i="12"/>
  <c r="D343" i="12"/>
  <c r="M87" i="18"/>
  <c r="I85" i="18"/>
  <c r="M75" i="18"/>
  <c r="L31" i="18"/>
  <c r="L9" i="18"/>
  <c r="I57" i="18"/>
  <c r="M51" i="18"/>
  <c r="H257" i="12"/>
  <c r="H188" i="12"/>
  <c r="H223" i="12"/>
  <c r="H178" i="12"/>
  <c r="G79" i="12"/>
  <c r="D335" i="12"/>
  <c r="C115" i="12"/>
  <c r="E346" i="12"/>
  <c r="D183" i="12"/>
  <c r="B307" i="12"/>
  <c r="D173" i="12"/>
  <c r="C114" i="12"/>
  <c r="F328" i="12"/>
  <c r="B208" i="12"/>
  <c r="B163" i="12"/>
  <c r="C22" i="18"/>
  <c r="D143" i="12"/>
  <c r="D250" i="12"/>
  <c r="D133" i="12"/>
  <c r="C74" i="12"/>
  <c r="B277" i="12"/>
  <c r="B168" i="12"/>
  <c r="G246" i="12"/>
  <c r="D71" i="12"/>
  <c r="D178" i="12"/>
  <c r="M25" i="18"/>
  <c r="B250" i="12"/>
  <c r="B205" i="12"/>
  <c r="B96" i="12"/>
  <c r="E38" i="12"/>
  <c r="I9" i="12"/>
  <c r="F22" i="12"/>
  <c r="F18" i="12"/>
  <c r="I297" i="12"/>
  <c r="F77" i="12"/>
  <c r="H360" i="12"/>
  <c r="F80" i="12"/>
  <c r="D307" i="12"/>
  <c r="E165" i="12"/>
  <c r="E200" i="12"/>
  <c r="E155" i="12"/>
  <c r="G295" i="12"/>
  <c r="H28" i="12"/>
  <c r="G141" i="12"/>
  <c r="I77" i="12"/>
  <c r="E258" i="12"/>
  <c r="E125" i="12"/>
  <c r="E160" i="12"/>
  <c r="E115" i="12"/>
  <c r="G255" i="12"/>
  <c r="C55" i="12"/>
  <c r="G101" i="12"/>
  <c r="E162" i="12"/>
  <c r="H292" i="12"/>
  <c r="E88" i="12"/>
  <c r="H282" i="12"/>
  <c r="G183" i="12"/>
  <c r="F57" i="12"/>
  <c r="D145" i="12"/>
  <c r="C28" i="12"/>
  <c r="B155" i="12"/>
  <c r="E255" i="12"/>
  <c r="B44" i="12"/>
  <c r="C61" i="12"/>
  <c r="E50" i="12"/>
  <c r="B88" i="12"/>
  <c r="E279" i="12"/>
  <c r="D324" i="12"/>
  <c r="C161" i="12"/>
  <c r="C196" i="12"/>
  <c r="C151" i="12"/>
  <c r="E278" i="12"/>
  <c r="E233" i="12"/>
  <c r="E124" i="12"/>
  <c r="B332" i="12"/>
  <c r="I242" i="12"/>
  <c r="C121" i="12"/>
  <c r="C156" i="12"/>
  <c r="C111" i="12"/>
  <c r="E238" i="12"/>
  <c r="E193" i="12"/>
  <c r="E84" i="12"/>
  <c r="B311" i="12"/>
  <c r="B297" i="12"/>
  <c r="C84" i="12"/>
  <c r="B287" i="12"/>
  <c r="E166" i="12"/>
  <c r="E121" i="12"/>
  <c r="H251" i="12"/>
  <c r="G11" i="12"/>
  <c r="F93" i="12"/>
  <c r="I193" i="12"/>
  <c r="D17" i="12"/>
  <c r="C195" i="12"/>
  <c r="I59" i="12"/>
  <c r="G277" i="12"/>
  <c r="D10" i="12"/>
  <c r="E226" i="12"/>
  <c r="E101" i="12"/>
  <c r="E136" i="12"/>
  <c r="E91" i="12"/>
  <c r="G231" i="12"/>
  <c r="C31" i="12"/>
  <c r="G77" i="12"/>
  <c r="C246" i="12"/>
  <c r="F114" i="12"/>
  <c r="F104" i="12"/>
  <c r="I258" i="12"/>
  <c r="F100" i="12"/>
  <c r="D316" i="12"/>
  <c r="F336" i="12"/>
  <c r="D223" i="12"/>
  <c r="E60" i="12"/>
  <c r="D213" i="12"/>
  <c r="C154" i="12"/>
  <c r="C109" i="12"/>
  <c r="B248" i="12"/>
  <c r="C14" i="18"/>
  <c r="J4" i="18"/>
  <c r="C361" i="12"/>
  <c r="H297" i="12"/>
  <c r="G38" i="18"/>
  <c r="J36" i="18"/>
  <c r="G343" i="12"/>
  <c r="B262" i="12"/>
  <c r="H19" i="18"/>
  <c r="L13" i="18"/>
  <c r="C126" i="12"/>
  <c r="B97" i="12"/>
  <c r="B132" i="12"/>
  <c r="B87" i="12"/>
  <c r="H205" i="12"/>
  <c r="H160" i="12"/>
  <c r="D201" i="12"/>
  <c r="N42" i="18"/>
  <c r="F91" i="12"/>
  <c r="B31" i="12"/>
  <c r="D330" i="12"/>
  <c r="D274" i="12"/>
  <c r="D155" i="12"/>
  <c r="D364" i="12"/>
  <c r="C299" i="12"/>
  <c r="G359" i="12"/>
  <c r="I287" i="12"/>
  <c r="I48" i="12"/>
  <c r="I277" i="12"/>
  <c r="D232" i="12"/>
  <c r="D115" i="12"/>
  <c r="C304" i="12"/>
  <c r="B335" i="12"/>
  <c r="I215" i="12"/>
  <c r="D96" i="12"/>
  <c r="I205" i="12"/>
  <c r="D160" i="12"/>
  <c r="D360" i="12"/>
  <c r="C232" i="12"/>
  <c r="B65" i="12"/>
  <c r="B34" i="12"/>
  <c r="E79" i="12"/>
  <c r="F44" i="12"/>
  <c r="G9" i="12"/>
  <c r="B75" i="12"/>
  <c r="E228" i="12"/>
  <c r="E183" i="12"/>
  <c r="I122" i="12"/>
  <c r="F320" i="12"/>
  <c r="C100" i="12"/>
  <c r="B303" i="12"/>
  <c r="E182" i="12"/>
  <c r="E137" i="12"/>
  <c r="H267" i="12"/>
  <c r="H222" i="12"/>
  <c r="D252" i="12"/>
  <c r="B273" i="12"/>
  <c r="F310" i="12"/>
  <c r="B263" i="12"/>
  <c r="E142" i="12"/>
  <c r="E97" i="12"/>
  <c r="H227" i="12"/>
  <c r="H342" i="12"/>
  <c r="B201" i="12"/>
  <c r="B236" i="12"/>
  <c r="B191" i="12"/>
  <c r="B314" i="12"/>
  <c r="H264" i="12"/>
  <c r="H155" i="12"/>
  <c r="C54" i="12"/>
  <c r="I137" i="12"/>
  <c r="D241" i="12"/>
  <c r="H51" i="12"/>
  <c r="B251" i="12"/>
  <c r="D23" i="12"/>
  <c r="D254" i="12"/>
  <c r="C179" i="12"/>
  <c r="I8" i="18"/>
  <c r="D247" i="12"/>
  <c r="F26" i="12"/>
  <c r="D237" i="12"/>
  <c r="C178" i="12"/>
  <c r="C133" i="12"/>
  <c r="B272" i="12"/>
  <c r="B227" i="12"/>
  <c r="F23" i="18"/>
  <c r="D207" i="12"/>
  <c r="E44" i="12"/>
  <c r="D197" i="12"/>
  <c r="C138" i="12"/>
  <c r="C93" i="12"/>
  <c r="B232" i="12"/>
  <c r="G8" i="18"/>
  <c r="D135" i="12"/>
  <c r="D242" i="12"/>
  <c r="D125" i="12"/>
  <c r="F322" i="12"/>
  <c r="B269" i="12"/>
  <c r="B160" i="12"/>
  <c r="F64" i="12"/>
  <c r="E78" i="12"/>
  <c r="G13" i="12"/>
  <c r="I78" i="12"/>
  <c r="F189" i="12"/>
  <c r="E28" i="12"/>
  <c r="E164" i="12"/>
  <c r="E119" i="12"/>
  <c r="D196" i="12"/>
  <c r="B249" i="12"/>
  <c r="B284" i="12"/>
  <c r="B239" i="12"/>
  <c r="E118" i="12"/>
  <c r="B320" i="12"/>
  <c r="H184" i="12"/>
  <c r="E67" i="12"/>
  <c r="B102" i="12"/>
  <c r="E189" i="12"/>
  <c r="E224" i="12"/>
  <c r="E179" i="12"/>
  <c r="C194" i="12"/>
  <c r="D25" i="12"/>
  <c r="I71" i="12"/>
  <c r="C129" i="12"/>
  <c r="E201" i="12"/>
  <c r="O4" i="18"/>
  <c r="I100" i="12"/>
  <c r="D48" i="12"/>
  <c r="F90" i="12"/>
  <c r="I190" i="12"/>
  <c r="I150" i="12"/>
  <c r="K8" i="18"/>
  <c r="E29" i="18"/>
  <c r="D68" i="12"/>
  <c r="G224" i="12"/>
  <c r="H38" i="12"/>
  <c r="G243" i="12"/>
  <c r="D326" i="12"/>
  <c r="C29" i="12"/>
  <c r="H57" i="12"/>
  <c r="F58" i="12"/>
  <c r="B304" i="12"/>
  <c r="F11" i="12"/>
  <c r="B264" i="12"/>
  <c r="D157" i="12"/>
  <c r="C34" i="12"/>
  <c r="F313" i="12"/>
  <c r="I140" i="12"/>
  <c r="B271" i="12"/>
  <c r="E105" i="12"/>
  <c r="H190" i="12"/>
  <c r="B241" i="12"/>
  <c r="B231" i="12"/>
  <c r="H304" i="12"/>
  <c r="C262" i="12"/>
  <c r="B204" i="12"/>
  <c r="H277" i="12"/>
  <c r="D198" i="12"/>
  <c r="C10" i="12"/>
  <c r="B316" i="12"/>
  <c r="D100" i="12"/>
  <c r="B187" i="12"/>
  <c r="G41" i="12"/>
  <c r="C147" i="12"/>
  <c r="H289" i="12"/>
  <c r="D50" i="12"/>
  <c r="D205" i="12"/>
  <c r="G103" i="12"/>
  <c r="B111" i="12"/>
  <c r="B195" i="12"/>
  <c r="G219" i="12"/>
  <c r="E71" i="12"/>
  <c r="C207" i="12"/>
  <c r="H333" i="12"/>
  <c r="H52" i="12"/>
  <c r="G165" i="12"/>
  <c r="E242" i="12"/>
  <c r="E117" i="12"/>
  <c r="E152" i="12"/>
  <c r="E107" i="12"/>
  <c r="G247" i="12"/>
  <c r="C47" i="12"/>
  <c r="D273" i="12"/>
  <c r="I41" i="12"/>
  <c r="B283" i="12"/>
  <c r="B147" i="12"/>
  <c r="G33" i="12"/>
  <c r="G43" i="12"/>
  <c r="G37" i="12"/>
  <c r="F223" i="12"/>
  <c r="E303" i="12"/>
  <c r="I178" i="12"/>
  <c r="C89" i="12"/>
  <c r="C124" i="12"/>
  <c r="C79" i="12"/>
  <c r="E206" i="12"/>
  <c r="E161" i="12"/>
  <c r="H291" i="12"/>
  <c r="D228" i="12"/>
  <c r="B265" i="12"/>
  <c r="B300" i="12"/>
  <c r="B255" i="12"/>
  <c r="E134" i="12"/>
  <c r="E89" i="12"/>
  <c r="H219" i="12"/>
  <c r="I72" i="12"/>
  <c r="D43" i="12"/>
  <c r="F14" i="12"/>
  <c r="H203" i="12"/>
  <c r="F19" i="18"/>
  <c r="F211" i="12"/>
  <c r="D9" i="12"/>
  <c r="F201" i="12"/>
  <c r="C67" i="12"/>
  <c r="D275" i="12"/>
  <c r="D238" i="12"/>
  <c r="J53" i="18"/>
  <c r="F139" i="12"/>
  <c r="B17" i="12"/>
  <c r="F129" i="12"/>
  <c r="E70" i="12"/>
  <c r="D203" i="12"/>
  <c r="D166" i="12"/>
  <c r="I45" i="12"/>
  <c r="D53" i="12"/>
  <c r="I18" i="12"/>
  <c r="H63" i="12"/>
  <c r="D57" i="12"/>
  <c r="H91" i="12"/>
  <c r="D45" i="12"/>
  <c r="D345" i="12"/>
  <c r="F183" i="12"/>
  <c r="G265" i="12"/>
  <c r="B60" i="12"/>
  <c r="F67" i="12"/>
  <c r="C149" i="12"/>
  <c r="B82" i="12"/>
  <c r="E292" i="12"/>
  <c r="C164" i="12"/>
  <c r="E92" i="12"/>
  <c r="G286" i="12"/>
  <c r="F259" i="12"/>
  <c r="I83" i="12"/>
  <c r="N30" i="18"/>
  <c r="I180" i="12"/>
  <c r="G238" i="12"/>
  <c r="B242" i="12"/>
  <c r="M17" i="18"/>
  <c r="F191" i="12"/>
  <c r="H325" i="12"/>
  <c r="F151" i="12"/>
  <c r="C43" i="12"/>
  <c r="F12" i="12"/>
  <c r="E25" i="12"/>
  <c r="C211" i="12"/>
  <c r="D269" i="12"/>
  <c r="B259" i="12"/>
  <c r="D229" i="12"/>
  <c r="E314" i="12"/>
  <c r="C98" i="12"/>
  <c r="D124" i="12"/>
  <c r="I66" i="12"/>
  <c r="F283" i="12"/>
  <c r="F75" i="12"/>
  <c r="C52" i="12"/>
  <c r="O7" i="18"/>
  <c r="D42" i="12"/>
  <c r="D32" i="12"/>
  <c r="D272" i="12"/>
  <c r="F171" i="12"/>
  <c r="F161" i="12"/>
  <c r="D235" i="12"/>
  <c r="G285" i="12"/>
  <c r="H68" i="12"/>
  <c r="I50" i="12"/>
  <c r="C50" i="12"/>
  <c r="D44" i="12"/>
  <c r="M9" i="18"/>
  <c r="F21" i="12"/>
  <c r="F251" i="12"/>
  <c r="E52" i="12"/>
  <c r="H202" i="12"/>
  <c r="B325" i="12"/>
  <c r="H229" i="12"/>
  <c r="F280" i="12"/>
  <c r="I191" i="12"/>
  <c r="C252" i="12"/>
  <c r="C9" i="12"/>
  <c r="I291" i="12"/>
  <c r="I52" i="12"/>
  <c r="F128" i="12"/>
  <c r="G147" i="12"/>
  <c r="F17" i="12"/>
  <c r="G137" i="12"/>
  <c r="I70" i="12"/>
  <c r="I219" i="12"/>
  <c r="D104" i="12"/>
  <c r="H270" i="12"/>
  <c r="I22" i="12"/>
  <c r="I15" i="12"/>
  <c r="D12" i="12"/>
  <c r="G39" i="12"/>
  <c r="B16" i="12"/>
  <c r="C131" i="12"/>
  <c r="D22" i="12"/>
  <c r="E9" i="12"/>
  <c r="E170" i="12"/>
  <c r="H300" i="12"/>
  <c r="E96" i="12"/>
  <c r="H290" i="12"/>
  <c r="G191" i="12"/>
  <c r="G65" i="12"/>
  <c r="F285" i="12"/>
  <c r="B322" i="12"/>
  <c r="H228" i="12"/>
  <c r="H263" i="12"/>
  <c r="H218" i="12"/>
  <c r="G119" i="12"/>
  <c r="E51" i="12"/>
  <c r="H324" i="12"/>
  <c r="I79" i="12"/>
  <c r="I80" i="12"/>
  <c r="I92" i="12"/>
  <c r="D161" i="12"/>
  <c r="E338" i="12"/>
  <c r="D175" i="12"/>
  <c r="D290" i="12"/>
  <c r="D165" i="12"/>
  <c r="C106" i="12"/>
  <c r="F312" i="12"/>
  <c r="B200" i="12"/>
  <c r="H315" i="12"/>
  <c r="D103" i="12"/>
  <c r="D210" i="12"/>
  <c r="D93" i="12"/>
  <c r="B282" i="12"/>
  <c r="B237" i="12"/>
  <c r="B128" i="12"/>
  <c r="F19" i="12"/>
  <c r="B52" i="12"/>
  <c r="B56" i="12"/>
  <c r="G59" i="12"/>
  <c r="F125" i="12"/>
  <c r="D132" i="12"/>
  <c r="E263" i="12"/>
  <c r="H95" i="12"/>
  <c r="D350" i="12"/>
  <c r="H35" i="18"/>
  <c r="D334" i="12"/>
  <c r="F20" i="12"/>
  <c r="D314" i="12"/>
  <c r="D264" i="12"/>
  <c r="D147" i="12"/>
  <c r="D353" i="12"/>
  <c r="G21" i="18"/>
  <c r="I247" i="12"/>
  <c r="H10" i="12"/>
  <c r="I237" i="12"/>
  <c r="D192" i="12"/>
  <c r="D75" i="12"/>
  <c r="C264" i="12"/>
  <c r="G22" i="12"/>
  <c r="E66" i="12"/>
  <c r="D110" i="12"/>
  <c r="C12" i="12"/>
  <c r="D39" i="12"/>
  <c r="G29" i="12"/>
  <c r="F36" i="12"/>
  <c r="F66" i="12"/>
  <c r="H329" i="12"/>
  <c r="D89" i="12"/>
  <c r="C20" i="12"/>
  <c r="D150" i="12"/>
  <c r="G72" i="12"/>
  <c r="F81" i="12"/>
  <c r="B51" i="12"/>
  <c r="D116" i="12"/>
  <c r="B15" i="12"/>
  <c r="B288" i="12"/>
  <c r="C71" i="12"/>
  <c r="E247" i="12"/>
  <c r="C119" i="12"/>
  <c r="M31" i="18"/>
  <c r="D22" i="18"/>
  <c r="D58" i="12"/>
  <c r="D298" i="12"/>
  <c r="C86" i="12"/>
  <c r="I84" i="12"/>
  <c r="G30" i="18"/>
  <c r="B197" i="12"/>
  <c r="D86" i="12"/>
  <c r="G56" i="12"/>
  <c r="H48" i="12"/>
  <c r="G16" i="12"/>
  <c r="G233" i="12"/>
  <c r="E223" i="12"/>
  <c r="G70" i="12"/>
  <c r="C313" i="12"/>
  <c r="C210" i="12"/>
  <c r="O3" i="18"/>
  <c r="C170" i="12"/>
  <c r="D167" i="12"/>
  <c r="B301" i="12"/>
  <c r="G45" i="12"/>
  <c r="G35" i="12"/>
  <c r="H73" i="12"/>
  <c r="E150" i="12"/>
  <c r="H235" i="12"/>
  <c r="D188" i="12"/>
  <c r="B276" i="12"/>
  <c r="E110" i="12"/>
  <c r="H195" i="12"/>
  <c r="B169" i="12"/>
  <c r="B159" i="12"/>
  <c r="H232" i="12"/>
  <c r="C123" i="12"/>
  <c r="H79" i="12"/>
  <c r="D177" i="12"/>
  <c r="C62" i="12"/>
  <c r="E14" i="12"/>
  <c r="G149" i="12"/>
  <c r="C17" i="18"/>
  <c r="D215" i="12"/>
  <c r="H247" i="12"/>
  <c r="D40" i="12"/>
  <c r="C101" i="12"/>
  <c r="B240" i="12"/>
  <c r="N17" i="18"/>
  <c r="C217" i="12"/>
  <c r="G209" i="12"/>
  <c r="K32" i="18"/>
  <c r="H328" i="12"/>
  <c r="C208" i="12"/>
  <c r="M59" i="18"/>
  <c r="I119" i="12"/>
  <c r="C64" i="12"/>
  <c r="I109" i="12"/>
  <c r="C290" i="12"/>
  <c r="C245" i="12"/>
  <c r="C136" i="12"/>
  <c r="I26" i="12"/>
  <c r="I38" i="12"/>
  <c r="C72" i="12"/>
  <c r="D108" i="12"/>
  <c r="F56" i="12"/>
  <c r="E64" i="12"/>
  <c r="H83" i="12"/>
  <c r="B112" i="12"/>
  <c r="I260" i="12"/>
  <c r="G91" i="12"/>
  <c r="E23" i="12"/>
  <c r="G81" i="12"/>
  <c r="E13" i="12"/>
  <c r="I163" i="12"/>
  <c r="H41" i="12"/>
  <c r="I108" i="12"/>
  <c r="F267" i="12"/>
  <c r="G66" i="12"/>
  <c r="F257" i="12"/>
  <c r="D56" i="12"/>
  <c r="I91" i="12"/>
  <c r="B323" i="12"/>
  <c r="H50" i="12"/>
  <c r="F23" i="12"/>
  <c r="B62" i="12"/>
  <c r="D187" i="12"/>
  <c r="H286" i="12"/>
  <c r="I7" i="18"/>
  <c r="B209" i="12"/>
  <c r="B244" i="12"/>
  <c r="B199" i="12"/>
  <c r="B330" i="12"/>
  <c r="H272" i="12"/>
  <c r="H163" i="12"/>
  <c r="C198" i="12"/>
  <c r="B137" i="12"/>
  <c r="B172" i="12"/>
  <c r="B127" i="12"/>
  <c r="H245" i="12"/>
  <c r="H200" i="12"/>
  <c r="G157" i="12"/>
  <c r="F40" i="12"/>
  <c r="D249" i="12"/>
  <c r="D113" i="12"/>
  <c r="B20" i="12"/>
  <c r="B123" i="12"/>
  <c r="G25" i="12"/>
  <c r="E127" i="12"/>
  <c r="B266" i="12"/>
  <c r="H347" i="12"/>
  <c r="G206" i="12"/>
  <c r="D365" i="12"/>
  <c r="D154" i="12"/>
  <c r="D352" i="12"/>
  <c r="B226" i="12"/>
  <c r="B181" i="12"/>
  <c r="D311" i="12"/>
  <c r="F302" i="12"/>
  <c r="C273" i="12"/>
  <c r="H310" i="12"/>
  <c r="C263" i="12"/>
  <c r="B154" i="12"/>
  <c r="B109" i="12"/>
  <c r="E236" i="12"/>
  <c r="D51" i="12"/>
  <c r="G47" i="12"/>
  <c r="K6" i="18"/>
  <c r="C30" i="12"/>
  <c r="I105" i="12"/>
  <c r="B46" i="12"/>
  <c r="I265" i="12"/>
  <c r="I129" i="12"/>
  <c r="G4" i="18"/>
  <c r="D355" i="12"/>
  <c r="G136" i="12"/>
  <c r="F111" i="12"/>
  <c r="H26" i="12"/>
  <c r="E72" i="12"/>
  <c r="H47" i="12"/>
  <c r="B58" i="12"/>
  <c r="I250" i="12"/>
  <c r="E246" i="12"/>
  <c r="K10" i="18"/>
  <c r="H356" i="12"/>
  <c r="F249" i="12"/>
  <c r="M19" i="18"/>
  <c r="I216" i="12"/>
  <c r="I176" i="12"/>
  <c r="D170" i="12"/>
  <c r="F237" i="12"/>
  <c r="D366" i="12"/>
  <c r="I273" i="12"/>
  <c r="I305" i="12"/>
  <c r="H336" i="12"/>
  <c r="C33" i="12"/>
  <c r="B28" i="12"/>
  <c r="I34" i="12"/>
  <c r="D279" i="12"/>
  <c r="C165" i="12"/>
  <c r="D239" i="12"/>
  <c r="C125" i="12"/>
  <c r="D276" i="12"/>
  <c r="B192" i="12"/>
  <c r="B48" i="12"/>
  <c r="I153" i="12"/>
  <c r="F273" i="12"/>
  <c r="I107" i="12"/>
  <c r="D193" i="12"/>
  <c r="F243" i="12"/>
  <c r="F233" i="12"/>
  <c r="B309" i="12"/>
  <c r="E307" i="12"/>
  <c r="G36" i="12"/>
  <c r="G26" i="12"/>
  <c r="B72" i="12"/>
  <c r="E57" i="12"/>
  <c r="B321" i="12"/>
  <c r="H174" i="12"/>
  <c r="E46" i="12"/>
  <c r="G57" i="12"/>
  <c r="I121" i="12"/>
  <c r="N27" i="18"/>
  <c r="H212" i="12"/>
  <c r="F241" i="12"/>
  <c r="C146" i="12"/>
  <c r="E35" i="12"/>
  <c r="F197" i="12"/>
  <c r="F198" i="12"/>
  <c r="C19" i="12"/>
  <c r="I181" i="12"/>
  <c r="B98" i="12"/>
  <c r="E289" i="12"/>
  <c r="E180" i="12"/>
  <c r="I282" i="12"/>
  <c r="C145" i="12"/>
  <c r="C180" i="12"/>
  <c r="C135" i="12"/>
  <c r="E262" i="12"/>
  <c r="E217" i="12"/>
  <c r="E108" i="12"/>
  <c r="B64" i="12"/>
  <c r="G125" i="12"/>
  <c r="F149" i="12"/>
  <c r="I35" i="12"/>
  <c r="H86" i="12"/>
  <c r="G14" i="12"/>
  <c r="H74" i="12"/>
  <c r="D306" i="12"/>
  <c r="F4" i="18"/>
  <c r="D303" i="12"/>
  <c r="B24" i="12"/>
  <c r="D293" i="12"/>
  <c r="C234" i="12"/>
  <c r="C189" i="12"/>
  <c r="C80" i="12"/>
  <c r="F344" i="12"/>
  <c r="D231" i="12"/>
  <c r="F69" i="12"/>
  <c r="D221" i="12"/>
  <c r="C162" i="12"/>
  <c r="C117" i="12"/>
  <c r="B256" i="12"/>
  <c r="I14" i="12"/>
  <c r="D76" i="12"/>
  <c r="B12" i="12"/>
  <c r="D282" i="12"/>
  <c r="G62" i="12"/>
  <c r="H241" i="12"/>
  <c r="H172" i="12"/>
  <c r="H207" i="12"/>
  <c r="H162" i="12"/>
  <c r="F317" i="12"/>
  <c r="I23" i="12"/>
  <c r="N38" i="18"/>
  <c r="H145" i="12"/>
  <c r="H100" i="12"/>
  <c r="H135" i="12"/>
  <c r="H90" i="12"/>
  <c r="F239" i="12"/>
  <c r="D38" i="12"/>
  <c r="F308" i="12"/>
  <c r="D47" i="12"/>
  <c r="H246" i="12"/>
  <c r="H110" i="12"/>
  <c r="C14" i="12"/>
  <c r="F72" i="12"/>
  <c r="G31" i="12"/>
  <c r="G27" i="12"/>
  <c r="B221" i="12"/>
  <c r="H158" i="12"/>
  <c r="C94" i="12"/>
  <c r="D329" i="12"/>
  <c r="B116" i="12"/>
  <c r="D309" i="12"/>
  <c r="H189" i="12"/>
  <c r="H144" i="12"/>
  <c r="G293" i="12"/>
  <c r="B190" i="12"/>
  <c r="E245" i="12"/>
  <c r="E280" i="12"/>
  <c r="E235" i="12"/>
  <c r="H117" i="12"/>
  <c r="H72" i="12"/>
  <c r="I289" i="12"/>
  <c r="E65" i="12"/>
  <c r="C291" i="12"/>
  <c r="C155" i="12"/>
  <c r="H99" i="12"/>
  <c r="E103" i="12"/>
  <c r="G71" i="12"/>
  <c r="H55" i="12"/>
  <c r="F65" i="12"/>
  <c r="H70" i="12"/>
  <c r="G48" i="12"/>
  <c r="G275" i="12"/>
  <c r="C65" i="12"/>
  <c r="E287" i="12"/>
  <c r="F31" i="12"/>
  <c r="H35"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Akilov, Aba</author>
  </authors>
  <commentList>
    <comment ref="B15" authorId="0" shapeId="0" xr:uid="{D0C0AA08-B2F6-427D-BACA-842818D65713}">
      <text>
        <r>
          <rPr>
            <sz val="9"/>
            <color indexed="81"/>
            <rFont val="Tahoma"/>
            <family val="2"/>
          </rPr>
          <t>נדרש רק בסוגיות הגנת הפרטיות או במידה והמידע לא נשאר בארץ</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Akilov, Aba</author>
  </authors>
  <commentList>
    <comment ref="B4" authorId="0" shapeId="0" xr:uid="{CACBC76B-E652-4BE5-AC99-29F85AFF5AAA}">
      <text>
        <r>
          <rPr>
            <b/>
            <sz val="9"/>
            <color indexed="81"/>
            <rFont val="Tahoma"/>
            <family val="2"/>
          </rPr>
          <t>Akilov, Aba:</t>
        </r>
        <r>
          <rPr>
            <sz val="9"/>
            <color indexed="81"/>
            <rFont val="Tahoma"/>
            <family val="2"/>
          </rPr>
          <t xml:space="preserve">
שאלות שחוזרות על עצמם ממאפייני הספקים לא צריכות לחזור בספקים נוספים - לייחד שאלות לספקים ולמאפיינים כללים</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<sst xmlns="http://schemas.openxmlformats.org/spreadsheetml/2006/main" count="20153" uniqueCount="2251">
  <si>
    <t>כללי</t>
  </si>
  <si>
    <t xml:space="preserve">גורמים מאשרים את ממצאי תהליך ניהול הסיכונים </t>
  </si>
  <si>
    <t>יועץ משפטי</t>
  </si>
  <si>
    <t>ממונה הגנת פרטיות</t>
  </si>
  <si>
    <t>תאריך האישור</t>
  </si>
  <si>
    <t>אחראי פרויקט (אדמיניסטרטיבי)</t>
  </si>
  <si>
    <t>רמה</t>
  </si>
  <si>
    <t>אופי המידע</t>
  </si>
  <si>
    <t>מידע פומבי</t>
  </si>
  <si>
    <t>מידע שפורסם באופן חוקי לציבור או מידע המותר לפרסום לכלל הציבור על פי דין</t>
  </si>
  <si>
    <t>מידע פנימי</t>
  </si>
  <si>
    <t>מידע פנימי מוגבל</t>
  </si>
  <si>
    <t xml:space="preserve">מידע פנימי חסוי </t>
  </si>
  <si>
    <t xml:space="preserve"> פומביות המידע</t>
  </si>
  <si>
    <t>פרטיות המידע</t>
  </si>
  <si>
    <t xml:space="preserve">   האם המידע בסיווג בטחוני גבוה מבלמ"ס? </t>
  </si>
  <si>
    <t xml:space="preserve">   האם הנתונים מכילים מידע פרטי (כולל מזהים ישירים\עקיפים) כהגדרתו במסמך זה?</t>
  </si>
  <si>
    <t xml:space="preserve">   האם הנתונים מכילים מידע פרטי בעל רגישות מיוחדת כהגדרתו במסמך זה?</t>
  </si>
  <si>
    <t xml:space="preserve">    האם המידע נוגע לעניינים פנימיים של המשרד?</t>
  </si>
  <si>
    <t xml:space="preserve">   חשיפת מידע אסטרטגי לישויות מדיניות זרות (מדינות, רשויות או ארגונים בינ"ל)</t>
  </si>
  <si>
    <t xml:space="preserve">   פוטנציאל לפגיעה בגוף או בנפש</t>
  </si>
  <si>
    <t xml:space="preserve">   פוטנציאל לפגיעה ביחסי החוץ של המדינה</t>
  </si>
  <si>
    <t>תשובה</t>
  </si>
  <si>
    <t>תוצאת סיווג אופי המידע</t>
  </si>
  <si>
    <t>נבנה על ידי אבא אקילוב</t>
  </si>
  <si>
    <t xml:space="preserve">סיכום מידת הנזק </t>
  </si>
  <si>
    <t>בינוני</t>
  </si>
  <si>
    <t>חמור</t>
  </si>
  <si>
    <t>מוגבלת</t>
  </si>
  <si>
    <t>בינונית</t>
  </si>
  <si>
    <t>חמורה</t>
  </si>
  <si>
    <t>חסיון
Confidentiality</t>
  </si>
  <si>
    <t>אמינות
Integrity</t>
  </si>
  <si>
    <t>זמינות
Availability</t>
  </si>
  <si>
    <t>מוגבל</t>
  </si>
  <si>
    <t>מינימלי</t>
  </si>
  <si>
    <t>מינימליות</t>
  </si>
  <si>
    <t>מוגבלות</t>
  </si>
  <si>
    <t>בינוניות</t>
  </si>
  <si>
    <t>חמורות</t>
  </si>
  <si>
    <t>רמת הנזק</t>
  </si>
  <si>
    <t>נזק מינמלי</t>
  </si>
  <si>
    <t>נזק מוגבל</t>
  </si>
  <si>
    <t>נזק בינוני</t>
  </si>
  <si>
    <t>נזק חמור</t>
  </si>
  <si>
    <t>קריטריון</t>
  </si>
  <si>
    <t>נזק מינימלי</t>
  </si>
  <si>
    <t>פגיעה בייעדי רציפות התפקודית</t>
  </si>
  <si>
    <t>ללא חשיפה משפטית</t>
  </si>
  <si>
    <t>מידע פנימי חסוי</t>
  </si>
  <si>
    <t>נמוך</t>
  </si>
  <si>
    <t>גבוה</t>
  </si>
  <si>
    <t>גבוה מאוד</t>
  </si>
  <si>
    <t>תוצאת הנזק הפוטנציאלי</t>
  </si>
  <si>
    <t>רמת המידע</t>
  </si>
  <si>
    <t>לא הוזנו מאפייני מידע</t>
  </si>
  <si>
    <t>מידע מסווג ביטחוני אינו חלק מסיווג זה</t>
  </si>
  <si>
    <t>קיימת סתירה בהגדרות אופי המידע</t>
  </si>
  <si>
    <t>רמת נזק</t>
  </si>
  <si>
    <t>סיכון בינוני</t>
  </si>
  <si>
    <t>סיכון נמוך</t>
  </si>
  <si>
    <t>סיכון גבוה</t>
  </si>
  <si>
    <t>סיכון גבוה מאוד</t>
  </si>
  <si>
    <t>מינימלית</t>
  </si>
  <si>
    <t>סיכום הנזקים הפוטנציאליים</t>
  </si>
  <si>
    <t>מקרא הגדרות הנזק הפוטנציאלי</t>
  </si>
  <si>
    <t>ההערכה תתבצע ע"פ מקרא הגדרות הנזק הפוטנציאלי מטה</t>
  </si>
  <si>
    <t>חסיון</t>
  </si>
  <si>
    <t>אמינות</t>
  </si>
  <si>
    <t>זמינות</t>
  </si>
  <si>
    <t xml:space="preserve">   ההשפעה או פגיעה על הציבור, המשק, הטיה או מתן יתרון תחרותי</t>
  </si>
  <si>
    <t xml:space="preserve">   האם קיימת מניעה משפטית (חסיון על פי דין, חוק, תקנה או דרישה רגולטורית) להנגשת המידע לציבור?</t>
  </si>
  <si>
    <t>חישוב רמת הנזק</t>
  </si>
  <si>
    <t>השפעה על הליך לא אסטרטגי בודד</t>
  </si>
  <si>
    <t xml:space="preserve">השפעה על מספר הליכים לא אסטרטגיים או על הליך אסטרטגי בודד </t>
  </si>
  <si>
    <t>השפעה על מספר הליכים אסטרטגיים עד כדי הפסקת פעילות המשרד הממשלתי</t>
  </si>
  <si>
    <t xml:space="preserve">מספר פגיעות נרחבות </t>
  </si>
  <si>
    <r>
      <t xml:space="preserve">הערות
</t>
    </r>
    <r>
      <rPr>
        <sz val="10"/>
        <rFont val="Assistant"/>
        <charset val="177"/>
      </rPr>
      <t>(במידה ויש)</t>
    </r>
  </si>
  <si>
    <t>+</t>
  </si>
  <si>
    <t>↘    ↙</t>
  </si>
  <si>
    <t>מושגים</t>
  </si>
  <si>
    <t>מספור</t>
  </si>
  <si>
    <t>מושג</t>
  </si>
  <si>
    <t>תיאור</t>
  </si>
  <si>
    <t>ישות</t>
  </si>
  <si>
    <t>מזהה ביומטרי</t>
  </si>
  <si>
    <t>אובייקט מוחשי או אבסטרקטי הניתן לתיאור בעזרת מזהים ישירים או עקיפים, כדוגמת אדם, נכס, רכב, פעולה.</t>
  </si>
  <si>
    <t>נתון ביומטרי המשמש לזיהוי אדם או לאימות זהותו, או אמצעי ביומטרי שניתן להפיק ממנו נתון כאמור; לעניין זה, "ביומטרי" - מאפיין אנושי, פיזיולוגי או התנהגותי, ייחודי, הניתן למדידה ממוחשבת, כדוגמת תמונת פני אדם או טביעת אצבע.</t>
  </si>
  <si>
    <t>חסיון המידע (Confidentiality)</t>
  </si>
  <si>
    <t>שמור על פרטיות המידע ומניעת גישה בלתי מורשית אליו.</t>
  </si>
  <si>
    <t>אמינות המידע (Integrity)</t>
  </si>
  <si>
    <t>שמירה על שלמות ודיוק של המידע.</t>
  </si>
  <si>
    <t>האפשרות של משתמש מורשה לגשת למידע בעת הצורך.</t>
  </si>
  <si>
    <t>מזהה ישיר</t>
  </si>
  <si>
    <t>זמינות המידע (Availability)</t>
  </si>
  <si>
    <t>שדה אשר בהגדרתו מזהה ישות בצורה חד חד ערכית, כדוגמת מספר זהות, מספר חברה, חשבון בנק. מזהה ישיר עשוי להיות מזהה עקיף של ישות אחרת.</t>
  </si>
  <si>
    <t>מזהה עקיף</t>
  </si>
  <si>
    <t>שדה, אשר בשילוב עם שדה נוסף או שדות נוספים או עם מידע נוסף, מאפשר לזהות ישות באופן חד חד ערכי.</t>
  </si>
  <si>
    <t>מידע אשר אינו מידע פומבי, ואשר לא מכיל מידע פרטי מסוג כלשהו.</t>
  </si>
  <si>
    <t>מידע פרטי</t>
  </si>
  <si>
    <t>נתון הנוגע לאדם מזוהה, או לאדם הניתן לזיהוי, במישרין או בעקיפין, באמצעים סבירים, מספר זהות או כל נתון מזהה ייחודי אחר</t>
  </si>
  <si>
    <t>מידע פרטי בעל רגישות מיוחדת</t>
  </si>
  <si>
    <t>•	מידע על צנעת חייו האישיים של אדם
•	מידע רפואי אודות אדם, לרבות מידע גנטי
•	מידע על אודות דעותיו הפוליטיות או אמונותיו של אדם
•	מידע על אודות עברו הפלילי של אדם
•	נתוני מיקום ונתוני תעבורת תקשורת לגבי אדם 
•	מזהה ביומטרי
•	מידע על מוצאו של אדם
•	מידע על נכסיו של אדם, מצבו הכלכלי, חובותיו והתחייבויותיו הכלכליות
•	הרגלי צריכה של אדם
•	מידע שחל עליו חיסיון על פי דין</t>
  </si>
  <si>
    <t xml:space="preserve">מידע מסווג </t>
  </si>
  <si>
    <t>מידע שחל עליו סיווג בטחוני ברמת "שמור" ומעלה.</t>
  </si>
  <si>
    <t xml:space="preserve">         ↘    ↙</t>
  </si>
  <si>
    <t>סיווג המידע </t>
  </si>
  <si>
    <t>חומרת הנזק</t>
  </si>
  <si>
    <t>אופי הנזק הפוטנציאלי</t>
  </si>
  <si>
    <t>תוצאת הנזק הפוטנציאלי מפגיעה במערכת ובמידע</t>
  </si>
  <si>
    <r>
      <t>ללא</t>
    </r>
    <r>
      <rPr>
        <sz val="10"/>
        <color rgb="FF000000"/>
        <rFont val="Times New Roman"/>
        <family val="1"/>
      </rPr>
      <t xml:space="preserve"> </t>
    </r>
    <r>
      <rPr>
        <sz val="10"/>
        <color rgb="FF000000"/>
        <rFont val="Assistant"/>
        <charset val="177"/>
      </rPr>
      <t>פגיעה כלכלית במשרד</t>
    </r>
  </si>
  <si>
    <r>
      <t>ללא</t>
    </r>
    <r>
      <rPr>
        <sz val="10"/>
        <color rgb="FF000000"/>
        <rFont val="Times New Roman"/>
        <family val="1"/>
      </rPr>
      <t xml:space="preserve"> </t>
    </r>
    <r>
      <rPr>
        <sz val="10"/>
        <color rgb="FF000000"/>
        <rFont val="Assistant"/>
        <charset val="177"/>
      </rPr>
      <t>נזק תדמיתי או חשיפה תקשורתית נמוכה</t>
    </r>
  </si>
  <si>
    <r>
      <t>ללא</t>
    </r>
    <r>
      <rPr>
        <sz val="10"/>
        <color rgb="FF000000"/>
        <rFont val="Times New Roman"/>
        <family val="1"/>
      </rPr>
      <t xml:space="preserve"> </t>
    </r>
    <r>
      <rPr>
        <sz val="10"/>
        <color rgb="FF000000"/>
        <rFont val="Assistant"/>
        <charset val="177"/>
      </rPr>
      <t>פגיעה ברציפות התפקודית</t>
    </r>
  </si>
  <si>
    <r>
      <t>ללא</t>
    </r>
    <r>
      <rPr>
        <sz val="10"/>
        <color rgb="FF000000"/>
        <rFont val="Times New Roman"/>
        <family val="1"/>
      </rPr>
      <t xml:space="preserve"> </t>
    </r>
    <r>
      <rPr>
        <sz val="10"/>
        <color rgb="FF000000"/>
        <rFont val="Assistant"/>
        <charset val="177"/>
      </rPr>
      <t>פגיעה במתן שירות לציבור \ לא רלוונטי</t>
    </r>
  </si>
  <si>
    <r>
      <t>ללא</t>
    </r>
    <r>
      <rPr>
        <sz val="10"/>
        <color rgb="FF000000"/>
        <rFont val="Times New Roman"/>
        <family val="1"/>
      </rPr>
      <t xml:space="preserve"> </t>
    </r>
    <r>
      <rPr>
        <sz val="10"/>
        <color rgb="FF000000"/>
        <rFont val="Assistant"/>
        <charset val="177"/>
      </rPr>
      <t>חשיפה משפטית</t>
    </r>
  </si>
  <si>
    <r>
      <t>ללא</t>
    </r>
    <r>
      <rPr>
        <sz val="10"/>
        <color rgb="FF000000"/>
        <rFont val="Times New Roman"/>
        <family val="1"/>
      </rPr>
      <t xml:space="preserve"> </t>
    </r>
    <r>
      <rPr>
        <sz val="10"/>
        <color rgb="FF000000"/>
        <rFont val="Assistant"/>
        <charset val="177"/>
      </rPr>
      <t>השפעה</t>
    </r>
  </si>
  <si>
    <r>
      <t>ללא</t>
    </r>
    <r>
      <rPr>
        <sz val="10"/>
        <color rgb="FF000000"/>
        <rFont val="Times New Roman"/>
        <family val="1"/>
      </rPr>
      <t xml:space="preserve"> </t>
    </r>
    <r>
      <rPr>
        <sz val="10"/>
        <color rgb="FF000000"/>
        <rFont val="Assistant"/>
        <charset val="177"/>
      </rPr>
      <t>פגיעה</t>
    </r>
  </si>
  <si>
    <r>
      <t>פגיעה</t>
    </r>
    <r>
      <rPr>
        <sz val="10"/>
        <color rgb="FF000000"/>
        <rFont val="Times New Roman"/>
        <family val="1"/>
      </rPr>
      <t xml:space="preserve"> </t>
    </r>
    <r>
      <rPr>
        <sz val="10"/>
        <color rgb="FF000000"/>
        <rFont val="Assistant"/>
        <charset val="177"/>
      </rPr>
      <t>של עד 0.5% מהתקציב התפעולי השנתי של המשרד הממשלתי</t>
    </r>
  </si>
  <si>
    <r>
      <t>כיסוי</t>
    </r>
    <r>
      <rPr>
        <sz val="10"/>
        <color rgb="FF000000"/>
        <rFont val="Times New Roman"/>
        <family val="1"/>
      </rPr>
      <t xml:space="preserve"> </t>
    </r>
    <r>
      <rPr>
        <sz val="10"/>
        <color rgb="FF000000"/>
        <rFont val="Assistant"/>
        <charset val="177"/>
      </rPr>
      <t>תקשורתי שלילי של כלי התקשורת איזוטריים</t>
    </r>
  </si>
  <si>
    <r>
      <t>פגיעה</t>
    </r>
    <r>
      <rPr>
        <sz val="10"/>
        <color rgb="FF000000"/>
        <rFont val="Times New Roman"/>
        <family val="1"/>
      </rPr>
      <t xml:space="preserve"> </t>
    </r>
    <r>
      <rPr>
        <sz val="10"/>
        <color rgb="FF000000"/>
        <rFont val="Assistant"/>
        <charset val="177"/>
      </rPr>
      <t>מצומצמת ברציפות התפקודית תוך עמידה ביעדים</t>
    </r>
  </si>
  <si>
    <r>
      <t>פגיעה</t>
    </r>
    <r>
      <rPr>
        <sz val="10"/>
        <color rgb="FF000000"/>
        <rFont val="Times New Roman"/>
        <family val="1"/>
      </rPr>
      <t xml:space="preserve"> </t>
    </r>
    <r>
      <rPr>
        <sz val="10"/>
        <color rgb="FF000000"/>
        <rFont val="Assistant"/>
        <charset val="177"/>
      </rPr>
      <t>נקודתית במתן שירות לציבור תוך עמידה ביעדים</t>
    </r>
  </si>
  <si>
    <r>
      <t>חשיפה</t>
    </r>
    <r>
      <rPr>
        <sz val="10"/>
        <color rgb="FF000000"/>
        <rFont val="Times New Roman"/>
        <family val="1"/>
      </rPr>
      <t xml:space="preserve"> </t>
    </r>
    <r>
      <rPr>
        <sz val="10"/>
        <color rgb="FF000000"/>
        <rFont val="Assistant"/>
        <charset val="177"/>
      </rPr>
      <t>נמוכה מאוד לתביעות משפטיות</t>
    </r>
  </si>
  <si>
    <r>
      <t>פגיעה</t>
    </r>
    <r>
      <rPr>
        <sz val="10"/>
        <color rgb="FF000000"/>
        <rFont val="Times New Roman"/>
        <family val="1"/>
      </rPr>
      <t xml:space="preserve"> </t>
    </r>
    <r>
      <rPr>
        <sz val="10"/>
        <color rgb="FF000000"/>
        <rFont val="Assistant"/>
        <charset val="177"/>
      </rPr>
      <t>נקודתית</t>
    </r>
  </si>
  <si>
    <r>
      <t>פגיעה</t>
    </r>
    <r>
      <rPr>
        <sz val="10"/>
        <color rgb="FF000000"/>
        <rFont val="Times New Roman"/>
        <family val="1"/>
      </rPr>
      <t xml:space="preserve"> </t>
    </r>
    <r>
      <rPr>
        <sz val="10"/>
        <color rgb="FF000000"/>
        <rFont val="Assistant"/>
        <charset val="177"/>
      </rPr>
      <t>מצומצמת עד 2% מהתקציב התפעולי השנתי של המשרד הממשלתי</t>
    </r>
  </si>
  <si>
    <r>
      <t>כיסוי</t>
    </r>
    <r>
      <rPr>
        <sz val="10"/>
        <color rgb="FF000000"/>
        <rFont val="Times New Roman"/>
        <family val="1"/>
      </rPr>
      <t xml:space="preserve"> </t>
    </r>
    <r>
      <rPr>
        <sz val="10"/>
        <color rgb="FF000000"/>
        <rFont val="Assistant"/>
        <charset val="177"/>
      </rPr>
      <t>תקשורתי שלילי נרחב ברמה הלאומית בעל השלכות המצריכות תקשור לציבור</t>
    </r>
  </si>
  <si>
    <r>
      <t>פגיעה</t>
    </r>
    <r>
      <rPr>
        <sz val="10"/>
        <color rgb="FF000000"/>
        <rFont val="Times New Roman"/>
        <family val="1"/>
      </rPr>
      <t xml:space="preserve"> </t>
    </r>
    <r>
      <rPr>
        <sz val="10"/>
        <color rgb="FF000000"/>
        <rFont val="Assistant"/>
        <charset val="177"/>
      </rPr>
      <t>נמוכה ביעדי הרציפות התפקודית</t>
    </r>
  </si>
  <si>
    <r>
      <t>פגיעה</t>
    </r>
    <r>
      <rPr>
        <sz val="10"/>
        <color rgb="FF000000"/>
        <rFont val="Times New Roman"/>
        <family val="1"/>
      </rPr>
      <t xml:space="preserve"> </t>
    </r>
    <r>
      <rPr>
        <sz val="10"/>
        <color rgb="FF000000"/>
        <rFont val="Assistant"/>
        <charset val="177"/>
      </rPr>
      <t>נרחבת במתן שירותים לציבור תוך עמידה ביעדים</t>
    </r>
    <r>
      <rPr>
        <sz val="8"/>
        <color rgb="FF000000"/>
        <rFont val="Times New Roman"/>
        <family val="1"/>
      </rPr>
      <t>   </t>
    </r>
  </si>
  <si>
    <r>
      <t>חשיפה</t>
    </r>
    <r>
      <rPr>
        <sz val="10"/>
        <color rgb="FF000000"/>
        <rFont val="Times New Roman"/>
        <family val="1"/>
      </rPr>
      <t xml:space="preserve"> </t>
    </r>
    <r>
      <rPr>
        <sz val="10"/>
        <color rgb="FF000000"/>
        <rFont val="Assistant"/>
        <charset val="177"/>
      </rPr>
      <t>משפטית לתביעות נמוכה</t>
    </r>
  </si>
  <si>
    <r>
      <t>פגיעה</t>
    </r>
    <r>
      <rPr>
        <sz val="10"/>
        <color rgb="FF000000"/>
        <rFont val="Times New Roman"/>
        <family val="1"/>
      </rPr>
      <t xml:space="preserve"> </t>
    </r>
    <r>
      <rPr>
        <sz val="10"/>
        <color rgb="FF000000"/>
        <rFont val="Assistant"/>
        <charset val="177"/>
      </rPr>
      <t>נרחבת בודדת או מספר פגיעות נקודתיות</t>
    </r>
  </si>
  <si>
    <r>
      <t>פגיעה</t>
    </r>
    <r>
      <rPr>
        <sz val="10"/>
        <color rgb="FF000000"/>
        <rFont val="Times New Roman"/>
        <family val="1"/>
      </rPr>
      <t xml:space="preserve"> </t>
    </r>
    <r>
      <rPr>
        <sz val="10"/>
        <color rgb="FF000000"/>
        <rFont val="Assistant"/>
        <charset val="177"/>
      </rPr>
      <t>משמעותית של מעל 2% מהתקציב התפעולי השנתי של המשרד הממשלתי</t>
    </r>
  </si>
  <si>
    <r>
      <t>כיסוי</t>
    </r>
    <r>
      <rPr>
        <sz val="10"/>
        <color rgb="FF000000"/>
        <rFont val="Times New Roman"/>
        <family val="1"/>
      </rPr>
      <t xml:space="preserve"> </t>
    </r>
    <r>
      <rPr>
        <sz val="10"/>
        <color rgb="FF000000"/>
        <rFont val="Assistant"/>
        <charset val="177"/>
      </rPr>
      <t>תקשורתי שלילי משמעותי ברמה בינלאומית עד כדי עצירת פעילות המשרד (יתכן והאירוע</t>
    </r>
    <r>
      <rPr>
        <sz val="10"/>
        <color rgb="FF000000"/>
        <rFont val="Times New Roman"/>
        <family val="1"/>
      </rPr>
      <t xml:space="preserve"> </t>
    </r>
    <r>
      <rPr>
        <sz val="10"/>
        <color rgb="FF000000"/>
        <rFont val="Assistant"/>
        <charset val="177"/>
      </rPr>
      <t>מצריך מתן הסברים ובירורים על ידי גורמי רגולציה חיצוניים)</t>
    </r>
  </si>
  <si>
    <r>
      <t>פגיעה</t>
    </r>
    <r>
      <rPr>
        <sz val="10"/>
        <color rgb="FF000000"/>
        <rFont val="Times New Roman"/>
        <family val="1"/>
      </rPr>
      <t xml:space="preserve"> </t>
    </r>
    <r>
      <rPr>
        <sz val="10"/>
        <color rgb="FF000000"/>
        <rFont val="Assistant"/>
        <charset val="177"/>
      </rPr>
      <t>חמורה וממושכת ביעדי הרציפות התפקודית</t>
    </r>
    <r>
      <rPr>
        <sz val="10"/>
        <color rgb="FF000000"/>
        <rFont val="Times New Roman"/>
        <family val="1"/>
      </rPr>
      <t xml:space="preserve"> </t>
    </r>
  </si>
  <si>
    <r>
      <t>פגיעה</t>
    </r>
    <r>
      <rPr>
        <sz val="10"/>
        <color rgb="FF000000"/>
        <rFont val="Times New Roman"/>
        <family val="1"/>
      </rPr>
      <t xml:space="preserve"> </t>
    </r>
    <r>
      <rPr>
        <sz val="10"/>
        <color rgb="FF000000"/>
        <rFont val="Assistant"/>
        <charset val="177"/>
      </rPr>
      <t>נרחבת במתן שירותים לציבור לתקופת זמן ממושכת וחריגה מייעדי השירות</t>
    </r>
  </si>
  <si>
    <r>
      <t>חשיפה</t>
    </r>
    <r>
      <rPr>
        <sz val="10"/>
        <color rgb="FF000000"/>
        <rFont val="Times New Roman"/>
        <family val="1"/>
      </rPr>
      <t xml:space="preserve"> </t>
    </r>
    <r>
      <rPr>
        <sz val="10"/>
        <color rgb="FF000000"/>
        <rFont val="Assistant"/>
        <charset val="177"/>
      </rPr>
      <t>משפטית לקובלנה פלילית בינונית ואפשרות לחשיפה פלילית, אפשרות לעצירת פעילות</t>
    </r>
    <r>
      <rPr>
        <sz val="10"/>
        <color rgb="FF000000"/>
        <rFont val="Times New Roman"/>
        <family val="1"/>
      </rPr>
      <t xml:space="preserve"> </t>
    </r>
    <r>
      <rPr>
        <sz val="10"/>
        <color rgb="FF000000"/>
        <rFont val="Assistant"/>
        <charset val="177"/>
      </rPr>
      <t>המשרד הממשלתי</t>
    </r>
  </si>
  <si>
    <t>אזהרה!!! 
שינוי מילים או מיקומי שדות ועדכון נוסחאות ישפיעו על תוצאות המחשבון
נבנה על ידי אבא אקילוב</t>
  </si>
  <si>
    <t>חומרת נזק פוטנציאלי</t>
  </si>
  <si>
    <t>מפת חום לרמות הסיכון</t>
  </si>
  <si>
    <t>תיאור קצר של  התהליכים העסקיים שהמערכת ומידע משרתים</t>
  </si>
  <si>
    <t>מהו היקף המשתמשים הצפוי / קיים?</t>
  </si>
  <si>
    <t>מזהה חישוב (אוטומטי)</t>
  </si>
  <si>
    <t>מנהל מערכות מידע  (מנמ"ר)</t>
  </si>
  <si>
    <t>סיכום מידת הנזק  המקסימאלית</t>
  </si>
  <si>
    <t>הגדרות חומרת הנזק הפוטנציאלי למערכת ולמידע</t>
  </si>
  <si>
    <t>הערכת הנזק הפוטנציאלי בהיבטי חסיון, אמינות וזמינות המידע והמערכת</t>
  </si>
  <si>
    <r>
      <t xml:space="preserve">בעל המידע (Data Owner)
</t>
    </r>
    <r>
      <rPr>
        <sz val="8"/>
        <color theme="1"/>
        <rFont val="Assistant"/>
        <charset val="177"/>
      </rPr>
      <t>הגורם אשר הוסמך לאוסף/ליצור ולעבד את המידע במערכת ואחראי באופן חוקי על שמירה והגנה על המידע בהתאם לתקנות החוקיות ורגולטוריות הנוגעות למידע</t>
    </r>
  </si>
  <si>
    <t xml:space="preserve">   האם הנתונים מכילים מידע פרטי (כולל מזהים ישירים/עקיפים) כהגדרתו במסמך זה?</t>
  </si>
  <si>
    <t xml:space="preserve">   השפעה על הציבור או המשק או פגיעה בהם, הטיה או מתן יתרון תחרותי בלתי הוגן.</t>
  </si>
  <si>
    <t>מערכת ומידע שחשיפתם או פגיעה בהם תגרום נזק מינימלי</t>
  </si>
  <si>
    <t>מערכת ומידע שחשיפתם או הפגיעה בהם תגרום לנזק חמור במיוחד לציבור או לאינטרס הלאומי</t>
  </si>
  <si>
    <t>חשיפה נמוכה לתביעות משפטיות</t>
  </si>
  <si>
    <r>
      <t xml:space="preserve">אמינות (שלמות המידע או מערכת)
</t>
    </r>
    <r>
      <rPr>
        <sz val="9"/>
        <color rgb="FFE36C0A"/>
        <rFont val="Assistant"/>
        <charset val="177"/>
      </rPr>
      <t>Integrity</t>
    </r>
  </si>
  <si>
    <r>
      <t xml:space="preserve">זמינות (מידע או מערכת)
</t>
    </r>
    <r>
      <rPr>
        <sz val="9"/>
        <color rgb="FFE36C0A"/>
        <rFont val="Assistant"/>
        <charset val="177"/>
      </rPr>
      <t>Availability</t>
    </r>
  </si>
  <si>
    <r>
      <t xml:space="preserve">חסיון (חשיפת המידע או המערכת)
</t>
    </r>
    <r>
      <rPr>
        <sz val="9"/>
        <color rgb="FFE36C0A"/>
        <rFont val="Assistant"/>
        <charset val="177"/>
      </rPr>
      <t>Confidentiality</t>
    </r>
  </si>
  <si>
    <t xml:space="preserve">   האם קיימת מניעה משפטית (חוק, תקנה או דרישה רגולטורית) להנגשת המידע לציבור?</t>
  </si>
  <si>
    <t>Identify</t>
  </si>
  <si>
    <t>Detect</t>
  </si>
  <si>
    <t>Protect</t>
  </si>
  <si>
    <t>Respond</t>
  </si>
  <si>
    <t>Recover</t>
  </si>
  <si>
    <t>IaaS</t>
  </si>
  <si>
    <t>PaaS</t>
  </si>
  <si>
    <t>SaaS</t>
  </si>
  <si>
    <t>-</t>
  </si>
  <si>
    <t>לא</t>
  </si>
  <si>
    <t>C</t>
  </si>
  <si>
    <t>I</t>
  </si>
  <si>
    <t>A</t>
  </si>
  <si>
    <t>AWS</t>
  </si>
  <si>
    <t>GCP</t>
  </si>
  <si>
    <t>CIS Safeguard</t>
  </si>
  <si>
    <t>Asset Type</t>
  </si>
  <si>
    <t>Security Function</t>
  </si>
  <si>
    <t>Title</t>
  </si>
  <si>
    <t>Description</t>
  </si>
  <si>
    <t>IG1</t>
  </si>
  <si>
    <t>IG2</t>
  </si>
  <si>
    <t>IG3</t>
  </si>
  <si>
    <t>Level</t>
  </si>
  <si>
    <t>Rationale</t>
  </si>
  <si>
    <t>Audit</t>
  </si>
  <si>
    <t>Remediation</t>
  </si>
  <si>
    <t>References</t>
  </si>
  <si>
    <t>Data</t>
  </si>
  <si>
    <t>Establish and Maintain a Data Management Process</t>
  </si>
  <si>
    <t>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</si>
  <si>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x</t>
  </si>
  <si>
    <t>2.1.3 Ensure all data in Amazon S3 has been discovered, classified and secured when required. (Manual)</t>
  </si>
  <si>
    <t>Level 2</t>
  </si>
  <si>
    <t>Amazon S3 buckets can contain sensitive data, that for security purposes should be discovered, monitored, classified and protected. Macie along with other 3rd party tools can automatically provide an inventory of Amazon S3 buckets.</t>
  </si>
  <si>
    <t>Using a Cloud service or 3rd Party software to continuously monitor and automate the process of data discovery and classification for S3 buckets using machine learning and pattern matching is a strong defense in protecting that information.
Amazon Macie is a fully managed data security and data privacy service that uses machine learning and pattern matching to discover and protect your sensitive data in AWS.
Impact:
There is a cost associated with using Amazon Macie. There is also typically a cost associated with 3rd Party tools that perform similar processes and protection.</t>
  </si>
  <si>
    <t>Perform the following steps to determine if Macie is running: From Console: 1. Login to the Macie console at https://console.aws.amazon.com/macie/ 2. In the left hand pane click on By job under findings. 3. Confirm that you have a Job setup for your S3 Buckets
When you log into the Macie console if you aren't taken to the summary page and you don't have a job setup and running then refer to the remediation procedure below. If you are using a 3rd Party tool to manage and protect your s3 data you meet this recommendation.</t>
  </si>
  <si>
    <t>Perform the steps below to enable and configure Amazon Macie From Console:
1. Log on to the Macie console at https://console.aws.amazon.com/macie/
2. Click Get started.
Page 81
3. Click Enable Macie.
Setup a repository for sensitive data discovery results
1. In the Left pane, under Settings, click Discovery results.
2. Make sure Create bucket is selected.
3. Create a bucket, enter a name for the bucket. The name must be unique across all S3 buckets. In addition, the name must start with a lowercase letter or a number.
4. Click on Advanced.
5. Block all public access, make sure Yes is selected.
6. KMS encryption, specify the AWS KMS key that you want to use to encrypt the results. The key must be a symmetric, customer master key (CMK) that's in the same Region as the S3 bucket.
7. Click on Save
Create a job to discover sensitive data
1. In the left pane, click S3 buckets. Macie displays a list of all the S3 buckets for your account.
2. Select the check box for each bucket that you want Macie to analyze as part of the job
3. Click Create job.
4. Click Quick create.
5. For the Name and description step, enter a name and, optionally, a description of the job.
6. Then click Next.
7. For the Review and create step, click Submit.
Review your findings
1. In the left pane, click Findings.
2. To view the details of a specific finding, choose any field other than the check box for the finding.
If you are using a 3rd Party tool to manage and protect your s3 data, follow the Vendor documentation for implementing and configuring that tool.</t>
  </si>
  <si>
    <t>1. https://aws.amazon.com/macie/getting-started/
2. https://docs.aws.amazon.com/workspaces/latest/adminguide/data-protection.html
3. https://docs.aws.amazon.com/macie/latest/user/data-classification.html</t>
  </si>
  <si>
    <t>Establish and Maintain a Data Inventory</t>
  </si>
  <si>
    <t>Establish and maintain a data inventory, based on the enterprise’s data management process. Inventory sensitive data, at a minimum. Review and update inventory annually, at a minimum, with a priority on sensitive data.</t>
  </si>
  <si>
    <t>Configure Data Access Control Lists</t>
  </si>
  <si>
    <t>Configure data access control lists based on a user’s need to know. Apply data access control lists, also known as access permissions, to local and remote file systems, databases, and applications.</t>
  </si>
  <si>
    <t>1.4 Ensure no 'root' user account access key exists (Automated)</t>
  </si>
  <si>
    <t>Level 1</t>
  </si>
  <si>
    <t>The 'root' user account is the most privileged user in an AWS account. AWS Access Keys provide programmatic access to a given AWS account. It is recommended that all access keys associated with the 'root' user account be deleted.</t>
  </si>
  <si>
    <t>Deleting access keys associated with the 'root' user account limits vectors by which the account can be compromised. Additionally, deleting the 'root' access keys encourages the creation and use of role based accounts that are least privileged.</t>
  </si>
  <si>
    <t>Perform the following to determine if the 'root' user account has access keys: From Console:
1. Login to the AWS Management Console.
2. Click Services.
3. Click IAM.
4. Click on Credential Report.
5. This will download a .csv file which contains credential usage for all IAM users within an AWS Account - open this file.
6. For the &lt;root_account&gt; user, ensure the access_key_1_active and access_key_2_active fields are set to FALSE.
From Command Line: Run the following command: aws iam get-account-summary | grep "AccountAccessKeysPresent"
If no 'root' access keys exist the output will show "AccountAccessKeysPresent": 0,. If the output shows a "1", then 'root' keys exist and should be deleted.</t>
  </si>
  <si>
    <t>Perform the following to delete active 'root' user access keys. From Console:
1. Sign in to the AWS Management Console as 'root' and open the IAM console at https://console.aws.amazon.com/iam/.
2. Click on &lt;root_account&gt; at the top right and select My Security Credentials from the drop down list.
3. On the pop out screen Click on Continue to Security Credentials.
4. Click on Access Keys (Access Key ID and Secret Access Key).
5. Under the Status column (if there are any Keys which are active).
6. Click Delete (Note: Deleted keys cannot be recovered).
Note: While a key can be made inactive, this inactive key will still show up in the CLI command from the audit procedure, and may lead to a key being falsely flagged as being non-compliant.</t>
  </si>
  <si>
    <t>1. http://docs.aws.amazon.com/general/latest/gr/aws-access-keys-best-practices.html
2. http://docs.aws.amazon.com/general/latest/gr/managing-aws-access-keys.html
3. http://docs.aws.amazon.com/IAM/latest/APIReference/API_GetAccountSummary.html
4. CCE-78910-7
5. https://aws.amazon.com/blogs/security/an-easier-way-to-determine-the-presence-of-aws-account-access-keys/</t>
  </si>
  <si>
    <t>1.11 Do not setup access keys during initial user setup for all IAM users that have a console password (Manual)</t>
  </si>
  <si>
    <t>AWS console defaults to no check boxes selected when creating a new IAM user. When creating the IAM User credentials you have to determine what type of access they require.
Programmatic access: The IAM user might need to make API calls, use the AWS CLI, or use the Tools for Windows PowerShell. In that case, create an access key (access key ID and a secret access key) for that user.
AWS Management Console access: If the user needs to access the AWS Management Console, create a password for the user.</t>
  </si>
  <si>
    <t>Requiring the additional steps be taken by the user for programmatic access after their profile has been created will give a stronger indication of intent that access keys are [a] necessary for their work and [b] once the access key is established on an account that the keys may be in use somewhere in the organization.
Note: Even if it is known the user will need access keys, require them to create the keys themselves or put in a support ticket to have them created as a separate step from user creation.</t>
  </si>
  <si>
    <t>Perform the following to determine if access keys were created upon user creation and are being used and rotated as prescribed: From Console:
1. Login to the AWS Management Console
2. Click Services
3. Click IAM
4. Click on a User where column Password age and Access key age is not set to None
5. Click on Security credentials Tab
6. Compare the user Creation time to the Access Key Created date.
7. For any that match, the key was created during initial user setup.
• Keys that were created at the same time as the user profile and do not have a last used date should be deleted. Refer to the remediation below.
From Command Line:
1. Run the following command (OSX/Linux/UNIX) to generate a list of all IAM users along with their access keys utilization: aws iam generate-credential-report aws iam get-credential-report --query 'Content' --output text | base64 -d | cut -d, -f1,4,9,11,14,16
2. The output of this command will produce a table similar to the following: user,password_enabled,access_key_1_active,access_key_1_last_used_date,access_key_2_active,access_key_2_last_used_date elise,false,true,2015-04-16T15:14:00+00:00,false,N/A brandon,true,true,N/A,false,N/A rakesh,false,false,N/A,false,N/A helene,false,true,2015-11-18T17:47:00+00:00,false,N/A paras,true,true,2016-08-28T12:04:00+00:00,true,2016-03-04T10:11:00+00:00 anitha,true,true,2016-06-08T11:43:00+00:00,true,N/A
3. For any user having password_enabled set to true AND access_key_last_used_date set to N/A refer to the remediation below.</t>
  </si>
  <si>
    <t>Perform the following to delete access keys that do not pass the audit: From Console:
1. Login to the AWS Management Console:
2. Click Services
3. Click IAM
4. Click on Users
5. Click on Security Credentials
6. As an Administrator
• Click on the X (Delete) for keys that were created at the same time as the user profile but have not been used.
7. As an IAM User
• Click on the X (Delete) for keys that were created at the same time as the user profile but have not been used.
From Command Line: aws iam delete-access-key --access-key-id &lt;access-key-id-listed&gt; --user-name &lt;users-name&gt;</t>
  </si>
  <si>
    <t>1. https://docs.aws.amazon.com/cli/latest/reference/iam/delete-access-key.html
2. https://docs.aws.amazon.com/IAM/latest/UserGuide/id_users_create.html</t>
  </si>
  <si>
    <t>1.16 Ensure IAM policies that allow full "*:*" administrative privileges are not attached (Automated)</t>
  </si>
  <si>
    <t>IAM policies are the means by which privileges are granted to users, groups, or roles. It is recommended and considered a standard security advice to grant least privilege -that is, granting only the permissions required to perform a task. Determine what users need to do and then craft policies for them that let the users perform only those tasks, instead of allowing full administrative privileges.</t>
  </si>
  <si>
    <t>It's more secure to start with a minimum set of permissions and grant additional permissions as necessary, rather than starting with permissions that are too lenient and then trying to tighten them later.
Providing full administrative privileges instead of restricting to the minimum set of permissions that the user is required to do exposes the resources to potentially unwanted actions.
IAM policies that have a statement with "Effect": "Allow" with "Action": "*" over "Resource": "*" should be removed.</t>
  </si>
  <si>
    <t>Perform the following to determine what policies are created: From Command Line:
1. Run the following to get a list of IAM policies: aws iam list-policies --only-attached --output text
2. For each policy returned, run the following command to determine if any policies is allowing full administrative privileges on the account: aws iam get-policy-version --policy-arn &lt;policy_arn&gt; --version-id &lt;version&gt;
3. In output ensure policy should not have any Statement block with "Effect": "Allow" and Action set to "*" and Resource set to "*"</t>
  </si>
  <si>
    <t>From Console: Perform the following to detach the policy that has full administrative privileges:
1. Sign in to the AWS Management Console and open the IAM console at https://console.aws.amazon.com/iam/.
2. In the navigation pane, click Policies and then search for the policy name found in the audit step.
3. Select the policy that needs to be deleted.
4. In the policy action menu, select first Detach
5. Select all Users, Groups, Roles that have this policy attached
6. Click Detach Policy
7. In the policy action menu, select Detach
From Command Line: Perform the following to detach the policy that has full administrative privileges as found in the audit step:
1. Lists all IAM users, groups, and roles that the specified managed policy is attached to. aws iam list-entities-for-policy --policy-arn &lt;policy_arn&gt;
2. Detach the policy from all IAM Users: aws iam detach-user-policy --user-name &lt;iam_user&gt; --policy-arn &lt;policy_arn&gt;
3. Detach the policy from all IAM Groups: aws iam detach-group-policy --group-name &lt;iam_group&gt; --policy-arn &lt;policy_arn&gt;
4. Detach the policy from all IAM Roles: aws iam detach-role-policy --role-name &lt;iam_role&gt; --policy-arn &lt;policy_arn&gt;</t>
  </si>
  <si>
    <t>1. https://docs.aws.amazon.com/IAM/latest/UserGuide/best-practices.html
2. https://docs.aws.amazon.com/IAM/latest/UserGuide/access_policies_managed-vs-inline.html
3. CCE-78912-3
4. https://docs.aws.amazon.com/cli/latest/reference/iam/index.html#cli-aws-iam</t>
  </si>
  <si>
    <t>1.20 Ensure that IAM Access analyzer is enabled for all regions (Automated)</t>
  </si>
  <si>
    <t>Enable IAM Access analyzer for IAM policies about all resources in each active AWS region.
IAM Access Analyzer is a technology introduced at AWS reinvent 2019. After the Analyzer is enabled in IAM, scan results are displayed on the console showing the accessible resources. Scans show resources that other accounts and federated users can access, such as KMS keys and IAM roles. So the results allow you to determine if an unintended user is allowed, making it easier for administrators to monitor least privileges access. Access Analyzer analyzes only policies that are applied to resources in the same AWS Region.</t>
  </si>
  <si>
    <t>AWS IAM Access Analyzer helps you identify the resources in your organization and accounts, such as Amazon S3 buckets or IAM roles, that are shared with an external entity. This lets you identify unintended access to your resources and data. Access Analyzer identifies resources that are shared with external principals by using logic-based reasoning to analyze the resource-based policies in your AWS environment. IAM Access Analyzer continuously monitors all policies for S3 bucket, IAM roles, KMS (Key Management Service) keys, AWS Lambda functions, and Amazon SQS(Simple Queue Service) queues.</t>
  </si>
  <si>
    <t>From Console:
1. Open the IAM console at https://console.aws.amazon.com/iam/
2. Choose Access analyzer
3. Click 'Analyzers'
4. Ensure that at least one analyzer is present
5. Ensure that the STATUS is set to Active
6. Repeat these step for each active region
From Command Line:
1. Run the following command:
aws accessanalyzer list-analyzers | grep status
2. Ensure that at least one Analyzer the status is set to ACTIVE
3. Repeat the steps above for each active region.
If an Access analyzer is not listed for each region or the status is not set to active refer to the remediation procedure below.</t>
  </si>
  <si>
    <t>From Console: Perform the following to enable IAM Access analyzer for IAM policies:
1. Open the IAM console at https://console.aws.amazon.com/iam/.
2. Choose Access analyzer.
3. Choose Create analyzer.
4. On the Create analyzer page, confirm that the Region displayed is the Region where you want to enable Access Analyzer.
5. Enter a name for the analyzer. Optional as it will generate a name for you automatically.
6. Add any tags that you want to apply to the analyzer. Optional.
7. Choose Create Analyzer.
8. Repeat these step for each active region
From Command Line: Run the following command: aws accessanalyzer create-analyzer --analyzer-name &lt;NAME&gt; --type &lt;ACCOUNT|ORGANIZATION&gt;
Repeat this command above for each active region. Note: The IAM Access Analyzer is successfully configured only when the account you use has the necessary permissions.</t>
  </si>
  <si>
    <t>1. https://docs.aws.amazon.com/IAM/latest/UserGuide/what-is-access-analyzer.html
2. https://docs.aws.amazon.com/IAM/latest/UserGuide/access-analyzer-getting-started.html
3. https://docs.aws.amazon.com/cli/latest/reference/accessanalyzer/get-analyzer.html
4. https://docs.aws.amazon.com/cli/latest/reference/accessanalyzer/create-analyzer.html</t>
  </si>
  <si>
    <t>2.1.2 Ensure MFA Delete is enabled on S3 buckets (Manual)</t>
  </si>
  <si>
    <t>Once MFA Delete is enabled on your sensitive and classified S3 bucket it requires the user to have two forms of authentication.</t>
  </si>
  <si>
    <t>Adding MFA delete to an S3 bucket, requires additional authentication when you change the version state of your bucket or you delete and object version adding another layer of security in the event your security credentials are compromised or unauthorized access is granted.</t>
  </si>
  <si>
    <t>Enabling MFA delete on an S3 bucket could required additional administrator oversight. Enabling MFA delete may impact other services that automate the creation and/or deletion of S3 buckets.</t>
  </si>
  <si>
    <t>Perform the steps below to confirm MFA delete is configured on an S3 Bucket From Console:
1. Login to the S3 console at https://console.aws.amazon.com/s3/
2. Click the Check box next to the Bucket name you want to confirm
3. In the window under Properties
4. Confirm that Versioning is Enabled
5. Confirm that MFA Delete is Enabled
From Command Line:
1. Run the get-bucket-versioning aws s3api get-bucket-versioning --bucket my-bucket
Output example: &lt;VersioningConfiguration xmlns="http://s3.amazonaws.com/doc/2006-03-01/"&gt; &lt;Status&gt;Enabled&lt;/Status&gt; &lt;MfaDelete&gt;Enabled&lt;/MfaDelete&gt; &lt;/VersioningConfiguration&gt;
If the Console or the CLI output does not show Versioning and MFA Delete enabled refer to the remediation below.</t>
  </si>
  <si>
    <t>1. https://docs.aws.amazon.com/AmazonS3/latest/dev/Versioning.html#MultiFactorAuthenticationDelete
2. https://docs.aws.amazon.com/AmazonS3/latest/dev/UsingMFADelete.html
3. https://aws.amazon.com/blogs/security/securing-access-to-aws-using-mfa-part-3/
4. https://docs.aws.amazon.com/IAM/latest/UserGuide/id_credentials_mfa_lost-or-broken.html</t>
  </si>
  <si>
    <t>2.1.4 Ensure that S3 Buckets are configured with 'Block public access (bucket settings)' (Automated)</t>
  </si>
  <si>
    <t>Amazon S3 provides Block public access (bucket settings) and Block public access (account settings) to help you manage public access to Amazon S3 resources. By default, S3 buckets and objects are created with public access disabled. However, an IAM principal with sufficient S3 permissions can enable public access at the bucket and/or object level. While enabled, Block public access (bucket settings) prevents an individual bucket, and its contained objects, from becoming publicly accessible. Similarly, Block public access (account settings) prevents all buckets, and contained objects, from becoming publicly accessible across the entire account.</t>
  </si>
  <si>
    <t>Amazon S3 Block public access (bucket settings) prevents the accidental or malicious public exposure of data contained within the respective bucket(s).
Amazon S3 Block public access (account settings) prevents the accidental or malicious public exposure of data contained within all buckets of the respective AWS account.
Whether blocking public access to all or some buckets is an organizational decision that should be based on data sensitivity, least privilege, and use case.
Impact:
When you apply Block Public Access settings to an account, the settings apply to all AWS Regions globally. The settings might not take effect in all Regions immediately or simultaneously, but they eventually propagate to all Regions.</t>
  </si>
  <si>
    <t>If utilizing Block Public Access (bucket settings) From Console:
1. Login to AWS Management Console and open the Amazon S3 console using https://console.aws.amazon.com/s3/
2. Select the Check box next to the Bucket.
3. Click on 'Edit public access settings'.
4. Ensure that block public access settings are set appropriately for this bucket
5. Repeat for all the buckets in your AWS account.
From Command Line:
1. List all of the S3 Buckets aws s3 ls
2. Find the public access setting on that bucket aws s3api get-public-access-block --bucket &lt;name-of-the-bucket&gt;
Output if Block Public access is enabled: { "PublicAccessBlockConfiguration": { "BlockPublicAcls": true, "IgnorePublicAcls": true, "BlockPublicPolicy": true, "RestrictPublicBuckets": true } }
If the output reads false for the separate configuration settings then proceed to the remediation. If utilizing Block Public Access (account settings) From Console:
1. Login to AWS Management Console and open the Amazon S3 console using https://console.aws.amazon.com/s3/
2. Choose Block public access (account settings)
3. Ensure that block public access settings are set appropriately for your AWS account.
From Command Line: To check Public access settings for this account status, run the following command, aws s3control get-public-access-block --account-id &lt;ACCT_ID&gt; --region &lt;REGION_NAME&gt; Output if Block Public access is enabled: { "PublicAccessBlockConfiguration": { "IgnorePublicAcls": true, "BlockPublicPolicy": true, "BlockPublicAcls": true, "RestrictPublicBuckets": true } }
If the output reads false for the separate configuration settings then proceed to the remediation.</t>
  </si>
  <si>
    <t>If utilizing Block Public Access (bucket settings) From Console:
1. Login to AWS Management Console and open the Amazon S3 console using https://console.aws.amazon.com/s3/
2. Select the Check box next to the Bucket.
3. Click on 'Edit public access settings'.
4. Click 'Block all public access'
5. Repeat for all the buckets in your AWS account that contain sensitive data.
From Command Line:
1. List all of the S3 Buckets aws s3 ls
2. Set the Block Public Access to true on that bucket aws s3api put-public-access-block --bucket &lt;name-of-bucket&gt; --public-access-block-configuration "BlockPublicAcls=true,IgnorePublicAcls=true,BlockPublicPolicy=true,RestrictPublicBuckets=true"
If utilizing Block Public Access (account settings) From Console: If the output reads true for the separate configuration settings then it is set on the account.
1. Login to AWS Management Console and open the Amazon S3 console using https://console.aws.amazon.com/s3/
2. Choose Block Public Access (account settings)
3. Choose Edit to change the block public access settings for all the buckets in your AWS account
4. Choose the settings you want to change, and then choose Save. For details about each setting, pause on the i icons.
5. When you're asked for confirmation, enter confirm. Then Click Confirm to save your changes.
From Command Line: To set Block Public access settings for this account, run the following command: aws s3control put-public-access-block --public-access-block-configuration BlockPublicAcls=true, IgnorePublicAcls=true, BlockPublicPolicy=true, RestrictPublicBuckets=true --account-id &lt;value&gt;</t>
  </si>
  <si>
    <t>1. https://docs.aws.amazon.com/AmazonS3/latest/user-guide/block-public-access-account.html</t>
  </si>
  <si>
    <t>2.3.3 Ensure that public access is not given to RDS Instance (Automated)</t>
  </si>
  <si>
    <t>Ensure and verify that RDS database instances provisioned in your AWS account do restrict unauthorized access in order to minimize security risks. To restrict access to any publicly accessible RDS database instance, you must disable the database Publicly Accessible flag and update the VPC security group associated with the instance.</t>
  </si>
  <si>
    <t>Ensure that no public-facing RDS database instances are provisioned in your AWS account and restrict unauthorized access in order to minimize security risks. When the RDS instance allows unrestricted access (0.0.0.0/0), everyone and everything on the Internet can establish a connection to your database and this can increase the opportunity for malicious activities such as brute force attacks, PostgreSQL injections, or DoS/DDoS attacks.</t>
  </si>
  <si>
    <t>1. Log in to the AWS management console and navigate to the RDS dashboard at https://console.aws.amazon.com/rds/.
2. Under the navigation panel, On RDS Dashboard, click Databases.
3. Select the RDS instance that you want to examine.
4. Click Instance Name from the dashboard, Under `Connectivity and Security.
5. On the Security, check if the Publicly Accessible flag status is set to Yes, follow the below-mentioned steps to check database subnet access.
• In the networking section, click the subnet link available under Subnets
• The link will redirect you to the VPC Subnets page.
• Select the subnet listed on the page and click the Route Table tab from the dashboard bottom panel. If the route table contains any entries with the destination CIDR block set to 0.0.0.0/0 and with an Internet Gateway attached.
• The selected RDS database instance was provisioned inside a public subnet, therefore is not running within a logically isolated environment and can be accessible from the Internet.
6. Repeat steps no. 4 and 5 to determine the type (public or private) and subnet for other RDS database instances provisioned in the current region.
7. Change the AWS region from the navigation bar and repeat the audit process for other regions.
From Command Line:
1. Run describe-db-instances command to list all RDS database names, available in the selected AWS region: aws rds describe-db-instances --region &lt;region-name&gt; --query 'DBInstances[*].DBInstanceIdentifier'
2. The command output should return each database instance identifier.
3. Run again describe-db-instances command using the PubliclyAccessible parameter as query filter to reveal the database instance Publicly Accessible flag status: aws rds describe-db-instances --region &lt;region-name&gt; --db-instance-identifier &lt;db-instance-name&gt; --query 'DBInstances[*].PubliclyAccessible'
4. Check for the Publicly Accessible parameter status, If the Publicly Accessible flag is set to Yes. Then selected RDS database instance is publicly accessible and insecure, follow the below-mentioned steps to check database subnet access
5. Run again describe-db-instances command using the RDS database instance identifier that you want to check and appropriate filtering to describe the VPC subnet(s) associated with the selected instance: aws rds describe-db-instances --region &lt;region-name&gt; --db-instance-identifier &lt;db-name&gt; --query 'DBInstances[*].DBSubnetGroup.Subnets[]'
• The command output should list the subnets available in the selected database subnet group.
6. Run describe-route-tables command using the ID of the subnet returned at the previous step to describe the routes of the VPC route table associated with the selected subnet: aws ec2 describe-route-tables --region &lt;region-name&gt; --filters "Name=association.subnet-id,Values=&lt;SubnetID&gt;" --query 'RouteTables[*].Routes[]'
• If the command returns the route table associated with database instance subnet ID. Check the GatewayId and DestinationCidrBlock attributes values returned in the output. If the route table contains any entries with the GatewayId value set to igw-xxxxxxxx and the DestinationCidrBlock value set to 0.0.0.0/0, the selected RDS database instance was provisioned inside a public subnet.
• Or
• If the command returns empty results, the route table is implicitly associated with subnet, therefore the audit process continues with the next step
7. Run again describe-db-instances command using the RDS database instance identifier that you want to check and appropriate filtering to describe the VPC ID associated with the selected instance: aws rds describe-db-instances --region &lt;region-name&gt; --db-instance-identifier &lt;db-name&gt; --query 'DBInstances[*].DBSubnetGroup.VpcId'
• The command output should show the VPC ID in the selected database subnet group
8. Now run describe-route-tables command using the ID of the VPC returned at the previous step to describe the routes of the VPC main route table implicitly associated with the selected subnet: aws ec2 describe-route-tables --region &lt;region-name&gt; --filters "Name=vpc-id,Values=&lt;VPC-ID&gt;" "Name=association.main,Values=true" --query 'RouteTables[*].Routes[]'
• The command output returns the VPC main route table implicitly associated with database instance subnet ID. Check the GatewayId and DestinationCidrBlock attributes values returned in the output. If the route table contains any entries with the GatewayId value set to igw-xxxxxxxx and the DestinationCidrBlock value set to 0.0.0.0/0, the selected RDS database instance was provisioned inside a public subnet, therefore is not running within a logically isolated environment and does not adhere to AWS security best practices.</t>
  </si>
  <si>
    <t>1. Log in to the AWS management console and navigate to the RDS dashboard at https://console.aws.amazon.com/rds/.
2. Under the navigation panel, On RDS Dashboard, click Databases.
3. Select the RDS instance that you want to update.
4. Click Modify from the dashboard top menu.
5. On the Modify DB Instance panel, under the Connectivity section, click on Additional connectivity configuration and update the value for Publicly Accessible to Not publicly accessible to restrict public access. Follow the below steps to update subnet configurations:
• Select the Connectivity and security tab, and click on the VPC attribute value inside the Networking section.• Select the Details tab from the VPC dashboard bottom panel and click on Route table configuration attribute value.
• On the Route table details page, select the Routes tab from the dashboard bottom panel and click on Edit routes.
• On the Edit routes page, update the Destination of Target which is set to igw-xxxxx and click on Save routes.
6. On the Modify DB Instance panel Click on Continue and In the Scheduling of modifications section, perform one of the following actions based on your requirements:
• Select Apply during the next scheduled maintenance window to apply the changes automatically during the next scheduled maintenance window.
• Select Apply immediately to apply the changes right away. With this option, any pending modifications will be asynchronously applied as soon as possible, regardless of the maintenance window setting for this RDS database instance. Note that any changes available in the pending modifications queue are also applied. If any of the pending modifications require downtime, choosing this option can cause unexpected downtime for the application.
7. Repeat steps 3 to 6 for each RDS instance available in the current region.
8. Change the AWS region from the navigation bar to repeat the process for other regions.
From Command Line:
1. Run describe-db-instances command to list all RDS database names identifiers, available in the selected AWS region: aws rds describe-db-instances --region &lt;region-name&gt; --query 'DBInstances[*].DBInstanceIdentifier'
2. The command output should return each database instance identifier.
3. Run modify-db-instance command to modify the selected RDS instance configuration. Then use the following command to disable the Publicly Accessible flag for the selected RDS instances. This command use the apply-immediately flag. If you want to avoid any downtime --no-apply-immediately flag can be used: aws rds modify-db-instance --region &lt;region-name&gt; --db-instance-identifier &lt;db-name&gt; --no-publicly-accessible --apply-immediately
4. The command output should reveal the PubliclyAccessible configuration under pending values and should get applied at the specified time.
5. Updating the Internet Gateway Destination via AWS CLI is not currently supported To update information about Internet Gateway use the AWS Console Procedure.
6. Repeat steps 1 to 5 for each RDS instance provisioned in the current region.
7. Change the AWS region by using the --region filter to repeat the process for other regions.</t>
  </si>
  <si>
    <t>1. https://docs.aws.amazon.com/AmazonRDS/latest/UserGuide/UsingWithRDS.html
2. https://docs.aws.amazon.com/vpc/latest/userguide/VPC_Scenario2.html
3. https://docs.aws.amazon.com/AmazonRDS/latest/UserGuide/USER_VPC.WorkingWithRDSInstanceinaVPC.html
4. https://aws.amazon.com/rds/faqs/</t>
  </si>
  <si>
    <t>3.3 Ensure the S3 bucket used to store CloudTrail logs is not publicly accessible (Automated)</t>
  </si>
  <si>
    <t>CloudTrail logs a record of every API call made in your AWS account. These logs file are stored in an S3 bucket. It is recommended that the bucket policy or access control list (ACL) applied to the S3 bucket that CloudTrail logs to prevent public access to the CloudTrail logs.</t>
  </si>
  <si>
    <t>Allowing public access to CloudTrail log content may aid an adversary in identifying weaknesses in the affected account's use or configuration.</t>
  </si>
  <si>
    <t>Perform the following to determine if any public access is granted to an S3 bucket via an ACL or S3 bucket policy: From Console:
1. Go to the Amazon CloudTrail console at https://console.aws.amazon.com/cloudtrail/home.
2. In the API activity history pane on the left, click Trails.
3. In the Trails pane, note the bucket names in the S3 bucket column
4. Go to Amazon S3 console at https://console.aws.amazon.com/s3/home.
5. For each bucket noted in step 3, right-click on the bucket and click Properties.
6. In the Properties pane, click the Permissions tab.
7. The tab shows a list of grants, one row per grant, in the bucket ACL. Each row identifies the grantee and the permissions granted.
8. Ensure no rows exists that have the Grantee set to Everyone or the Grantee set to Any Authenticated User.
9. If the Edit bucket policy button is present, click it to review the bucket policy.
10. Ensure the policy does not contain a Statement having an Effect set to Allow and a Principal set to "*" or {"AWS": "*"}, or if it does, ensure that it has a condition in place to restrict access, such as aws:PrincipalOrgID.
From Command Line:
1. Get the name of the S3 bucket that CloudTrail is logging to: aws cloudtrail describe-trails --query 'trailList[*].S3BucketName'
2. Ensure the AllUsers principal is not granted privileges to that &lt;bucket&gt; : aws s3api get-bucket-acl --bucket &lt;s3_bucket_for_cloudtrail&gt; --query 'Grants[?Grantee.URI== `https://acs.amazonaws.com/groups/global/AllUsers` ]'
3. Ensure the AuthenticatedUsers principal is not granted privileges to that &lt;bucket&gt;: aws s3api get-bucket-acl --bucket &lt;s3_bucket_for_cloudtrail&gt; --query 'Grants[?Grantee.URI== `https://acs.amazonaws.com/groups/global/Authenticated Users`]'
4. Get the S3 Bucket Policy aws s3api get-bucket-policy --bucket &lt;s3_bucket_for_cloudtrail&gt;
5. Ensure the policy does not contain a Statement having an Effect set to Allow and a Principal set to "*" or {"AWS": "*"}. Additionally, check to see whether a condition has been added to the bucket policy covering aws:PrincipalOrgID, as having this (in the StringEquals or StringEqualsIgnoreCase) would restrict access to only the named Org ID.
Note: Principal set to "*" or {"AWS": "*"}, without any conditions, allows anonymous access.</t>
  </si>
  <si>
    <t>Perform the following to remove any public access that has been granted to the bucket via an ACL or S3 bucket policy:
1. Go to Amazon S3 console at https://console.aws.amazon.com/s3/home.
2. Right-click on the bucket and click Properties
3. In the Properties pane, click the Permissions tab.
4. The tab shows a list of grants, one row per grant, in the bucket ACL. Each row identifies the grantee and the permissions granted.
5. Select the row that grants permission to Everyone or Any Authenticated User.
6. Uncheck all the permissions granted to Everyone or Any Authenticated User (click x to delete the row).
7. Click Save to save the ACL.
8. If the Edit bucket policy button is present, click it.
9. Remove any Statement having an Effect set to Allow and a Principal set to "*" or {"AWS": "*"}, that doesn't also have a condition to restrict access, such as aws:PrincipalOrgID.
Default Value:
By default, S3 buckets are not publicly accessible.</t>
  </si>
  <si>
    <t>1. CCE-78915-6
2. https://docs.aws.amazon.com/IAM/latest/UserGuide/reference_policies_elements_principal.html</t>
  </si>
  <si>
    <t>4.10 Ensure security group changes are monitored (Manual)</t>
  </si>
  <si>
    <t>Real-time monitoring of API calls can be achieved by directing CloudTrail Logs to CloudWatch Logs, or an external Security information and event management (SIEM) environment, and establishing corresponding metric filters and alarms. Security Groups are a stateful packet filter that controls ingress and egress traffic within a VPC.
It is recommended that a metric filter and alarm be established for detecting changes to Security Groups.</t>
  </si>
  <si>
    <t>Monitoring changes to security group will help ensure that resources and services are not unintentionally exposed.
CloudWatch is an AWS native service that allows you to observe and monitor resources and applications. CloudTrail Logs can also be sent to an external Security information and event management (SIEM) environment for monitoring and alerting.
Impact:
This may require additional 'tuning' to eliminate false positive and filter out expected activity so anomalies are easier to detect.</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</si>
  <si>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AuthorizeSecurityGroupIngress) || ($.eventName = AuthorizeSecurityGroupEgress) || ($.eventName = RevokeSecurityGroupIngress) || ($.eventName = RevokeSecurityGroupEgress) || ($.eventName = CreateSecurityGroup) || ($.eventName = DeleteSecurityGroup) }"
4. Note the &lt;security_group_changes_metric&gt; value associated with the filterPattern found in step 3.
5. Get a list of CloudWatch alarms and filter on the &lt;security_group_changes_metric&gt; captured in step 4. aws cloudwatch describe-alarms --query "MetricAlarms[?MetricName== '&lt;security_group_changes_metric&gt;']"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</si>
  <si>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security groups changes and the &lt;cloudtrail_log_group_name&gt; taken from audit step 1.
aws logs put-metric-filter --log-group-name "&lt;cloudtrail_log_group_name&gt;" --filter-name "&lt;security_group_changes_metric&gt;" --metric-transformations metricName= "&lt;security_group_changes_metric&gt;" ,metricNamespace="CISBenchmark",metricValue=1 --filter-pattern "{ ($.eventName = AuthorizeSecurityGroupIngress) || ($.eventName = AuthorizeSecurityGroupEgress) || ($.eventName = RevokeSecurityGroupIngress) || ($.eventName = RevokeSecurityGroupEgress) || ($.eventName = CreateSecurityGroup) || ($.eventName = DeleteSecurityGroup)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"&lt;security_group_changes_alarm&gt;" --metric-name "&lt;security_group_changes_metric&gt;" --statistic Sum --period 300 --threshold 1 --comparison-operator GreaterThanOrEqualToThreshold --evaluation-periods 1 --namespace "CISBenchmark" --alarm-actions "&lt;sns_topic_arn&gt;"</t>
  </si>
  <si>
    <t>1. CCE-79195-4
2. https://docs.aws.amazon.com/awscloudtrail/latest/userguide/receive-cloudtrail-log-files-from-multiple-regions.html
3. https://docs.aws.amazon.com/awscloudtrail/latest/userguide/cloudwatch-alarms-for-cloudtrail.html
4. https://docs.aws.amazon.com/sns/latest/dg/SubscribeTopic.html</t>
  </si>
  <si>
    <t>5.4 Ensure the default security group of every VPC restricts all traffic (Automated)</t>
  </si>
  <si>
    <t>A VPC comes with a default security group whose initial settings deny all inbound traffic, allow all outbound traffic, and allow all traffic between instances assigned to the security group. If you don't specify a security group when you launch an instance, the instance is automatically assigned to this default security group. Security groups provide stateful filtering of ingress/egress network traffic to AWS resources. It is recommended that the default security group restrict all traffic.
The default VPC in every region should have its default security group updated to comply. Any newly created VPCs will automatically contain a default security group that will need remediation to comply with this recommendation.
NOTE: When implementing this recommendation, VPC flow logging is invaluable in determining the least privilege port access required by systems to work properly because it can log all packet acceptances and rejections occurring under the current security groups. This dramatically reduces the primary barrier to least privilege engineering - discovering the minimum ports required by systems in the environment. Even if the VPC flow logging recommendation in this benchmark is not adopted as a permanent security measure, it should be used during any period of discovery and engineering for least privileged security groups.</t>
  </si>
  <si>
    <t>Configuring all VPC default security groups to restrict all traffic will encourage least privilege security group development and mindful placement of AWS resources into security groups which will in-turn reduce the exposure of those resources.
Impact:
Implementing this recommendation in an existing VPC containing operating resources requires extremely careful migration planning as the default security groups are likely to be enabling many ports that are unknown. Enabling VPC flow logging (of accepts) in an existing environment that is known to be breach free will reveal the current pattern of ports being used for each instance to communicate successfully.</t>
  </si>
  <si>
    <t>Perform the following to determine if the account is configured as prescribed: Security Group State
Page 218
1. Login to the AWS Management Console at https://console.aws.amazon.com/vpc/home
2. Repeat the next steps for all VPCs - including the default VPC in each AWS region:
3. In the left pane, click Security Groups
4. For each default security group, perform the following:
5. Select the default security group
6. Click the Inbound Rules tab
7. Ensure no rule exist
8. Click the Outbound Rules tab
9. Ensure no rules exist
Security Group Members
1. Login to the AWS Management Console at https://console.aws.amazon.com/vpc/home
2. Repeat the next steps for all default groups in all VPCs - including the default VPC in each AWS region:
3. In the left pane, click Security Groups
4. Copy the id of the default security group.
5. Change to the EC2 Management Console at https://console.aws.amazon.com/ec2/v2/home
6. In the filter column type 'Security Group ID : &lt; security group id from #4 &gt;'</t>
  </si>
  <si>
    <t>Security Group Members Perform the following to implement the prescribed state:
1. Identify AWS resources that exist within the default security group
2. Create a set of least privilege security groups for those resources
3. Place the resources in those security groups
4. Remove the resources noted in #1 from the default security group
Security Group State
1. Login to the AWS Management Console at https://console.aws.amazon.com/vpc/home
2. Repeat the next steps for all VPCs - including the default VPC in each AWS region:
3. In the left pane, click Security Groups
4. For each default security group, perform the following:
5. Select the default security group
6. Click the Inbound Rules tab
7. Remove any inbound rules
8. Click the Outbound Rules tab
9. Remove any Outbound rules
Recommended: IAM groups allow you to edit the "name" field. After remediating default groups rules for all VPCs in all regions, edit this field to add text similar to "DO NOT USE. DO NOT ADD RULES"</t>
  </si>
  <si>
    <t>1. CCE-79201-0
2. https://docs.aws.amazon.com/AWSEC2/latest/UserGuide/using-network-security.html
3. https://docs.aws.amazon.com/AWSEC2/latest/UserGuide/ec2-security-groups.html#default-security-group</t>
  </si>
  <si>
    <t>5.5 Ensure routing tables for VPC peering are "least access" (Manual)</t>
  </si>
  <si>
    <t>Once a VPC peering connection is established, routing tables must be updated to establish any connections between the peered VPCs. These routes can be as specific as desired - even peering a VPC to only a single host on the other side of the connection.</t>
  </si>
  <si>
    <t>Being highly selective in peering routing tables is a very effective way of minimizing the impact of breach as resources outside of these routes are inaccessible to the peered VPC.</t>
  </si>
  <si>
    <t>Review routing tables of peered VPCs for whether they route all subnets of each VPC and whether that is necessary to accomplish the intended purposes for peering the VPCs. From Command Line:
1. List all the route tables from a VPC and check if "GatewayId" is pointing to a &lt;peering_connection_id&gt; (e.g. pcx-1a2b3c4d) and if "DestinationCidrBlock" is as specific as desired. aws ec2 describe-route-tables --filter "Name=vpc-id,Values=&lt;vpc_id&gt;" --query "RouteTables[*].{RouteTableId:RouteTableId, VpcId:VpcId, Routes:Routes, AssociatedSubnets:Associations[*].SubnetId}"</t>
  </si>
  <si>
    <t>Remove and add route table entries to ensure that the least number of subnets or hosts as is required to accomplish the purpose for peering are routable. From Command Line:
1. For each &lt;route_table_id&gt; containing routes non compliant with your routing policy (which grants more than desired "least access"), delete the non compliant route: aws ec2 delete-route --route-table-id &lt;route_table_id&gt; --destination-cidr-block &lt;non_compliant_destination_CIDR&gt;
Page 221
2. Create a new compliant route: aws ec2 create-route --route-table-id &lt;route_table_id&gt; --destination-cidr-block &lt;compliant_destination_CIDR&gt; --vpc-peering-connection-id &lt;peering_connection_id&gt;</t>
  </si>
  <si>
    <t>1. https://docs.aws.amazon.com/AmazonVPC/latest/PeeringGuide/peering-configurations-partial-access.html
2. https://docs.aws.amazon.com/cli/latest/reference/ec2/create-vpc-peering-connection.html</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</si>
  <si>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AuthorizeSecurityGroupIngress) || ($.eventName = AuthorizeSecurityGroupEgress) || ($.eventName = RevokeSecurityGroupIngress) || ($.eventName = RevokeSecurityGroupEgress) || ($.eventName = CreateSecurityGroup) || ($.eventName = DeleteSecurityGroup) }"
4. Note the &lt;security_group_changes_metric&gt; value associated with the filterPattern found in step 3.
5. Get a list of CloudWatch alarms and filter on the &lt;security_group_changes_metric&gt; captured in step 4. aws cloudwatch describe-alarms --query "MetricAlarms[?MetricName== '&lt;security_group_changes_metric&gt;']"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</si>
  <si>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security groups changes and the &lt;cloudtrail_log_group_name&gt; taken from audit step 1.
aws logs put-metric-filter --log-group-name "&lt;cloudtrail_log_group_name&gt;" --filter-name "&lt;security_group_changes_metric&gt;" --metric-transformations metricName= "&lt;security_group_changes_metric&gt;" ,metricNamespace="CISBenchmark",metricValue=1 --filter-pattern "{ ($.eventName = AuthorizeSecurityGroupIngress) || ($.eventName = AuthorizeSecurityGroupEgress) || ($.eventName = RevokeSecurityGroupIngress) || ($.eventName = RevokeSecurityGroupEgress) || ($.eventName = CreateSecurityGroup) || ($.eventName = DeleteSecurityGroup)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"&lt;security_group_changes_alarm&gt;" --metric-name "&lt;security_group_changes_metric&gt;"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</si>
  <si>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Enforce Data Retention</t>
  </si>
  <si>
    <t>Retain data according to the enterprise’s data management process. Data retention must include both minimum and maximum timelines.</t>
  </si>
  <si>
    <t>Securely Dispose of Data</t>
  </si>
  <si>
    <t>Securely dispose of data as outlined in the enterprise’s data management process. Ensure the disposal process and method are commensurate with the data sensitivity.</t>
  </si>
  <si>
    <t>Establish and Maintain a Data Classification Scheme</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</si>
  <si>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</si>
  <si>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Document Data Flows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</si>
  <si>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</si>
  <si>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</si>
  <si>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Encrypt data on removable media.</t>
  </si>
  <si>
    <t>Encrypt Sensitive Data in Transit</t>
  </si>
  <si>
    <t>Encrypt sensitive data in transit. Example implementations can include: Transport Layer Security (TLS) and Open Secure Shell (OpenSSH).</t>
  </si>
  <si>
    <t>2.1.1 Ensure S3 Bucket Policy is set to deny HTTP requests (Automated)</t>
  </si>
  <si>
    <t>At the Amazon S3 bucket level, you can configure permissions through a bucket policy making the objects accessible only through HTTPS.</t>
  </si>
  <si>
    <t>By default, Amazon S3 allows both HTTP and HTTPS requests. To achieve only allowing access to Amazon S3 objects through HTTPS you also have to explicitly deny access to HTTP requests. Bucket policies that allow HTTPS requests without explicitly denying HTTP requests will not comply with this recommendation.</t>
  </si>
  <si>
    <t>To allow access to HTTPS you can use a condition that checks for the key "aws:SecureTransport: true". This means that the request is sent through HTTPS but that HTTP can still be used. So to make sure you do not allow HTTP access confirm that there is a bucket policy that explicitly denies access for HTTP requests and that it contains the key "aws:SecureTransport": "false". From Console:
1. Login to AWS Management Console and open the Amazon S3 console using https://console.aws.amazon.com/s3/
2. Select the Check box next to the Bucket.
3. Click on 'Permissions', then Click on Bucket Policy.
4. Ensure that a policy is listed that matches: '{ "Sid": &lt;optional&gt;, "Effect": "Deny", "Principal": "*", "Action": "s3:*", "Resource": "arn:aws:s3:::&lt;bucket_name&gt;/*", "Condition": { "Bool": { "aws:SecureTransport": "false" }'
&lt;optional&gt; and &lt;bucket_name&gt; will be specific to your account
5. Repeat for all the buckets in your AWS account.
From Command Line:
1. List all of the S3 Buckets aws s3 ls
2. Using the list of buckets run this command on each of them: aws s3api get-bucket-policy --bucket &lt;bucket_name&gt; | grep aws:SecureTransport
3. Confirm that aws:SecureTransport is set to false aws:SecureTransport:false
4. Confirm that the policy line has Effect set to Deny 'Effect:Deny'</t>
  </si>
  <si>
    <t>From Console:
1. Login to AWS Management Console and open the Amazon S3 console using https://console.aws.amazon.com/s3/
2. Select the Check box next to the Bucket.
3. Click on 'Permissions'.
4. Click 'Bucket Policy'
5. Add this to the existing policy filling in the required information { "Sid": &lt;optional&gt;", "Effect": "Deny", "Principal": "*", "Action": "s3:*", "Resource": "arn:aws:s3:::&lt;bucket_name&gt;/*", "Condition": { "Bool": { "aws:SecureTransport": "false" } } }
6. Save
7. Repeat for all the buckets in your AWS account that contain sensitive data.
From Console using AWS Policy Generator:
1. Repeat steps 1-4 above.
2. Click on Policy Generator at the bottom of the Bucket Policy Editor
3. Select Policy Type S3 Bucket Policy
4. Add Statements
• Effect = Deny
• Principal = *
• AWS Service = Amazon S3
• Actions = *
• Amazon Resource Name = &lt;ARN of the S3 Bucket&gt;
5. Generate Policy
6. Copy the text and add it to the Bucket Policy.
From Command Line:
1. Export the bucket policy to a json file. aws s3api get-bucket-policy --bucket &lt;bucket_name&gt; --query Policy --output text &gt; policy.json
2. Modify the policy.json file by adding in this statement: { "Sid": &lt;optional&gt;", "Effect": "Deny", "Principal": "*", "Action": "s3:*", "Resource": "arn:aws:s3:::&lt;bucket_name&gt;/*", "Condition": { "Bool": { "aws:SecureTransport": "false" } } }
3. Apply this modified policy back to the S3 bucket: aws s3api put-bucket-policy --bucket &lt;bucket_name&gt; --policy file://policy.json</t>
  </si>
  <si>
    <t>1. https://aws.amazon.com/premiumsupport/knowledge-center/s3-bucket-policy-for-config-rule/
2. https://aws.amazon.com/blogs/security/how-to-use-bucket-policies-and-apply-defense-in-depth-to-help-secure-your-amazon-s3-data/
3. https://awscli.amazonaws.com/v2/documentation/api/latest/reference/s3api/get-bucket-policy.html</t>
  </si>
  <si>
    <t>Encrypt Sensitive Data at Rest</t>
  </si>
  <si>
    <t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</si>
  <si>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2.2.1 Ensure EBS Volume Encryption is Enabled in all Regions (Automated)</t>
  </si>
  <si>
    <t>Elastic Compute Cloud (EC2) supports encryption at rest when using the Elastic Block Store (EBS) service. While disabled by default, forcing encryption at EBS volume creation is supported.</t>
  </si>
  <si>
    <t>Encrypting data at rest reduces the likelihood that it is unintentionally exposed and can nullify the impact of disclosure if the encryption remains unbroken.
Impact:
Losing access or removing the KMS key in use by the EBS volumes will result in no longer being able to access the volumes.</t>
  </si>
  <si>
    <t>From Console:
1. Login to AWS Management Console and open the Amazon EC2 console using https://console.aws.amazon.com/ec2/
2. Under Account attributes, click EBS encryption.
3. Verify Always encrypt new EBS volumes displays Enabled.
4. Review every region in-use.
Note: EBS volume encryption is configured per region. From Command Line:
1. Run aws --region &lt;region&gt; ec2 get-ebs-encryption-by-default
2. Verify that "EbsEncryptionByDefault": true is displayed.
3. Review every region in-use.
Note: EBS volume encryption is configured per region.</t>
  </si>
  <si>
    <t>From Console:
1. Login to AWS Management Console and open the Amazon EC2 console using https://console.aws.amazon.com/ec2/
2. Under Account attributes, click EBS encryption.
3. Click Manage.
4. Click the Enable checkbox.
5. Click Update EBS encryption
6. Repeat for every region requiring the change.
Note: EBS volume encryption is configured per region. From Command Line:
1. Run aws --region &lt;region&gt; ec2 enable-ebs-encryption-by-default
2. Verify that "EbsEncryptionByDefault": true is displayed.
3. Repeat every region requiring the change.
Note: EBS volume encryption is configured per region.
Default EBS volume encryption only applies to newly created EBS volumes. Existing EBS volumes are not converted automatically.</t>
  </si>
  <si>
    <t>References:
1. https://docs.aws.amazon.com/AWSEC2/latest/UserGuide/EBSEncryption.html
2. https://aws.amazon.com/blogs/aws/new-opt-in-to-default-encryption-for-new-ebs-volumes/</t>
  </si>
  <si>
    <t>2.3.1 Ensure that encryption-at-rest is enabled for RDS Instances (Automated)</t>
  </si>
  <si>
    <t>Amazon RDS encrypted DB instances use the industry standard AES-256 encryption algorithm to encrypt your data on the server that hosts your Amazon RDS DB instances. After your data is encrypted, Amazon RDS handles authentication of access and decryption of your data transparently with a minimal impact on performance.</t>
  </si>
  <si>
    <t>Databases are likely to hold sensitive and critical data, it is highly recommended to implement encryption in order to protect your data from unauthorized access or disclosure. With RDS encryption enabled, the data stored on the instance's underlying storage, the automated backups, read replicas, and snapshots, are all encrypted.</t>
  </si>
  <si>
    <t>From Console:
1. Login to the AWS Management Console and open the RDS dashboard at https://console.aws.amazon.com/rds/
2. In the navigation pane, under RDS dashboard, click Databases.
3. Select the RDS Instance that you want to examine
4. Click Instance Name to see details, then click on Configuration tab.
5. Under Configuration Details section, In Storage pane search for the Encryption Enabled Status.
6. If the current status is set to Disabled, Encryption is not enabled for the selected RDS Instance database instance.
7. Repeat steps 3 to 7 to verify encryption status of other RDS Instance in same region.
8. Change region from the top of the navigation bar and repeat audit for other regions.
From Command Line:
1. Run describe-db-instances command to list all RDS Instance database names, available in the selected AWS region, Output will return each Instance database identifier-name.
aws rds describe-db-instances --region &lt;region-name&gt; --query 'DBInstances[*].DBInstanceIdentifier'
2. Run again describe-db-instances command using the RDS Instance identifier returned earlier, to determine if the selected database instance is encrypted, The command output should return the encryption status True Or False. aws rds describe-db-instances --region &lt;region-name&gt; --db-instance-identifier &lt;DB-Name&gt; --query 'DBInstances[*].StorageEncrypted'
3. If the StorageEncrypted parameter value is False, Encryption is not enabled for the selected RDS database instance.
4. Repeat steps 1 to 3 for auditing each RDS Instance and change Region to verify for other regions</t>
  </si>
  <si>
    <t>From Console:
1. Login to the AWS Management Console and open the RDS dashboard at https://console.aws.amazon.com/rds/.
2. In the left navigation panel, click on Databases
3. Select the Database instance that needs to be encrypted.
4. Click on Actions button placed at the top right and select Take Snapshot.
5. On the Take Snapshot page, enter a database name of which you want to take a snapshot in the Snapshot Name field and click on Take Snapshot.
6. Select the newly created snapshot and click on the Action button placed at the top right and select Copy snapshot from the Action menu.
7. On the Make Copy of DB Snapshot page, perform the following:
• In the New DB Snapshot Identifier field, Enter a name for the new snapshot.
• Check Copy Tags, New snapshot must have the same tags as the source snapshot.
• Select Yes from the Enable Encryption dropdown list to enable encryption, You can choose to use the AWS default encryption key or custom key from Master Key dropdown list.
8. Click Copy Snapshot to create an encrypted copy of the selected instance snapshot.
9. Select the new Snapshot Encrypted Copy and click on the Action button placed at the top right and select Restore Snapshot button from the Action menu, This will restore the encrypted snapshot to a new database instance.
10. On the Restore DB Instance page, enter a unique name for the new database instance in the DB Instance Identifier field.
11. Review the instance configuration details and click Restore DB Instance.
12. As the new instance provisioning process is completed can update application configuration to refer to the endpoint of the new Encrypted database instance Once the database endpoint is changed at the application level, can remove the unencrypted instance.
From Command Line:
1. Run describe-db-instances command to list all RDS database names available in the selected AWS region, The command output should return the database instance identifier. aws rds describe-db-instances --region &lt;region-name&gt; --query 'DBInstances[*].DBInstanceIdentifier'
2. Run create-db-snapshot command to create a snapshot for the selected database instance, The command output will return the new snapshot with name DB Snapshot Name. aws rds create-db-snapshot --region &lt;region-name&gt; --db-snapshot-identifier &lt;DB-Snapshot-Name&gt; --db-instance-identifier &lt;DB-Name&gt;
3. Now run list-aliases command to list the KMS keys aliases available in a specified region, The command output should return each key alias currently available. For our RDS encryption activation process, locate the ID of the AWS default KMS key. aws kms list-aliases --region &lt;region-name&gt;
4. Run copy-db-snapshot command using the default KMS key ID for RDS instances returned earlier to create an encrypted copy of the database instance snapshot, The command output will return the encrypted instance snapshot configuration. aws rds copy-db-snapshot --region &lt;region-name&gt; --source-db-snapshot-identifier &lt;DB-Snapshot-Name&gt; --target-db-snapshot-identifier &lt;DB-Snapshot-Name-Encrypted&gt; --copy-tags --kms-key-id &lt;KMS-ID-For-RDS&gt;
5. Run restore-db-instance-from-db-snapshot command to restore the encrypted snapshot created at the previous step to a new database instance, If successful, the command output should return the new encrypted database instance configuration. aws rds restore-db-instance-from-db-snapshot --region &lt;region-name&gt; --db-instance-identifier &lt;DB-Name-Encrypted&gt; --db-snapshot-identifier &lt;DB-Snapshot-Name-Encrypted&gt;
6. Run describe-db-instances command to list all RDS database names, available in the selected AWS region, Output will return database instance identifier name Select encrypted database name that we just created DB-Name-Encrypted. aws rds describe-db-instances --region &lt;region-name&gt; --query 'DBInstances[*].DBInstanceIdentifier'
7. Run again describe-db-instances command using the RDS instance identifier returned earlier, to determine if the selected database instance is encrypted, The command output should return the encryption status True. aws rds describe-db-instances --region &lt;region-name&gt; --db-instance-identifier &lt;DB-Name-Encrypted&gt; --query 'DBInstances[*].StorageEncrypted'</t>
  </si>
  <si>
    <t>1. https://docs.aws.amazon.com/AmazonRDS/latest/UserGuide/Overview.Encryption.html
2. https://aws.amazon.com/blogs/database/selecting-the-right-encryption-options-for-amazon-rds-and-amazon-aurora-database-engines/#:~:text=With%20RDS%2Dencrypted%20resources%2C%20data,transparent%20to%20your%20database%20engine.
3. https://aws.amazon.com/rds/features/security/</t>
  </si>
  <si>
    <t>2.4.1 Ensure that encryption is enabled for EFS file systems (Manual)</t>
  </si>
  <si>
    <t>EFS data should be encrypted at rest using AWS KMS (Key Management Service).</t>
  </si>
  <si>
    <t>Data should be encrypted at rest to reduce the risk of a data breach via direct access to the storage device.</t>
  </si>
  <si>
    <t>From Console:
1. Login to the AWS Management Console and Navigate to `Elastic File System (EFS) dashboard.
2. Select File Systems from the left navigation panel.
3. Each item on the list has a visible Encrypted field that displays data at rest encryption status.
4. Validate that this field reads Encrypted for all EFS file systems in all AWS regions.
From CLI:
1. Run describe-file-systems command using custom query filters to list the identifiers of all AWS EFS file systems currently available within the selected region: aws efs describe-file-systems --region &lt;region&gt; --output table --query 'FileSystems[*].FileSystemId'
2. The command output should return a table with the requested file system IDs.
3. Run describe-file-systems command using the ID of the file system that you want to examine as identifier and the necessary query filters: aws efs describe-file-systems --region &lt;region&gt; --file-system-id &lt;file-system-id from step 2 output&gt; --query 'FileSystems[*].Encrypted'
4. The command output should return the file system encryption status true or false. If the returned value is false, the selected AWS EFS file system is not encrypted and if the returned value is true, the selected AWS EFS file system is encrypted.</t>
  </si>
  <si>
    <t>It is important to note that EFS file system data at rest encryption must be turned on when creating the file system. If an EFS file system has been created without data at rest encryption enabled then you must create another EFS file system with the correct configuration and transfer the data. Steps to create an EFS file system with data encrypted at rest: From Console:
1. Login to the AWS Management Console and Navigate to Elastic File System (EFS) dashboard.
2. Select File Systems from the left navigation panel.
3. Click Create File System button from the dashboard top menu to start the file system setup process.
4. On the Configure file system access configuration page, perform the following actions.
• Choose the right VPC from the VPC dropdown list.
• Within Create mount targets section, select the checkboxes for all of the Availability Zones (AZs) within the selected VPC. These will be your mount targets.
• Click Next step to continue.
5. Perform the following on the Configure optional settings page.
• Create tags to describe your new file system.
• Choose performance mode based on your requirements.
• Check Enable encryption checkbox and choose aws/elasticfilesystem from Select KMS master key dropdown list to enable encryption for the new file system using the default master key provided and managed by AWS KMS.
• Click Next step to continue.
6. Review the file system configuration details on the review and create page and then click Create File System to create your new AWS EFS file system.
7. Copy the data from the old unencrypted EFS file system onto the newly create encrypted file system.
8. Remove the unencrypted file system as soon as your data migration to the newly create encrypted file system is completed.
9. Change the AWS region from the navigation bar and repeat the entire process for other aws regions.
From CLI:
1. Run describe-file-systems command to describe the configuration information available for the selected (unencrypted) file system (see Audit section to identify the right resource):
aws efs describe-file-systems --region &lt;region&gt; --file-system-id &lt;file-system-id from audit section step 2 output&gt;
2. The command output should return the requested configuration information.
3. To provision a new AWS EFS file system, you need to generate a universally unique identifier (UUID) in order to create the token required by the create-file-system command. To create the required token, you can use a randomly generated UUID from "https://www.uuidgenerator.net".
4. Run create-file-system command using the unique token created at the previous step. aws efs create-file-system --region &lt;region&gt; --creation-token &lt;Token (randomly generated UUID from step 3)&gt; --performance-mode generalPurpose --encrypted
5. The command output should return the new file system configuration metadata.
6. Run create-mount-target command using the newly created EFS file system ID returned at the previous step as identifier and the ID of the Availability Zone (AZ) that will represent the mount target: aws efs create-mount-target --region &lt;region&gt; --file-system-id &lt;file-system-id&gt; --subnet-id &lt;subnet-id&gt;
7. The command output should return the new mount target metadata.
8. Now you can mount your file system from an EC2 instance.
9. Copy the data from the old unencrypted EFS file system onto the newly create encrypted file system.
10. Remove the unencrypted file system as soon as your data migration to the newly create encrypted file system is completed. aws efs delete-file-system --region &lt;region&gt; --file-system-id &lt;unencrypted-file-system-id&gt;
11. Change the AWS region by updating the --region and repeat the entire process for other aws regions.
Default Value:
EFS file system data is encrypted at rest by default when creating a file system via the Console. Encryption at rest is not enabled by default when creating a new file system using the AWS CLI, API, and SDKs.</t>
  </si>
  <si>
    <t>1. https://docs.aws.amazon.com/efs/latest/ug/encryption-at-rest.html
2. https://awscli.amazonaws.com/v2/documentation/api/latest/reference/efs/index.html#efs</t>
  </si>
  <si>
    <t>3.7 Ensure CloudTrail logs are encrypted at rest using KMS CMKs (Automated)</t>
  </si>
  <si>
    <t>AWS CloudTrail is a web service that records AWS API calls for an account and makes those logs available to users and resources in accordance with IAM policies. AWS Key Management Service (KMS) is a managed service that helps create and control the encryption keys used to encrypt account data, and uses Hardware Security Modules (HSMs) to protect the security of encryption keys. CloudTrail logs can be configured to leverage server side encryption (SSE) and KMS customer created master keys (CMK) to further protect CloudTrail logs. It is recommended that CloudTrail be configured to use SSE-KMS.</t>
  </si>
  <si>
    <t>Configuring CloudTrail to use SSE-KMS provides additional confidentiality controls on log data as a given user must have S3 read permission on the corresponding log bucket and must be granted decrypt permission by the CMK policy.
Impact:
Customer created keys incur an additional cost. See https://aws.amazon.com/kms/pricing/ for more information.</t>
  </si>
  <si>
    <t>Perform the following to determine if CloudTrail is configured to use SSE-KMS: From Console:
1. Sign in to the AWS Management Console and open the CloudTrail console at https://console.aws.amazon.com/cloudtrail
2. In the left navigation pane, choose Trails .
3. Select a Trail
4. Under the S3 section, ensure Encrypt log files is set to Yes and a KMS key ID is specified in the KSM Key Id field.
From Command Line:
1. Run the following command: aws cloudtrail describe-trails
2. For each trail listed, SSE-KMS is enabled if the trail has a KmsKeyId property defined.</t>
  </si>
  <si>
    <t>Perform the following to configure CloudTrail to use SSE-KMS: From Console:
1. Sign in to the AWS Management Console and open the CloudTrail console at https://console.aws.amazon.com/cloudtrail
2. In the left navigation pane, choose Trails .
3. Click on a Trail
4. Under the S3 section click on the edit button (pencil icon)
5. Click Advanced
6. Select an existing CMK from the KMS key Id drop-down menu
• Note: Ensure the CMK is located in the same region as the S3 bucket
• Note: You will need to apply a KMS Key policy on the selected CMK in order for CloudTrail as a service to encrypt and decrypt log files using the CMK provided. Steps are provided here for editing the selected CMK Key policy
7. Click Save
8. You will see a notification message stating that you need to have decrypt permissions on the specified KMS key to decrypt log files.
9. Click Yes
From Command Line: aws cloudtrail update-trail --name &lt;trail_name&gt; --kms-id &lt;cloudtrail_kms_key&gt; aws kms put-key-policy --key-id &lt;cloudtrail_kms_key&gt; --policy &lt;cloudtrail_kms_key_policy&gt;
Additional Information:
3 statements which need to be added to the CMK policy:
1. Enable Cloudtrail to describe CMK properties
Page 131
&lt;pre class="programlisting" style="font-style: normal;"&gt;{ "Sid": "Allow CloudTrail access", "Effect": "Allow", "Principal": { "Service": "cloudtrail.amazonaws.com" }, "Action": "kms:DescribeKey", "Resource": "*" }
2. Granting encrypt permissions &lt;pre class="programlisting" style="font-style: normal;"&gt;{ "Sid": "Allow CloudTrail to encrypt logs", "Effect": "Allow", "Principal": { "Service": "cloudtrail.amazonaws.com" }, "Action": "kms:GenerateDataKey*", "Resource": "*", "Condition": { "StringLike": { "kms:EncryptionContext:aws:cloudtrail:arn": [ "arn:aws:cloudtrail:*:aws-account-id:trail/*" ] } } }
3. Granting decrypt permissions &lt;pre class="programlisting" style="font-style: normal;"&gt;{ "Sid": "Enable CloudTrail log decrypt permissions", "Effect": "Allow", "Principal": { "AWS": "arn:aws:iam::aws-account-id:user/username" }, "Action": "kms:Decrypt", "Resource": "*", "Condition": { "Null": { "kms:EncryptionContext:aws:cloudtrail:arn": "false" } } }</t>
  </si>
  <si>
    <t>1. https://docs.aws.amazon.com/awscloudtrail/latest/userguide/encrypting-cloudtrail-log-files-with-aws-kms.html
2. https://docs.aws.amazon.com/kms/latest/developerguide/create-keys.html
3. CCE-78919-8</t>
  </si>
  <si>
    <t>3.8 Ensure rotation for customer created symmetric CMKs is enabled (Automated)</t>
  </si>
  <si>
    <t>AWS Key Management Service (KMS) allows customers to rotate the backing key which is key material stored within the KMS which is tied to the key ID of the Customer Created customer master key (CMK). It is the backing key that is used to perform cryptographic operations such as encryption and decryption. Automated key rotation currently retains all prior backing keys so that decryption of encrypted data can take place transparently. It is recommended that CMK key rotation be enabled for symmetric keys. Key rotation can not be enabled for any asymmetric CMK.</t>
  </si>
  <si>
    <t>Rotating encryption keys helps reduce the potential impact of a compromised key as data encrypted with a new key cannot be accessed with a previous key that may have been exposed. Keys should be rotated every year, or upon event that would result in the compromise of that key.
Impact:
Creation, management, and storage of CMKs may require additional time from and administrator.</t>
  </si>
  <si>
    <t>From Console:
1. Sign in to the AWS Management Console and open the IAM console at https://console.aws.amazon.com/iam.
2. In the left navigation pane, choose Customer managed keys
3. Select a customer managed CMK where Key spec = SYMMETRIC_DEFAULT
4. Underneath the General configuration panel open the tab Key rotation
5. Ensure that the checkbox Automatically rotate this KMS key every year. is activated
6. Repeat steps 3 - 5 for all customer managed CMKs where "Key spec = SYMMETRIC_DEFAULT"
From Command Line:
1. Run the following command to get a list of all keys and their associated KeyIds
Page 134
aws kms list-keys
2. For each key, note the KeyId and run the following command describe-key --key-id &lt;kms_key_id&gt;
3. If the response contains "KeySpec = SYMMETRIC_DEFAULT" run the following command aws kms get-key-rotation-status --key-id &lt;kms_key_id&gt;
4. Ensure KeyRotationEnabled is set to true
5. Repeat steps 2 - 4 for all remaining CMKs</t>
  </si>
  <si>
    <t>From Console:
1. Sign in to the AWS Management Console and open the IAM console at https://console.aws.amazon.com/iam.
2. In the left navigation pane, choose Customer managed keys .
3. Select a customer managed CMK where Key spec = SYMMETRIC_DEFAULT
4. Underneath the "General configuration" panel open the tab "Key rotation"
5. Check the "Automatically rotate this KMS key every year." checkbox
From Command Line:
1. Run the following command to enable key rotation: aws kms enable-key-rotation --key-id &lt;kms_key_id&gt;</t>
  </si>
  <si>
    <t>1. https://aws.amazon.com/kms/pricing/
2. https://csrc.nist.gov/publications/detail/sp/800-57-part-1/rev-5/final
3. CCE-78920-6</t>
  </si>
  <si>
    <t>5.6 Ensure that EC2 Metadata Service only allows IMDSv2 (Automated)</t>
  </si>
  <si>
    <t>When enabling the Metadata Service on AWS EC2 instances, users have the option of using either Instance Metadata Service Version 1 (IMDSv1; a request/response method) or Instance Metadata Service Version 2 (IMDSv2; a session-oriented method).</t>
  </si>
  <si>
    <t>Allowing Version 1 of the service may open EC2 instances to Server-Side Request Forgery (SSRF) attacks, so Amazon recommends utilizing Version 2 for better instance security.</t>
  </si>
  <si>
    <t>From Console:
1. Login to AWS Management Console and open the Amazon EC2 console using https://console.aws.amazon.com/ec2/
2. Under the Instances menu, select Instances.
3. For each Instance, select the instance, then choose Actions &gt; Modify instance metadata options.
4. If the Instance metadata service is enabled, verify whether IMDSv2 is set to required.
From Command Line:
1. Use the describe-instances CLI command
2. Ensure for all ec2 instances that the metadata-options.http-tokens setting is set to required.
3. Repeat for all active regions. aws ec2 describe-instances --filters "Name=metadata-options.http-tokens","Values=optional" "Name=metadata-options.state","Values=applied" --query "Reservations[*].Instances[*]."</t>
  </si>
  <si>
    <t>From Console:
1. Login to AWS Management Console and open the Amazon EC2 console using https://console.aws.amazon.com/ec2/
Page 223
2. Under the Instances menu, select Instances.
3. For each Instance, select the instance, then choose Actions &gt; Modify instance metadata options.
4. If the Instance metadata service is enabled, set IMDSv2 to Required.
From Command Line: aws ec2 modify-instance-metadata-options --instance-id &lt;instance_id&gt; --http-tokens required</t>
  </si>
  <si>
    <t>1. https://aws.amazon.com/blogs/security/defense-in-depth-open-firewalls-reverse-proxies-ssrf-vulnerabilities-ec2-instance-metadata-service/
2. https://docs.aws.amazon.com/cli/latest/reference/ec2/describe-instances.html</t>
  </si>
  <si>
    <t>Deploy a Data Loss Prevention Solution</t>
  </si>
  <si>
    <t>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
  </si>
  <si>
    <t>Log Sensitive Data Access</t>
  </si>
  <si>
    <r>
      <t>Log sensitive data access, including modification and disposal.</t>
    </r>
    <r>
      <rPr>
        <sz val="12"/>
        <color rgb="FFFF5630"/>
        <rFont val="Arial"/>
        <family val="2"/>
      </rPr>
      <t xml:space="preserve"> </t>
    </r>
  </si>
  <si>
    <t>3.6 Ensure S3 bucket access logging is enabled on the CloudTrail S3 bucket (Automated)</t>
  </si>
  <si>
    <t>S3 Bucket Access Logging generates a log that contains access records for each request made to your S3 bucket. An access log record contains details about the request, such as the request type, the resources specified in the request worked, and the time and date the request was processed. It is recommended that bucket access logging be enabled on the CloudTrail S3 bucket.</t>
  </si>
  <si>
    <t>By enabling S3 bucket logging on target S3 buckets, it is possible to capture all events which may affect objects within any target buckets. Configuring logs to be placed in a separate bucket allows access to log information which can be useful in security and incident response workflows.</t>
  </si>
  <si>
    <t>Perform the following ensure the CloudTrail S3 bucket has access logging is enabled: From Console:
1. Go to the Amazon CloudTrail console at https://console.aws.amazon.com/cloudtrail/home
2. In the API activity history pane on the left, click Trails
3. In the Trails pane, note the bucket names in the S3 bucket column
4. Sign in to the AWS Management Console and open the S3 console at https://console.aws.amazon.com/s3.
5. Under All Buckets click on a target S3 bucket
6. Click on Properties in the top right of the console
7. Under Bucket: _ &lt;bucket_name&gt; _ click on Logging
8. Ensure Enabled is checked.
From Command Line:
1. Get the name of the S3 bucket that CloudTrail is logging to: aws cloudtrail describe-trails --query 'trailList[*].S3BucketName'
2. Ensure Bucket Logging is enabled:
aws s3api get-bucket-logging --bucket &lt;s3_bucket_for_cloudtrail&gt;
Ensure command does not returns empty output. Sample Output for a bucket with logging enabled: { "LoggingEnabled": { "TargetPrefix": "&lt;Prefix_Test&gt;", "TargetBucket": "&lt;Bucket_name_for_Storing_Logs&gt;"</t>
  </si>
  <si>
    <t>Perform the following to enable S3 bucket logging: From Console:
1. Sign in to the AWS Management Console and open the S3 console at https://console.aws.amazon.com/s3.
2. Under All Buckets click on the target S3 bucket
3. Click on Properties in the top right of the console
4. Under Bucket: &lt;s3_bucket_for_cloudtrail&gt; click on Logging
5. Configure bucket logging
o Click on the Enabled checkbox
o Select Target Bucket from list
o Enter a Target Prefix
6. Click Save.
From Command Line:
1. Get the name of the S3 bucket that CloudTrail is logging to: aws cloudtrail describe-trails --region &lt;region-name&gt; --query trailList[*].S3BucketName
2. Copy and add target bucket name at &lt;Logging_BucketName&gt;, Prefix for logfile at &lt;LogFilePrefix&gt; and optionally add an email address in the following template and save it as &lt;FileName.Json&gt;:
{ "LoggingEnabled": { "TargetBucket": "&lt;Logging_BucketName&gt;", "TargetPrefix": "&lt;LogFilePrefix&gt;", "TargetGrants": [ { "Grantee": { "Type": "AmazonCustomerByEmail", "EmailAddress": "&lt;EmailID&gt;" }, "Permission": "FULL_CONTROL" } ] } }
3. Run the put-bucket-logging command with bucket name and &lt;FileName.Json&gt; as input, for more information refer at put-bucket-logging: aws s3api put-bucket-logging --bucket &lt;BucketName&gt; --bucket-logging-status file://&lt;FileName.Json&gt;
Default Value:
Logging is disabled.</t>
  </si>
  <si>
    <t>References:
1. CCE-78918-0
2. https://docs.aws.amazon.com/AmazonS3/latest/dev/ServerLogs.html</t>
  </si>
  <si>
    <t>Define and Maintain Role-Based Access Control</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</si>
  <si>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</si>
  <si>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Collect Service Provider Logs</t>
  </si>
  <si>
    <t>Collect service provider logs, where supported. Example implementations include collecting authentication and authorization events, data creation and disposal events, and user management events.</t>
  </si>
  <si>
    <t>Establish and Maintain a Data Recovery Process </t>
  </si>
  <si>
    <t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</si>
  <si>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Perform Automated Backups </t>
  </si>
  <si>
    <t>Perform automated backups of in-scope enterprise assets. Run backups weekly, or more frequently, based on the sensitivity of the data.</t>
  </si>
  <si>
    <t>Protect Recovery Data</t>
  </si>
  <si>
    <t>Protect recovery data with equivalent controls to the original data. Reference encryption or data separation, based on requirements.</t>
  </si>
  <si>
    <t>Establish and Maintain an Isolated Instance of Recovery Data </t>
  </si>
  <si>
    <t>Establish and maintain an isolated instance of recovery data. Example implementations include, version controlling backup destinations through offline, cloud, or off-site systems or services.</t>
  </si>
  <si>
    <t>Test Data Recovery</t>
  </si>
  <si>
    <t>Test backup recovery quarterly, or more frequently, for a sampling of in-scope enterprise assets.</t>
  </si>
  <si>
    <t>Monitor Service Providers</t>
  </si>
  <si>
    <t>Monitor service providers consistent with the enterprise’s service provider management policy. Monitoring may include periodic reassessment of service provider compliance, monitoring service provider release notes, and dark web monitoring.</t>
  </si>
  <si>
    <t>Securely Decommission Service Providers</t>
  </si>
  <si>
    <t xml:space="preserve">Securely decommission service providers. Example considerations include user and service account deactivation, termination of data flows, and secure disposal of enterprise data within service provider systems. </t>
  </si>
  <si>
    <t>Inventory and Control of Enterprise Assets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</si>
  <si>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</si>
  <si>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Devices</t>
  </si>
  <si>
    <t>Establish and Maintain Detailed Enterprise Asset Inventory</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</si>
  <si>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</si>
  <si>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3.5 Ensure AWS Config is enabled in all regions (Automated)</t>
  </si>
  <si>
    <t>AWS Config is a web service that performs configuration management of supported AWS resources within your account and delivers log files to you. The recorded information includes the configuration item (AWS resource), relationships between configuration items (AWS resources), any configuration changes between resources. It is recommended AWS Config be enabled in all regions.</t>
  </si>
  <si>
    <t>The AWS configuration item history captured by AWS Config enables security analysis, resource change tracking, and compliance auditing.
Impact:
It is recommended AWS Config be enabled in all regions.</t>
  </si>
  <si>
    <t>Process to evaluate AWS Config configuration per region From Console:
1. Sign in to the AWS Management Console and open the AWS Config console at https://console.aws.amazon.com/config/.
2. On the top right of the console select target Region.
3. If a Config recorder is enabled in this region, you should navigate to the Settings page from the navigation menu on the left hand side. If a Config recorder is not yet enabled in this region then you should select "Get Started".
4. Ensure "Record all resources supported in this region" is checked.
5. Ensure "Include global resources (e.g., AWS IAM resources)" is checked, unless it is enabled in another region (this is only required in one region)
6. Ensure the correct S3 bucket has been defined.
7. Ensure the correct SNS topic has been defined.
8. Repeat steps 2 to 7 for each region.
From Command Line:
1. Run this command to show all AWS Config recorders and their properties: aws configservice describe-configuration-recorders
2. Evaluate the output to ensure that all recorders have a recordingGroup object which includes "allSupported": true. Additionally, ensure that at least one recorder has "includeGlobalResourceTypes": true
Note: There is one more parameter "ResourceTypes" in recordingGroup object. We don't need to check the same as whenever we set "allSupported": true, AWS enforces resource types to be empty ("ResourceTypes":[]) Sample Output: { "ConfigurationRecorders": [ { "recordingGroup": { "allSupported": true, "resourceTypes": [], "includeGlobalResourceTypes": true }, "roleARN": "arn:aws:iam::&lt;AWS_Account_ID&gt;:role/service-role/&lt;config-role-name&gt;", "name": "default" } ] }
3. Run this command to show the status for all AWS Config recorders: aws configservice describe-configuration-recorder-status
4. In the output, find recorders with name key matching the recorders that were evaluated in step 2. Ensure that they include "recording": true and "lastStatus": "SUCCESS"</t>
  </si>
  <si>
    <t>To implement AWS Config configuration: From Console:
1. Select the region you want to focus on in the top right of the console
2. Click Services
3. Click Config
4. If a Config recorder is enabled in this region, you should navigate to the Settings page from the navigation menu on the left hand side. If a Config recorder is not yet enabled in this region then you should select "Get Started".
5. Select "Record all resources supported in this region"
6. Choose to include global resources (IAM resources)
7. Specify an S3 bucket in the same account or in another managed AWS account
8. Create an SNS Topic from the same AWS account or another managed AWS account
From Command Line:
1. Ensure there is an appropriate S3 bucket, SNS topic, and IAM role per the AWS Config Service prerequisites.
2. Run this command to create a new configuration recorder: aws configservice put-configuration-recorder --configuration-recorder name=default,roleARN=arn:aws:iam::012345678912:role/myConfigRole --recording-group allSupported=true,includeGlobalResourceTypes=true
3. Create a delivery channel configuration file locally which specifies the channel attributes, populated from the prerequisites set up previously: { "name": "default", "s3BucketName": "my-config-bucket", "snsTopicARN": "arn:aws:sns:us-east-1:012345678912:my-config-notice", "configSnapshotDeliveryProperties": { "deliveryFrequency": "Twelve_Hours" } }
4. Run this command to create a new delivery channel, referencing the json configuration file made in the previous step: aws configservice put-delivery-channel --delivery-channel file://deliveryChannel.json
5. Start the configuration recorder by running the following command: aws configservice start-configuration-recorder --configuration-recorder-name</t>
  </si>
  <si>
    <t>1. CCE-78917-2
2. https://docs.aws.amazon.com/cli/latest/reference/configservice/describe-configuration-recorder-status.html
3. https://docs.aws.amazon.com/cli/latest/reference/configservice/describe-configuration-recorders.html
4. https://docs.aws.amazon.com/config/latest/developerguide/gs-cli-prereq.html</t>
  </si>
  <si>
    <t>Address Unauthorized Assets</t>
  </si>
  <si>
    <t>Ensure that a process exists to address unauthorized assets on a weekly basis. The enterprise may choose to remove the asset from the network, deny the asset from connecting remotely to the network, or quarantine the asset.</t>
  </si>
  <si>
    <t>Utilize an Active Discovery Tool</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</si>
  <si>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</si>
  <si>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</si>
  <si>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</si>
  <si>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Asset Discovery Tool</t>
  </si>
  <si>
    <t>Use a passive discovery tool to identify assets connected to the enterprise’s network. Review and use scans to update the enterprise’s asset inventory at least weekly, or more frequently.</t>
  </si>
  <si>
    <t>Inventory and Control of Software Assets</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</si>
  <si>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</si>
  <si>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Applications</t>
  </si>
  <si>
    <t>Establish and Maintain a Software Inventory</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</si>
  <si>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</si>
  <si>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 xml:space="preserve">Ensure Authorized Software is Currently Supported </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</si>
  <si>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</si>
  <si>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Address Unauthorized Software</t>
  </si>
  <si>
    <t>Ensure that unauthorized software is either removed from use on enterprise assets or receives a documented exception. Review monthly, or more frequently.</t>
  </si>
  <si>
    <t>Utilize Automated Software Inventory Tools</t>
  </si>
  <si>
    <t xml:space="preserve">Utilize software inventory tools, when possible, throughout the enterprise to automate the discovery and documentation of installed software. </t>
  </si>
  <si>
    <t>Allowlist Authorized Software</t>
  </si>
  <si>
    <t>Use technical controls, such as application allowlisting, to ensure that only authorized software can execute or be accessed. Reassess bi-annually, or more frequently.</t>
  </si>
  <si>
    <t>Allowlist Authorized Libraries</t>
  </si>
  <si>
    <t xml:space="preserve"> Use technical controls to ensure that only authorized software libraries, such as specific .dll, .ocx, .so, etc., files, are allowed to load into a system process. Block unauthorized libraries from loading into a system process. Reassess bi-annually, or more frequently.</t>
  </si>
  <si>
    <t>Allowlist Authorized Scripts</t>
  </si>
  <si>
    <t>Use technical controls, such as digital signatures and version control, to ensure that only authorized scripts, such as specific .ps1, .py, etc., files, are allowed to execute. Block unauthorized scripts from executing. Reassess bi-annually, or more frequently.</t>
  </si>
  <si>
    <t>Data Protection</t>
  </si>
  <si>
    <t>Develop processes and technical controls to identify, classify, securely handle, retain, and dispose of data.</t>
  </si>
  <si>
    <t>Encrypt Data on End-User Devices</t>
  </si>
  <si>
    <r>
      <t>Encrypt data on end-user devices containing sensitive data. Example implementations can include: Windows BitLocker</t>
    </r>
    <r>
      <rPr>
        <vertAlign val="superscript"/>
        <sz val="12"/>
        <color theme="1"/>
        <rFont val="Arial"/>
        <family val="2"/>
      </rPr>
      <t>®</t>
    </r>
    <r>
      <rPr>
        <sz val="12"/>
        <color theme="1"/>
        <rFont val="Arial"/>
        <family val="2"/>
      </rPr>
      <t>, Apple FileVault</t>
    </r>
    <r>
      <rPr>
        <vertAlign val="superscript"/>
        <sz val="12"/>
        <color theme="1"/>
        <rFont val="Arial"/>
        <family val="2"/>
      </rPr>
      <t>®</t>
    </r>
    <r>
      <rPr>
        <sz val="12"/>
        <color theme="1"/>
        <rFont val="Arial"/>
        <family val="2"/>
      </rPr>
      <t>, Linux</t>
    </r>
    <r>
      <rPr>
        <vertAlign val="superscript"/>
        <sz val="12"/>
        <color theme="1"/>
        <rFont val="Arial"/>
        <family val="2"/>
      </rPr>
      <t>®</t>
    </r>
    <r>
      <rPr>
        <sz val="12"/>
        <color theme="1"/>
        <rFont val="Arial"/>
        <family val="2"/>
      </rPr>
      <t xml:space="preserve"> dm-crypt.</t>
    </r>
  </si>
  <si>
    <t>Network</t>
  </si>
  <si>
    <t>Segment Data Processing and Storage Based on Sensitivity</t>
  </si>
  <si>
    <t>Segment data processing and storage based on the sensitivity of the data. Do not process sensitive data on enterprise assets intended for lower sensitivity data.</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</si>
  <si>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</si>
  <si>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</si>
  <si>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Establish and Maintain a Secure Configuration Process</t>
  </si>
  <si>
    <t>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</si>
  <si>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Secure Configuration Process for Network Infrastructure</t>
  </si>
  <si>
    <t>Establish and maintain a secure configuration process for network devices. Review and update documentation annually, or when significant enterprise changes occur that could impact this Safeguard.</t>
  </si>
  <si>
    <t>Users</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</si>
  <si>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</si>
  <si>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</si>
  <si>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r>
      <t>Implement and Manage a Firewall on</t>
    </r>
    <r>
      <rPr>
        <sz val="12"/>
        <color rgb="FFFF5630"/>
        <rFont val="Arial"/>
        <family val="2"/>
      </rPr>
      <t xml:space="preserve"> </t>
    </r>
    <r>
      <rPr>
        <sz val="12"/>
        <color theme="1"/>
        <rFont val="Arial"/>
        <family val="2"/>
      </rPr>
      <t>Servers</t>
    </r>
  </si>
  <si>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</si>
  <si>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</si>
  <si>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</si>
  <si>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</si>
  <si>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</si>
  <si>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Manage Default Accounts on Enterprise Assets and Software</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</si>
  <si>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</si>
  <si>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</si>
  <si>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Uninstall or disable unnecessary services on enterprise assets and software, such as an unused file sharing service, web application module, or service function.</t>
  </si>
  <si>
    <t>Configure Trusted DNS Servers on Enterprise Assets</t>
  </si>
  <si>
    <t xml:space="preserve">Configure trusted DNS servers on enterprise assets. Example implementations include: configuring assets to use enterprise-controlled DNS servers and/or reputable externally accessible DNS servers. </t>
  </si>
  <si>
    <t>Enforce Automatic Device Lockout on Portable End-User Devices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</si>
  <si>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</si>
  <si>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Enforce Remote Wipe Capability on Portable End-User Devices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</si>
  <si>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</si>
  <si>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</si>
  <si>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</si>
  <si>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Account Management</t>
  </si>
  <si>
    <t>Use processes and tools to assign and manage authorization to credentials for user accounts, including administrator accounts, as well as service accounts, to enterprise assets and software.</t>
  </si>
  <si>
    <t>1.8 Ensure IAM password policy requires minimum length of 14 or greater (Automated)</t>
  </si>
  <si>
    <t>Password policies are, in part, used to enforce password complexity requirements. IAM password policies can be used to ensure password are at least a given length. It is recommended that the password policy require a minimum password length 14.</t>
  </si>
  <si>
    <t>Setting a password complexity policy increases account resiliency against brute force login attempts.</t>
  </si>
  <si>
    <t>Perform the following to ensure the password policy is configured as prescribed: From Console:
1. Login to AWS Console (with appropriate permissions to View Identity Access Management Account Settings)
2. Go to IAM Service on the AWS Console
3. Click on Account Settings on the Left Pane
4. Ensure "Minimum password length" is set to 14 or greater.
From Command Line: aws iam get-account-password-policy
Ensure the output of the above command includes "MinimumPasswordLength": 14 (or higher)</t>
  </si>
  <si>
    <t>Perform the following to set the password policy as prescribed: From Console:
1. Login to AWS Console (with appropriate permissions to View Identity Access Management Account Settings)
2. Go to IAM Service on the AWS Console
3. Click on Account Settings on the Left Pane
4. Set "Minimum password length" to 14 or greater.
5. Click "Apply password policy"
From Command Line: aws iam update-account-password-policy --minimum-password-length 14
Note: All commands starting with "aws iam update-account-password-policy" can be combined into a single command.</t>
  </si>
  <si>
    <t>1. CCE-78907-3
2. https://docs.aws.amazon.com/IAM/latest/UserGuide/id_credentials_passwords_account-policy.html
3. https://docs.aws.amazon.com/IAM/latest/UserGuide/best-practices.html#configure-strong-password-policy</t>
  </si>
  <si>
    <t>1.13 Ensure there is only one active access key available for any single IAM user (Automated)</t>
  </si>
  <si>
    <t>Access keys are long-term credentials for an IAM user or the AWS account 'root' user. You can use access keys to sign programmatic requests to the AWS CLI or AWS API (directly or using the AWS SDK)</t>
  </si>
  <si>
    <t>Access keys are long-term credentials for an IAM user or the AWS account 'root' user. You can use access keys to sign programmatic requests to the AWS CLI or AWS API. One of the best ways to protect your account is to not allow users to have multiple access keys.</t>
  </si>
  <si>
    <t>From Console:
1. Sign in to the AWS Management Console and navigate to IAM dashboard at https://console.aws.amazon.com/iam/.
2. In the left navigation panel, choose Users.
3. Click on the IAM user name that you want to examine.
4. On the IAM user configuration page, select Security Credentials tab.
5. Under Access Keys section, in the Status column, check the current status for each access key associated with the IAM user. If the selected IAM user has more than one access key activated then the users access configuration does not adhere to security best practices and the risk of accidental exposures increases.
• Repeat steps no. 3 – 5 for each IAM user in your AWS account.
From Command Line:
1. Run list-users command to list all IAM users within your account: aws iam list-users --query "Users[*].UserName"
The command output should return an array that contains all your IAM user names.
2. Run list-access-keys command using the IAM user name list to return the current status of each access key associated with the selected IAM user:
aws iam list-access-keys --user-name &lt;user-name&gt;
The command output should expose the metadata ("Username", "AccessKeyId", "Status", "CreateDate") for each access key on that user account.
3. Check the Status property value for each key returned to determine each keys current state. If the Status property value for more than one IAM access key is set to Active, the user access configuration does not adhere to this recommendation, refer to the remediation below.
• Repeat steps no. 2 and 3 for each IAM user in your AWS account.</t>
  </si>
  <si>
    <t>From Console:
1. Sign in to the AWS Management Console and navigate to IAM dashboard at https://console.aws.amazon.com/iam/.
2. In the left navigation panel, choose Users.
3. Click on the IAM user name that you want to examine.
4. On the IAM user configuration page, select Security Credentials tab.
5. In Access Keys section, choose one access key that is less than 90 days old. This should be the only active key used by this IAM user to access AWS resources programmatically. Test your application(s) to make sure that the chosen access key is working.
6. In the same Access Keys section, identify your non-operational access keys (other than the chosen one) and deactivate it by clicking the Make Inactive link.
7. If you receive the Change Key Status confirmation box, click Deactivate to switch off the selected key.
8. Repeat steps no. 3 – 7 for each IAM user in your AWS account.
From Command Line:
1. Using the IAM user and access key information provided in the Audit CLI, choose one access key that is less than 90 days old. This should be the only active key used by this IAM user to access AWS resources programmatically. Test your application(s) to make sure that the chosen access key is working.
2. Run the update-access-key command below using the IAM user name and the non-operational access key IDs to deactivate the unnecessary key(s). Refer to the Audit section to identify the unnecessary access key ID for the selected IAM user
Note - the command does not return any output: aws iam update-access-key --access-key-id &lt;access-key-id&gt; --status Inactive --user-name &lt;user-name&gt;
3. To confirm that the selected access key pair has been successfully deactivated run the list-access-keys audit command again for that IAM User: aws iam list-access-keys --user-name &lt;user-name&gt;
• The command output should expose the metadata for each access key associated with the IAM user. If the non-operational key pair(s) Status is set to Inactive, the key has been successfully deactivated and the IAM user access configuration adheres now to this recommendation.
4. Repeat steps no. 1 – 3 for each IAM user in your AWS account.</t>
  </si>
  <si>
    <t>1. https://docs.aws.amazon.com/general/latest/gr/aws-access-keys-best-practices.html
2. https://docs.aws.amazon.com/IAM/latest/UserGuide/id_credentials_access-keys.html</t>
  </si>
  <si>
    <t>1.14 Ensure access keys are rotated every 90 days or less (Automated)</t>
  </si>
  <si>
    <t>Access keys consist of an access key ID and secret access key, which are used to sign programmatic requests that you make to AWS. AWS users need their own access keys to make programmatic calls to AWS from the AWS Command Line Interface (AWS CLI), Tools for Windows PowerShell, the AWS SDKs, or direct HTTP calls using the APIs for individual AWS services. It is recommended that all access keys be regularly rotated.</t>
  </si>
  <si>
    <t>Rotating access keys will reduce the window of opportunity for an access key that is associated with a compromised or terminated account to be used.
Access keys should be rotated to ensure that data cannot be accessed with an old key which might have been lost, cracked, or stolen.</t>
  </si>
  <si>
    <t>Perform the following to determine if access keys are rotated as prescribed: From Console:
1. Go to Management Console (https://console.aws.amazon.com/iam)
2. Click on Users
3. Click setting icon
4. Select Console last sign-in
5. Click Close
6. Ensure that Access key age is less than 90 days ago. note) None in the Access key age means the user has not used the access key.
From Command Line: aws iam generate-credential-report aws iam get-credential-report --query 'Content' --output text | base64 -d
The access_key_1_last_rotated and the access_key_2_last_rotated fields in this file notes The date and time, in ISO 8601 date-time format, when the user's access key was created or last changed. If the user does not have an active access key, the value in this field is N/A (not applicable).</t>
  </si>
  <si>
    <t>Perform the following to rotate access keys: From Console:
1. Go to Management Console (https://console.aws.amazon.com/iam)
2. Click on Users
3. Click on Security Credentials
4. As an Administrator
o Click on Make Inactive for keys that have not been rotated in 90 Days
5. As an IAM User
o Click on Make Inactive or Delete for keys which have not been rotated or used in 90 Days
6. Click on Create Access Key
7. Update programmatic call with new Access Key credentials
From Command Line:
1. While the first access key is still active, create a second access key, which is active by default. Run the following command: aws iam create-access-key
At this point, the user has two active access keys.
2. Update all applications and tools to use the new access key.
3. Determine whether the first access key is still in use by using this command: aws iam get-access-key-last-used
4. One approach is to wait several days and then check the old access key for any use before proceeding.
Even if step Step 3 indicates no use of the old key, it is recommended that you do not immediately delete the first access key. Instead, change the state of the first access key to Inactive using this command: aws iam update-access-key
5. Use only the new access key to confirm that your applications are working. Any applications and tools that still use the original access key will stop working at this point because they no longer have access to AWS resources. If you find such an application or tool, you can switch its state back to Active to reenable the first access key. Then return to step Step 2 and update this application to use the new key.
6. After you wait some period of time to ensure that all applications and tools have been updated, you can delete the first access key with this command: aws iam delete-access-key</t>
  </si>
  <si>
    <t>1. CCE-78902-4
2. https://docs.aws.amazon.com/IAM/latest/UserGuide/best-practices.html#rotate-credentials
3. https://docs.aws.amazon.com/IAM/latest/UserGuide/id_credentials_finding-unused.html
4. https://docs.aws.amazon.com/general/latest/gr/managing-aws-access-keys.html
5. https://docs.aws.amazon.com/IAM/latest/UserGuide/id_credentials_access-keys.html</t>
  </si>
  <si>
    <t>1.22 Ensure access to AWSCloudShellFullAccess is restricted (Manual)</t>
  </si>
  <si>
    <t>AWS CloudShell is a convenient way of running CLI commands against AWS services; a managed IAM policy ('AWSCloudShellFullAccess') provides full access to CloudShell, which allows file upload and download capability between a user's local system and the CloudShell environment. Within the CloudShell environment a user has sudo permissions, and can access the internet. So it is feasible to install file transfer software (for example) and move data from CloudShell to external internet servers.</t>
  </si>
  <si>
    <t>Access to this policy should be restricted as it presents a potential channel for data exfiltration by malicious cloud admins that are given full permissions to the service. AWS documentation describes how to create a more restrictive IAM policy which denies file transfer permissions.</t>
  </si>
  <si>
    <t>From Console
1. Open the IAM console at https://console.aws.amazon.com/iam/
2. In the left pane, select Policies
3. Search for and select AWSCloudShellFullAccess
4. On the Entities attached tab, ensure that there are no entities using this policy
From Command Line
1. List IAM policies, filter for the 'AWSCloudShellFullAccess' managed policy, and note the "Arn" element value: aws iam list-policies --query "Policies[?PolicyName == 'AWSCloudShellFullAccess']"
2. Check if the 'AWSCloudShellFullAccess' policy is attached to any role: aws iam list-entities-for-policy --policy-arn arn:aws:iam::aws:policy/AWSCloudShellFullAccess
3. In Output, Ensure PolicyRoles returns empty. 'Example: Example: PolicyRoles: [ ]'
If it does not return empty refer to the remediation below. Note: Keep in mind that other policies may grant access.</t>
  </si>
  <si>
    <t>From Console
1. Open the IAM console at https://console.aws.amazon.com/iam/
2. In the left pane, select Policies
3. Search for and select AWSCloudShellFullAccess
4. On the Entities attached tab, for each item, check the box and select Detach</t>
  </si>
  <si>
    <t>References:
1. https://docs.aws.amazon.com/cloudshell/latest/userguide/sec-auth-with-identities.html</t>
  </si>
  <si>
    <t>Establish and Maintain an Inventory of Accounts</t>
  </si>
  <si>
    <t>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
  </si>
  <si>
    <t>Use Unique Passwords</t>
  </si>
  <si>
    <t xml:space="preserve">Use unique passwords for all enterprise assets. Best practice implementation includes, at a minimum, an 8-character password for accounts using MFA and a 14-character password for accounts not using MFA. </t>
  </si>
  <si>
    <t>1.9 Ensure IAM password policy prevents password reuse (Automated)</t>
  </si>
  <si>
    <t>IAM password policies can prevent the reuse of a given password by the same user. It is recommended that the password policy prevent the reuse of passwords.</t>
  </si>
  <si>
    <t>Preventing password reuse increases account resiliency against brute force login attempts.</t>
  </si>
  <si>
    <t>Perform the following to ensure the password policy is configured as prescribed: From Console:
1. Login to AWS Console (with appropriate permissions to View Identity Access Management Account Settings)
2. Go to IAM Service on the AWS Console
3. Click on Account Settings on the Left Pane
4. Ensure "Prevent password reuse" is checked
5. Ensure "Number of passwords to remember" is set to 24
From Command Line: aws iam get-account-password-policy
Ensure the output of the above command includes "PasswordReusePrevention": 24</t>
  </si>
  <si>
    <t>Perform the following to set the password policy as prescribed: From Console:
1. Login to AWS Console (with appropriate permissions to View Identity Access Management Account Settings)
2. Go to IAM Service on the AWS Console
3. Click on Account Settings on the Left Pane
4. Check "Prevent password reuse"
5. Set "Number of passwords to remember" is set to 24
From Command Line: aws iam update-account-password-policy --password-reuse-prevention 24
Note: All commands starting with "aws iam update-account-password-policy" can be combined into a single command.</t>
  </si>
  <si>
    <t>1. CCE-78908-1
2. https://docs.aws.amazon.com/IAM/latest/UserGuide/id_credentials_passwords_account-policy.html
3. https://docs.aws.amazon.com/IAM/latest/UserGuide/best-practices.html#configure-strong-password-policy</t>
  </si>
  <si>
    <t>Disable Dormant Accounts</t>
  </si>
  <si>
    <t>Delete or disable any dormant accounts after a period of 45 days of inactivity, where supported.</t>
  </si>
  <si>
    <t>1.12 Ensure credentials unused for 45 days or greater are disabled (Automated)</t>
  </si>
  <si>
    <t>AWS IAM users can access AWS resources using different types of credentials, such as passwords or access keys. It is recommended that all credentials that have been unused in 45 or greater days be deactivated or removed.</t>
  </si>
  <si>
    <t>Disabling or removing unnecessary credentials will reduce the window of opportunity for credentials associated with a compromised or abandoned account to be used.</t>
  </si>
  <si>
    <t>Perform the following to determine if unused credentials exist: From Console:
1. Login to the AWS Management Console
2. Click Services
3. Click IAM
4. Click on Users
5. Click the Settings (gear) icon.
6. Select Console last sign-in, Access key last used, and Access Key Id
7. Click on Close
8. Check and ensure that Console last sign-in is less than 45 days ago.
Note - Never means the user has never logged in.
9. Check and ensure that Access key age is less than 45 days and that Access key last used does not say None
If the user hasn't signed into the Console in the last 45 days or Access keys are over 45 days old refer to the remediation.
From Command Line: Download Credential Report:
1. Run the following commands: aws iam generate-credential-report aws iam get-credential-report --query 'Content' --output text | base64 -d | cut -d, -f1,4,5,6,9,10,11,14,15,16 | grep -v '^&lt;root_account&gt;'
Ensure unused credentials do not exist:
2. For each user having password_enabled set to TRUE , ensure password_last_used_date is less than 45 days ago.
• When password_enabled is set to TRUE and password_last_used is set to No_Information , ensure password_last_changed is less than 45 days ago.
3. For each user having an access_key_1_active or access_key_2_active to TRUE , ensure the corresponding access_key_n_last_used_date is less than 45 days ago.
• When a user having an access_key_x_active (where x is 1 or 2) to TRUE and corresponding access_key_x_last_used_date is set to N/A', ensure access_key_x_last_rotated` is less than 45 days ago.</t>
  </si>
  <si>
    <t>From Console: Perform the following to manage Unused Password (IAM user console access)
1. Login to the AWS Management Console:
2. Click Services
3. Click IAM
4. Click on Users
5. Click on Security Credentials
6. Select user whose Console last sign-in is greater than 45 days
7. Click Security credentials
8. In section Sign-in credentials, Console password click Manage
9. Under Console Access select Disable 10.Click Apply
Perform the following to deactivate Access Keys:
1. Login to the AWS Management Console:
2. Click Services
3. Click IAM
4. Click on Users
5. Click on Security Credentials
6. Select any access keys that are over 45 days old and that have been used and
• Click on Make Inactive
7. Select any access keys that are over 45 days old and that have not been used and
• Click the X to Delete</t>
  </si>
  <si>
    <t>1. CCE-78900-8
2. https://docs.aws.amazon.com/IAM/latest/UserGuide/best-practices.html#remove-credentials
3. https://docs.aws.amazon.com/IAM/latest/UserGuide/id_credentials_finding-unused.html
4. https://docs.aws.amazon.com/IAM/latest/UserGuide/id_credentials_passwords_admin-change-user.html
5. https://docs.aws.amazon.com/IAM/latest/UserGuide/id_credentials_access-keys.html</t>
  </si>
  <si>
    <t>Restrict Administrator Privileges to Dedicated Administrator Accounts</t>
  </si>
  <si>
    <t>Restrict administrator privileges to dedicated administrator accounts on enterprise assets. Conduct general computing activities, such as internet browsing, email, and productivity suite use, from the user’s primary, non-privileged account.</t>
  </si>
  <si>
    <t>1.7 Eliminate use of the 'root' user for administrative and daily tasks (Manual)</t>
  </si>
  <si>
    <t>With the creation of an AWS account, a 'root user' is created that cannot be disabled or deleted. That user has unrestricted access to and control over all resources in the AWS account. It is highly recommended that the use of this account be avoided for everyday tasks.</t>
  </si>
  <si>
    <t>The 'root user' has unrestricted access to and control over all account resources. Use of it is inconsistent with the principles of least privilege and separation of duties, and can lead to unnecessary harm due to error or account compromise.</t>
  </si>
  <si>
    <t>From Console:
1. Login to the AWS Management Console at https://console.aws.amazon.com/iam/
2. In the left pane, click Credential Report
3. Click on Download Report
4. Open of Save the file locally
5. Locate the &lt;root account&gt; under the user column
6. Review password_last_used, access_key_1_last_used_date, access_key_2_last_used_date to determine when the 'root user' was last used.
From Command Line: Run the following CLI commands to provide a credential report for determining the last time the 'root user' was used: aws iam generate-credential-report aws iam get-credential-report --query 'Content' --output text | base64 -d | cut -d, -f1,5,11,16 | grep -B1 '&lt;root_account&gt;'
Review password_last_used, access_key_1_last_used_date, access_key_2_last_used_date to determine when the root user was last used. Note: There are a few conditions under which the use of the 'root' user account is required. Please see the reference links for all of the tasks that require use of the 'root' user.</t>
  </si>
  <si>
    <t>If you find that the 'root' user account is being used for daily activity to include administrative tasks that do not require the 'root' user:
1. Change the 'root' user password.
2. Deactivate or delete any access keys associate with the 'root' user.
**Remember, anyone who has 'root' user credentials for your AWS account has unrestricted access to and control of all the resources in your account, including billing information.</t>
  </si>
  <si>
    <t>1. https://docs.aws.amazon.com/IAM/latest/UserGuide/best-practices.html
2. https://docs.aws.amazon.com/IAM/latest/UserGuide/id_root-user.html
3. https://docs.aws.amazon.com/general/latest/gr/aws_tasks-that-require-root.html</t>
  </si>
  <si>
    <t>Establish and Maintain an Inventory of Service Accounts</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</si>
  <si>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</si>
  <si>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Centralize Account Management</t>
  </si>
  <si>
    <t>Centralize account management through a directory or identity service.</t>
  </si>
  <si>
    <t>1.21 Ensure IAM users are managed centrally via identity federation or AWS Organizations for multi-account environments (Manual)</t>
  </si>
  <si>
    <t>In multi-account environments, IAM user centralization facilitates greater user control. User access beyond the initial account is then provided via role assumption. Centralization of users can be accomplished through federation with an external identity provider or through the use of AWS Organizations.</t>
  </si>
  <si>
    <t>Centralizing IAM user management to a single identity store reduces complexity and thus the likelihood of access management errors.</t>
  </si>
  <si>
    <t>For multi-account AWS environments with an external identity provider...
1. Determine the master account for identity federation or IAM user management
2. Login to that account through the AWS Management Console
3. Click Services
4. Click IAM
5. Click Identity providers
6. Verify the configuration
Then..., determine all accounts that should not have local users present. For each account...
1. Determine all accounts that should not have local users present
2. Log into the AWS Management Console
3. Switch role into each identified account
4. Click Services
5. Click IAM
6. Click Users
7. Confirm that no IAM users representing individuals are present
For multi-account AWS environments implementing AWS Organizations without an external identity provider...
1. Determine all accounts that should not have local users present
2. Log into the AWS Management Console
3. Switch role into each identified account
4. Click Services
5. Click IAM
6. Click Users
7. Confirm that no IAM users representing individuals are present</t>
  </si>
  <si>
    <t>The remediation procedure will vary based on the individual organization's implementation of identity federation and/or AWS Organizations with the acceptance criteria that no non-service IAM users, and non-root accounts, are present outside the account providing centralized IAM user management.</t>
  </si>
  <si>
    <t>Access Control Management</t>
  </si>
  <si>
    <t>Use processes and tools to create, assign, manage, and revoke access credentials and privileges for user, administrator, and service accounts for enterprise assets and software.</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</si>
  <si>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</si>
  <si>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</si>
  <si>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</si>
  <si>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</si>
  <si>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</si>
  <si>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</si>
  <si>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</si>
  <si>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</si>
  <si>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</si>
  <si>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Require MFA for all administrative access accounts, where supported, on all enterprise assets, whether managed on-site or through a third-party provider.</t>
  </si>
  <si>
    <t>1.5 Ensure MFA is enabled for the 'root' user account (Automated)</t>
  </si>
  <si>
    <t>The 'root' user account is the most privileged user in an AWS account. Multi-factor Authentication (MFA) adds an extra layer of protection on top of a username and password. With MFA enabled, when a user signs in to an AWS website, they will be prompted for their username and password as well as for an authentication code from their AWS MFA device.
Note: When virtual MFA is used for 'root' accounts, it is recommended that the device used is NOT a personal device, but rather a dedicated mobile device (tablet or phone) that is managed to be kept charged and secured independent of any individual personal devices. ("non-personal virtual MFA") This lessens the risks of losing access to the MFA due to device loss, device trade-in or if the individual owning the device is no longer employed at the company.</t>
  </si>
  <si>
    <t>Enabling MFA provides increased security for console access as it requires the authenticating principal to possess a device that emits a time-sensitive key and have knowledge of a credential.</t>
  </si>
  <si>
    <t>Perform the following to determine if the 'root' user account has MFA setup: From Console:
1. Login to the AWS Management Console
2. Click Services
3. Click IAM
4. Click on Credential Report
5. This will download a .csv file which contains credential usage for all IAM users within an AWS Account - open this file
6. For the &lt;root_account&gt; user, ensure the mfa_active field is set to TRUE .
From Command Line:
1. Run the following command: aws iam get-account-summary | grep "AccountMFAEnabled"
2. Ensure the AccountMFAEnabled property is set to 1</t>
  </si>
  <si>
    <t>Perform the following to establish MFA for the 'root' user account:
1. Sign in to the AWS Management Console and open the IAM console at https://console.aws.amazon.com/iam/.
Note: to manage MFA devices for the 'root' AWS account, you must use your 'root' account credentials to sign in to AWS. You cannot manage MFA devices for the 'root' account using other credentials.
2. Choose Dashboard , and under Security Status , expand Activate MFA on your root account.
3. Choose Activate MFA
4. In the wizard, choose A virtual MFA device and then choose Next Step .
5. IAM generates and displays configuration information for the virtual MFA device, including a QR code graphic. The graphic is a representation of the 'secret configuration key' that is available for manual entry on devices that do not support QR codes.
6. Open your virtual MFA application. (For a list of apps that you can use for hosting virtual MFA devices, see Virtual MFA Applications.) If the virtual MFA application supports multiple accounts (multiple virtual MFA devices), choose the option to create a new account (a new virtual MFA device).
7. Determine whether the MFA app supports QR codes, and then do one of the following:
o Use the app to scan the QR code. For example, you might choose the camera icon or choose an option similar to Scan code, and then use the device's camera to scan the code.
o In the Manage MFA Device wizard, choose Show secret key for manual configuration, and then type the secret configuration key into your MFA application.
When you are finished, the virtual MFA device starts generating one-time passwords. In the Manage MFA Device wizard, in the Authentication Code 1 box, type the one-time password that currently appears in the virtual MFA device. Wait up to 30 seconds for the device to generate a new one-time password. Then type the second one-time password into the Authentication Code 2 box. Choose Assign Virtual MFA.</t>
  </si>
  <si>
    <t>1. CCE-78911-5
2. https://docs.aws.amazon.com/IAM/latest/UserGuide/id_root-user.html#id_root-user_manage_mfa
3. https://docs.aws.amazon.com/IAM/latest/UserGuide/id_credentials_mfa_enable_virtual.html#enable-virt-mfa-for-root</t>
  </si>
  <si>
    <t>1.6 Ensure hardware MFA is enabled for the 'root' user account (Manual)</t>
  </si>
  <si>
    <t>The 'root' user account is the most privileged user in an AWS account. MFA adds an extra layer of protection on top of a user name and password. With MFA enabled, when a user signs in to an AWS website, they will be prompted for their user name and password as well as for an authentication code from their AWS MFA device. For Level 2, it is recommended that the 'root' user account be protected with a hardware MFA.</t>
  </si>
  <si>
    <t>A hardware MFA has a smaller attack surface than a virtual MFA. For example, a hardware MFA does not suffer the attack surface introduced by the mobile smartphone on which a virtual MFA resides.
Note: Using hardware MFA for many, many AWS accounts may create a logistical device management issue. If this is the case, consider implementing this Level 2 recommendation selectively to the highest security AWS accounts and the Level 1 recommendation applied to the remaining accounts.</t>
  </si>
  <si>
    <t>Perform the following to determine if the 'root' user account has a hardware MFA setup:
1. Run the following command to determine if the 'root' account has MFA setup: aws iam get-account-summary | grep "AccountMFAEnabled"
The AccountMFAEnabled property is set to 1 will ensure that the 'root' user account has MFA (Virtual or Hardware) Enabled. If AccountMFAEnabled property is set to 0 the account is not compliant with this recommendation.
2. If AccountMFAEnabled property is set to 1, determine 'root' account has Hardware MFA enabled. Run the following command to list all virtual MFA devices: aws iam list-virtual-mfa-devices
If the output contains one MFA with the following Serial Number, it means the MFA is virtual, not hardware and the account is not compliant with this recommendation: "SerialNumber": "arn:aws:iam::_&lt;aws_account_number&gt;_:mfa/root-account-mfa-device"</t>
  </si>
  <si>
    <t>Perform the following to establish a hardware MFA for the 'root' user account:
1. Sign in to the AWS Management Console and open the IAM console at https://console.aws.amazon.com/iam/. Note: to manage MFA devices for the AWS 'root' user account, you must use your 'root' account credentials to sign in to AWS. You cannot manage MFA devices for the 'root' account using other credentials.
2. Choose Dashboard , and under Security Status , expand Activate MFA on your root account.
3. Choose Activate MFA
4. In the wizard, choose A hardware MFA device and then choose Next Step .
5. In the Serial Number box, enter the serial number that is found on the back of the MFA device.
6. In the Authentication Code 1 box, enter the six-digit number displayed by the MFA device. You might need to press the button on the front of the device to display the number.
7. Wait 30 seconds while the device refreshes the code, and then enter the next six-digit number into the Authentication Code 2 box. You might need to press the button on the front of the device again to display the second number.
8. Choose Next Step . The MFA device is now associated with the AWS account. The next time you use your AWS account credentials to sign in, you must type a code from the hardware MFA device.
Remediation for this recommendation is not available through AWS CLI.</t>
  </si>
  <si>
    <t>1. CCE-78911-5
2. https://docs.aws.amazon.com/IAM/latest/UserGuide/id_credentials_mfa_enable_virtual.html
3. https://docs.aws.amazon.com/IAM/latest/UserGuide/id_credentials_mfa_enable_physical.html#enable-hw-mfa-for-root</t>
  </si>
  <si>
    <t>1.10 Ensure multi-factor authentication (MFA) is enabled for all IAM users that have a console password (Automated)</t>
  </si>
  <si>
    <t>Multi-Factor Authentication (MFA) adds an extra layer of authentication assurance beyond traditional credentials. With MFA enabled, when a user signs in to the AWS Console, they will be prompted for their user name and password as well as for an authentication code from their physical or virtual MFA token. It is recommended that MFA be enabled for all accounts that have a console password.</t>
  </si>
  <si>
    <t>Enabling MFA provides increased security for console access as it requires the authenticating principal to possess a device that displays a time-sensitive key and have knowledge of a credential.
Impact:
AWS will soon end support for SMS multi-factor authentication (MFA). New customers are not allowed to use this feature. We recommend that existing customers switch to one of the following alternative methods of MFA.</t>
  </si>
  <si>
    <t>Perform the following to determine if a MFA device is enabled for all IAM users having a console password: From Console:
1. Open the IAM console at https://console.aws.amazon.com/iam/.
2. In the left pane, select Users
3. If the MFA or Password age columns are not visible in the table, click the gear icon at the upper right corner of the table and ensure a checkmark is next to both, then click Close.
4. Ensure that for each user where the Password age column shows a password age, the MFA column shows Virtual, U2F Security Key, or Hardware.
From Command Line:
1. Run the following command (OSX/Linux/UNIX) to generate a list of all IAM users along with their password and MFA status:
aws iam generate-credential-report aws iam get-credential-report --query 'Content' --output text | base64 -d | cut -d, -f1,4,8
2. The output of this command will produce a table similar to the following: user,password_enabled,mfa_active elise,false,false brandon,true,true rakesh,false,false helene,false,false paras,true,true anitha,false,false
3. For any column having password_enabled set to true , ensure mfa_active is also set to true.</t>
  </si>
  <si>
    <t>Perform the following to enable MFA: From Console:
1. Sign in to the AWS Management Console and open the IAM console at 'https://console.aws.amazon.com/iam/'
2. In the left pane, select Users.
3. In the User Name list, choose the name of the intended MFA user.
4. Choose the Security Credentials tab, and then choose Manage MFA Device.
5. In the Manage MFA Device wizard, choose Virtual MFA device, and then choose Continue.
IAM generates and displays configuration information for the virtual MFA device, including a QR code graphic. The graphic is a representation of the 'secret configuration key' that is available for manual entry on devices that do not support QR codes.
6. Open your virtual MFA application. (For a list of apps that you can use for hosting virtual MFA devices, see Virtual MFA Applications at https://aws.amazon.com/iam/details/mfa/#Virtual_MFA_Applications). If the virtual MFA application supports multiple accounts (multiple virtual MFA devices), choose the option to create a new account (a new virtual MFA device).
7. Determine whether the MFA app supports QR codes, and then do one of the following:
• Use the app to scan the QR code. For example, you might choose the camera icon or choose an option similar to Scan code, and then use the device's camera to scan the code.
• In the Manage MFA Device wizard, choose Show secret key for manual configuration, and then type the secret configuration key into your MFA application.
When you are finished, the virtual MFA device starts generating one-time passwords.
8. In the Manage MFA Device wizard, in the MFA Code 1 box, type the one-time password that currently appears in the virtual MFA device. Wait up to 30 seconds for the device to generate a new one-time password. Then type the second one-time password into the MFA Code 2 box.
9. Click Assign MFA.</t>
  </si>
  <si>
    <t>1. https://tools.ietf.org/html/rfc6238
2. https://docs.aws.amazon.com/IAM/latest/UserGuide/id_credentials_mfa.html
3. https://docs.aws.amazon.com/IAM/latest/UserGuide/best-practices.html#enable-mfa-for-privileged-users
4. https://docs.aws.amazon.com/IAM/latest/UserGuide/id_credentials_mfa_enable_virtual.html
5. CCE-78901-6
6. https://blogs.aws.amazon.com/security/post/Tx2SJJYE082KBUK/How-to-Delegate-Management-of-Multi-Factor-Authentication-to-AWS-IAM-Users</t>
  </si>
  <si>
    <t>Adding MFA delete to an S3 bucket, requires additional authentication when you change the version state of your bucket or you delete and object version adding another layer of security in the event your security credentials are compromised or unauthorized access is granted.
Impact:
Enabling MFA delete on an S3 bucket could required additional administrator oversight. Enabling MFA delete may impact other services that automate the creation and/or deletion of S3 buckets.</t>
  </si>
  <si>
    <t>Perform the steps below to enable MFA delete on an S3 bucket. Note: -You cannot enable MFA Delete using the AWS Management Console. You must use the AWS CLI or API. -You must use your 'root' account to enable MFA Delete on S3 buckets. From Command line:
1. Run the s3api put-bucket-versioning command aws s3api put-bucket-versioning --profile my-root-profile --bucket Bucket_Name --versioning-configuration Status=Enabled,MFADelete=Enabled --mfa “arn:aws:iam::aws_account_id:mfa/root-account-mfa-device passcode”</t>
  </si>
  <si>
    <t>Establish and Maintain an Inventory of Authentication and Authorization Systems</t>
  </si>
  <si>
    <t>Establish and maintain an inventory of the enterprise’s authentication and authorization systems, including those hosted on-site or at a remote service provider. Review and update the inventory, at a minimum, annually, or more frequently.</t>
  </si>
  <si>
    <t>Centralize Access Control</t>
  </si>
  <si>
    <t>Centralize access control for all enterprise assets through a directory service or SSO provider, where supported.</t>
  </si>
  <si>
    <t>Continuous Vulnerability Management</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</si>
  <si>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</si>
  <si>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Vulnerability Management Process</t>
  </si>
  <si>
    <t>Establish and maintain a documented vulnerability management process for enterprise assets. Review and update documentation annually, or when significant enterprise changes occur that could impact this Safeguard.</t>
  </si>
  <si>
    <t>Establish and Maintain a Remediation Process</t>
  </si>
  <si>
    <t>Establish and maintain a risk-based remediation strategy documented in a remediation process, with monthly, or more frequent, reviews.</t>
  </si>
  <si>
    <t>Perform Automated Operating System Patch Management</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</si>
  <si>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</si>
  <si>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</si>
  <si>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</si>
  <si>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2.3.2 Ensure Auto Minor Version Upgrade feature is Enabled for RDS Instances (Automated)</t>
  </si>
  <si>
    <t>Ensure that RDS database instances have the Auto Minor Version Upgrade flag enabled in order to receive automatically minor engine upgrades during the specified maintenance window. So, RDS instances can get the new features, bug fixes, and security patches for their database engines.</t>
  </si>
  <si>
    <t>AWS RDS will occasionally deprecate minor engine versions and provide new ones for an upgrade. When the last version number within the release is replaced, the version changed is considered minor. With Auto Minor Version Upgrade feature enabled, the version upgrades will occur automatically during the specified maintenance window so your RDS instances can get the new features, bug fixes, and security patches for their database engines.</t>
  </si>
  <si>
    <t>From Console:
1. Log in to the AWS management console and navigate to the RDS dashboard at https://console.aws.amazon.com/rds/.
2. In the left navigation panel, click on Databases.
3. Select the RDS instance that wants to examine.
4. Click on the Maintenance and backups panel.
5. Under the Maintenance section, search for the Auto Minor Version Upgrade status.
• If the current status is set to Disabled, means the feature is not set and the minor engine upgrades released will not be applied to the selected RDS instance
From Command Line:
1. Run describe-db-instances command to list all RDS database names, available in the selected AWS region: aws rds describe-db-instances --region &lt;regionName&gt; --query 'DBInstances[*].DBInstanceIdentifier'
2. The command output should return each database instance identifier.
3. Run again describe-db-instances command using the RDS instance identifier returned earlier to determine the Auto Minor Version Upgrade status for the selected instance: aws rds describe-db-instances --region &lt;regionName&gt; --db-instance-identifier &lt;dbInstanceIdentifier&gt; --query 'DBInstances[*].AutoMinorVersionUpgrade'
4. The command output should return the feature current status. If the current status is set to true, the feature is enabled and the minor engine upgrades will be applied to the selected RDS instance.</t>
  </si>
  <si>
    <t>From Console:
1. Log in to the AWS management console and navigate to the RDS dashboard at https://console.aws.amazon.com/rds/.
2. In the left navigation panel, click on Databases.
3. Select the RDS instance that wants to update.
4. Click on the Modify button placed on the top right side.
5. On the Modify DB Instance: &lt;instance identifier&gt; page, In the Maintenance section, select Auto minor version upgrade click on the Yes radio button.
6. At the bottom of the page click on Continue, check to Apply Immediately to apply the changes immediately, or select Apply during the next scheduled maintenance window to avoid any downtime.
7. Review the changes and click on Modify DB Instance. The instance status should change from available to modifying and back to available. Once the feature is enabled, the Auto Minor Version Upgrade status should change to Yes.
From Command Line:
1. Run describe-db-instances command to list all RDS database instance names, available in the selected AWS region: aws rds describe-db-instances --region &lt;regionName&gt; --query 'DBInstances[*].DBInstanceIdentifier'
2. The command output should return each database instance identifier.
3. Run the modify-db-instance command to modify the selected RDS instance configuration this command will apply the changes immediately, Remove --apply-immediately to apply changes during the next scheduled maintenance window and avoid any downtime:
aws rds modify-db-instance --region &lt;regionName&gt; --db-instance-identifier &lt;dbInstanceIdentifier&gt; --auto-minor-version-upgrade --apply-immediately
4. The command output should reveal the new configuration metadata for the RDS instance and check AutoMinorVersionUpgrade parameter value.
5. Run describe-db-instances command to check if the Auto Minor Version Upgrade feature has been successfully enable: aws rds describe-db-instances --region &lt;regionName&gt; --db-instance-identifier &lt;dbInstanceIdentifier&gt; --query 'DBInstances[*].AutoMinorVersionUpgrade'
6. The command output should return the feature current status set to true, the feature is enabled and the minor engine upgrades will be applied to the selected RDS instance.</t>
  </si>
  <si>
    <t>1. https://docs.aws.amazon.com/AmazonRDS/latest/UserGuide/CHAP_RDS_Managing.html
2. https://docs.aws.amazon.com/AmazonRDS/latest/UserGuide/USER_UpgradeDBInstance.Upgrading.html
3. https://aws.amazon.com/rds/faqs/</t>
  </si>
  <si>
    <t>Perform Automated Vulnerability Scans of Internal Enterprise Assets</t>
  </si>
  <si>
    <r>
      <t>Perform automated vulnerability scans of internal enterprise</t>
    </r>
    <r>
      <rPr>
        <b/>
        <sz val="12"/>
        <color theme="1"/>
        <rFont val="Arial"/>
        <family val="2"/>
      </rPr>
      <t xml:space="preserve"> </t>
    </r>
    <r>
      <rPr>
        <sz val="12"/>
        <color theme="1"/>
        <rFont val="Arial"/>
        <family val="2"/>
      </rPr>
      <t>assets on a quarterly, or more frequent, basis. Conduct both authenticated and unauthenticated scans, using a SCAP-compliant vulnerability scanning tool.</t>
    </r>
  </si>
  <si>
    <t>Perform Automated Vulnerability Scans of Externally-Exposed Enterprise Assets</t>
  </si>
  <si>
    <t xml:space="preserve">Perform automated vulnerability scans of externally-exposed enterprise assets using a SCAP-compliant vulnerability scanning tool. Perform scans on a monthly, or more frequent, basis. </t>
  </si>
  <si>
    <t>Remediate Detected Vulnerabilities</t>
  </si>
  <si>
    <t>Remediate detected vulnerabilities in software through processes and tooling on a monthly, or more frequent, basis, based on the remediation process.</t>
  </si>
  <si>
    <t>Audit Log Management</t>
  </si>
  <si>
    <t>Collect, alert, review, and retain audit logs of events that could help detect, understand, or recover from an attack.</t>
  </si>
  <si>
    <t>Establish and Maintain an Audit Log Management Process</t>
  </si>
  <si>
    <r>
      <t>Establish and maintain an audit log management process that defines the enterprise’s logging requirements. At a minimum, address the collection, review, and retention of audit logs for enterprise assets.</t>
    </r>
    <r>
      <rPr>
        <b/>
        <sz val="12"/>
        <color theme="1"/>
        <rFont val="Arial"/>
        <family val="2"/>
      </rPr>
      <t xml:space="preserve"> </t>
    </r>
    <r>
      <rPr>
        <sz val="12"/>
        <color theme="1"/>
        <rFont val="Arial"/>
        <family val="2"/>
      </rPr>
      <t>Review and update documentation annually, or when significant enterprise changes occur that could impact this Safeguard.</t>
    </r>
  </si>
  <si>
    <t>Collect Audit Logs</t>
  </si>
  <si>
    <t>Collect audit logs. Ensure that logging, per the enterprise’s audit log management process, has been enabled across enterprise assets.</t>
  </si>
  <si>
    <t>1. CCE-78918-0
2. https://docs.aws.amazon.com/AmazonS3/latest/dev/ServerLogs.html</t>
  </si>
  <si>
    <t>3.9 Ensure VPC flow logging is enabled in all VPCs (Automated)</t>
  </si>
  <si>
    <t>VPC Flow Logs is a feature that enables you to capture information about the IP traffic going to and from network interfaces in your VPC. After you've created a flow log, you can view and retrieve its data in Amazon CloudWatch Logs. It is recommended that VPC Flow Logs be enabled for packet "Rejects" for VPCs.</t>
  </si>
  <si>
    <t>VPC Flow Logs provide visibility into network traffic that traverses the VPC and can be used to detect anomalous traffic or insight during security workflows.
Impact:
By default, CloudWatch Logs will store Logs indefinitely unless a specific retention period is defined for the log group. When choosing the number of days to retain, keep in mind the average days it takes an organization to realize they have been breached is 210 days (at the time of this writing). Since additional time is required to research a breach, a minimum 365 day retention policy allows time for detection and research. You may also wish to archive the logs to a cheaper storage service rather than simply deleting them. See the following AWS resource to manage CloudWatch Logs retention periods:
1. https://docs.aws.amazon.com/AmazonCloudWatch/latest/DeveloperGuide/SettingLogRetention.html</t>
  </si>
  <si>
    <t>Perform the following to determine if VPC Flow logs are enabled: From Console:
1. Sign into the management console
2. Select Services then VPC
3. In the left navigation pane, select Your VPCs
4. Select a VPC
5. In the right pane, select the Flow Logs tab.
6. Ensure a Log Flow exists that has Active in the Status column.
From Command Line:
1. Run describe-vpcs command (OSX/Linux/UNIX) to list the VPC networks available in the current AWS region:
aws ec2 describe-vpcs --region &lt;region&gt; --query Vpcs[].VpcId
2. The command output returns the VpcId available in the selected region.
3. Run describe-flow-logs command (OSX/Linux/UNIX) using the VPC ID to determine if the selected virtual network has the Flow Logs feature enabled: aws ec2 describe-flow-logs --filter "Name=resource-id,Values=&lt;vpc-id&gt;"
4. If there are no Flow Logs created for the selected VPC, the command output will return an empty list [].
5. Repeat step 3 for other VPCs available in the same region.
6. Change the region by updating --region and repeat steps 1 - 5 for all the VPCs.</t>
  </si>
  <si>
    <t>Perform the following to determine if VPC Flow logs is enabled: From Console:
1. Sign into the management console
2. Select Services then VPC
3. In the left navigation pane, select Your VPCs
4. Select a VPC
5. In the right pane, select the Flow Logs tab.
6. If no Flow Log exists, click Create Flow Log
7. For Filter, select Reject
8. Enter in a Role and Destination Log Group
9. Click Create Log Flow
10. Click on CloudWatch Logs Group
Note: Setting the filter to "Reject" will dramatically reduce the logging data accumulation for this recommendation and provide sufficient information for the purposes of breach detection, research and remediation. However, during periods of least privilege security group engineering, setting this the filter to "All" can be very helpful in discovering existing traffic flows required for proper operation of an already running environment. From Command Line:
1. Create a policy document and name it as role_policy_document.json and paste the following content:
{ "Version": "2012-10-17", "Statement": [ { "Sid": "test", "Effect": "Allow", "Principal": { "Service": "ec2.amazonaws.com" }, "Action": "sts:AssumeRole" } ] }
2. Create another policy document and name it as iam_policy.json and paste the following content: { "Version": "2012-10-17", "Statement": [ { "Effect": "Allow", "Action":[ "logs:CreateLogGroup", "logs:CreateLogStream", "logs:DescribeLogGroups", "logs:DescribeLogStreams", "logs:PutLogEvents", "logs:GetLogEvents", "logs:FilterLogEvents" ], "Resource": "*" } ] }
3. Run the below command to create an IAM role: aws iam create-role --role-name &lt;aws_support_iam_role&gt; --assume-role-policy-document file://&lt;file-path&gt;role_policy_document.json
4. Run the below command to create an IAM policy: aws iam create-policy --policy-name &lt;ami-policy-name&gt; --policy-document file://&lt;file-path&gt;iam-policy.json
5. Run attach-group-policy command using the IAM policy ARN returned at the previous step to attach the policy to the IAM role (if the command succeeds, no output is returned):
aws iam attach-group-policy --policy-arn arn:aws:iam::&lt;aws-account-id&gt;:policy/&lt;iam-policy-name&gt; --group-name &lt;group-name&gt;
6. Run describe-vpcs to get the VpcId available in the selected region: aws ec2 describe-vpcs --region &lt;region&gt;
7. The command output should return the VPC Id available in the selected region.
8. Run create-flow-logs to create a flow log for the vpc: aws ec2 create-flow-logs --resource-type VPC --resource-ids &lt;vpc-id&gt; --traffic-type REJECT --log-group-name &lt;log-group-name&gt; --deliver-logs-permission-arn &lt;iam-role-arn&gt;
9. Repeat step 8 for other vpcs available in the selected region.
10. Change the region by updating --region and repeat remediation procedure for other vpcs.</t>
  </si>
  <si>
    <t>1. CCE-79202-8
2. https://docs.aws.amazon.com/AmazonVPC/latest/UserGuide/flow-logs.html</t>
  </si>
  <si>
    <t>Ensure Adequate Audit Log Storage</t>
  </si>
  <si>
    <t>Ensure that logging destinations maintain adequate storage to comply with the enterprise’s audit log management process.</t>
  </si>
  <si>
    <t>Standardize Time Synchronization</t>
  </si>
  <si>
    <t>Standardize time synchronization. Configure at least two synchronized time sources across enterprise assets, where supported.</t>
  </si>
  <si>
    <t>Collect Detailed Audit Logs</t>
  </si>
  <si>
    <t>Configure detailed audit logging for enterprise assets containing sensitive data. Include event source, date, username, timestamp, source addresses, destination addresses, and other useful elements that could assist in a forensic investigation.</t>
  </si>
  <si>
    <t>3.1 Ensure CloudTrail is enabled in all regions (Automated)</t>
  </si>
  <si>
    <t>AWS CloudTrail is a web service that records AWS API calls for your account and delivers log files to you. The recorded information includes the identity of the API caller, the time of the API call, the source IP address of the API caller, the request parameters, and the response elements returned by the AWS service. CloudTrail provides a history of AWS API calls for an account, including API calls made via the Management Console, SDKs, command line tools, and higher-level AWS services (such as CloudFormation).</t>
  </si>
  <si>
    <t>The AWS API call history produced by CloudTrail enables security analysis, resource change tracking, and compliance auditing. Additionally,
• ensuring that a multi-regions trail exists will ensure that unexpected activity occurring in otherwise unused regions is detected
• ensuring that a multi-regions trail exists will ensure that Global Service Logging is enabled for a trail by default to capture recording of events generated on AWS global services
• for a multi-regions trail, ensuring that management events configured for all type of Read/Writes ensures recording of management operations that are performed on all resources in an AWS account
Impact:
S3 lifecycle features can be used to manage the accumulation and management of logs over time. See the following AWS resource for more information on these features:
1. https://docs.aws.amazon.com/AmazonS3/latest/dev/object-lifecycle-mgmt.html</t>
  </si>
  <si>
    <t>Perform the following to determine if CloudTrail is enabled for all regions: From Console:
1. Sign in to the AWS Management Console and open the CloudTrail console at https://console.aws.amazon.com/cloudtrail
2. Click on Trails on the left navigation pane
• You will be presented with a list of trails across all regions
3. Ensure at least one Trail has All specified in the Region column
4. Click on a trail via the link in the Name column
5. Ensure Logging is set to ON
6. Ensure Apply trail to all regions is set to Yes
7. In section Management Events ensure Read/Write Events set to ALL
From Command Line: aws cloudtrail describe-trails
Ensure IsMultiRegionTrail is set to true aws cloudtrail get-trail-status --name &lt;trailname shown in describe-trails&gt;
Ensure IsLogging is set to true aws cloudtrail get-event-selectors --trail-name &lt;trailname shown in describe-trails&gt;
Ensure there is at least one Event Selector for a Trail with IncludeManagementEvents set to true and ReadWriteType set to All</t>
  </si>
  <si>
    <t>Perform the following to enable global (Multi-region) CloudTrail logging: From Console:
1. Sign in to the AWS Management Console and open the IAM console at https://console.aws.amazon.com/cloudtrail
2. Click on Trails on the left navigation pane
3. Click Get Started Now , if presented
• Click Add new trail
• Enter a trail name in the Trail name box
• Set the Apply trail to all regions option to Yes
• Specify an S3 bucket name in the S3 bucket box
• Click Create
4. If 1 or more trails already exist, select the target trail to enable for global logging
5. Click the edit icon (pencil) next to Apply trail to all regions , Click Yes and Click Save.
6. Click the edit icon (pencil) next to Management Events click All for setting Read/Write Events and Click Save.
From Command Line: aws cloudtrail create-trail --name &lt;trail_name&gt; --bucket-name &lt;s3_bucket_for_cloudtrail&gt; --is-multi-region-trail aws cloudtrail update-trail --name &lt;trail_name&gt; --is-multi-region-trail
Note: Creating CloudTrail via CLI without providing any overriding options configures Management Events to set All type of Read/Writes by default.
Default Value:
Not Enabled</t>
  </si>
  <si>
    <t>1. CCE-78913-1
2. https://docs.aws.amazon.com/awscloudtrail/latest/userguide/cloudtrail-concepts.html#cloudtrail-concepts-management-events
3. https://docs.aws.amazon.com/awscloudtrail/latest/userguide/logging-management-and-data-events-with-cloudtrail.html?icmpid=docs_cloudtrail_console#logging-management-events
4. https://docs.aws.amazon.com/awscloudtrail/latest/userguide/cloudtrail-supported-services.html#cloud-trail-supported-services-data-events</t>
  </si>
  <si>
    <t>3.4 Ensure CloudTrail trails are integrated with CloudWatch Logs (Automated)</t>
  </si>
  <si>
    <t>AWS CloudTrail is a web service that records AWS API calls made in a given AWS account. The recorded information includes the identity of the API caller, the time of the API call, the source IP address of the API caller, the request parameters, and the response elements returned by the AWS service. CloudTrail uses Amazon S3 for log file storage and delivery, so log files are stored durably. In addition to capturing CloudTrail logs within a specified S3 bucket for long term analysis, real time analysis can be performed by configuring CloudTrail to send logs to CloudWatch Logs. For a trail that is enabled in all regions in an account, CloudTrail sends log files from all those regions to a CloudWatch Logs log group. It is recommended that CloudTrail logs be sent to CloudWatch Logs.
Note: The intent of this recommendation is to ensure AWS account activity is being captured, monitored, and appropriately alarmed on. CloudWatch Logs is a native way to accomplish this using AWS services but does not preclude the use of an alternate solution.</t>
  </si>
  <si>
    <t>Sending CloudTrail logs to CloudWatch Logs will facilitate real-time and historic activity logging based on user, API, resource, and IP address, and provides opportunity to establish alarms and notifications for anomalous or sensitivity account activity.
Impact:
Note: By default, CloudWatch Logs will store Logs indefinitely unless a specific retention period is defined for the log group. When choosing the number of days to retain, keep in mind the average days it takes an organization to realize they have been breached is 210 days (at the time of this writing). Since additional time is required to research a breach, a minimum 365 day retention policy allows time for detection and research. You may also wish to archive the logs to a cheaper storage service rather than simply deleting them. See the following AWS resource to manage CloudWatch Logs retention periods:
1. https://docs.aws.amazon.com/AmazonCloudWatch/latest/DeveloperGuide/SettingLogRetention.html</t>
  </si>
  <si>
    <t>Audit:
Perform the following to ensure CloudTrail is configured as prescribed: From Console:
1. Login to the CloudTrail console at https://console.aws.amazon.com/cloudtrail/
2. Under Trails , click on the CloudTrail you wish to evaluate
3. Under the CloudWatch Logs section.
4. Ensure a CloudWatch Logs log group is configured and listed.
5. Under General details confirm Last log file delivered has a recent (~one day old) timestamp.
From Command Line:
1. Run the following command to get a listing of existing trails: aws cloudtrail describe-trails
2. Ensure CloudWatchLogsLogGroupArn is not empty and note the value of the Name property.
3. Using the noted value of the Name property, run the following command: aws cloudtrail get-trail-status --name &lt;trail_name&gt;
4. Ensure the LatestcloudwatchLogdDeliveryTime property is set to a recent (~one day old) timestamp.
If the CloudWatch Logs log group is not setup and the delivery time is not recent refer to the remediation below.</t>
  </si>
  <si>
    <t>Perform the following to establish the prescribed state: From Console:
1. Login to the CloudTrail console at https://console.aws.amazon.com/cloudtrail/
2. Select the Trail the needs to be updated.
3. Scroll down to CloudWatch Logs
4. Click Edit
5. Under CloudWatch Logs click the box Enabled
6. Under Log Group pick new or select an existing log group
7. Edit the Log group name to match the CloudTrail or pick the existing CloudWatch Group.
8. Under IAM Role pick new or select an existing.
9. Edit the Role name to match the CloudTrail or pick the existing IAM Role.
Page 120
10. Click `Save changes.
From Command Line: aws cloudtrail update-trail --name &lt;trail_name&gt; --cloudwatch-logs-log-group-arn &lt;cloudtrail_log_group_arn&gt; --cloudwatch-logs-role-arn &lt;cloudtrail_cloudwatchLogs_role_arn&gt;</t>
  </si>
  <si>
    <t>1. https://docs.aws.amazon.com/awscloudtrail/latest/userguide/cloudtrail-user-guide.html
2. https://docs.aws.amazon.com/awscloudtrail/latest/userguide/how-cloudtrail-works.html
3. https://docs.aws.amazon.com/awscloudtrail/latest/userguide/cloudtrail-aws-service-specific-topics.html</t>
  </si>
  <si>
    <t>3.10 Ensure that Object-level logging for write events is enabled for S3 bucket (Automated)</t>
  </si>
  <si>
    <t xml:space="preserve">S3 object-level API operations such as GetObject, DeleteObject, and PutObject are called data events. By default, CloudTrail trails don't log data events and so it is recommended to enable Object-level logging for S3 buckets.
</t>
  </si>
  <si>
    <t>Enabling object-level logging will help you meet data compliance requirements within your organization, perform comprehensive security analysis, monitor specific patterns of user behavior in your AWS account or take immediate actions on any object-level API activity within your S3 Buckets using Amazon CloudWatch Events.</t>
  </si>
  <si>
    <t>From Console:
1. Login to the AWS Management Console and navigate to CloudTrail dashboard at https://console.aws.amazon.com/cloudtrail/
2. In the left panel, click Trails and then click on the CloudTrail Name that you want to examine.
3. Review General details
4. Confirm that Multi-region trail is set to Yes
5. Scroll down to Data events
6. Confirm that it reads: Data events: S3 Bucket Name: All current and future S3 buckets Read: Enabled Write: Enabled
7. Repeat steps 2 to 6 to verify that Multi-region trail and Data events logging of S3 buckets in CloudTrail. If the CloudTrails do not have multi-region and data events configured for S3 refer to the remediation below.
From Command Line:
1. Run list-trails command to list the names of all Amazon CloudTrail trails currently available in all AWS regions:
aws cloudtrail list-trails
2. The command output will be a list of all the trail names to include. "TrailARN": "arn:aws:cloudtrail::&lt;account#&gt;:trail/", "Name": "", "HomeRegion": ""
3. Next run 'get-trail- command to determine Multi-region. aws cloudtrail get-trail --name &lt;trailname&gt; --region &lt;region_name&gt;
4. The command output should include: "IsMultiRegionTrail": true,
5. Next run get-event-selectors command using the Name of the trail and the region returned in step 2 to determine if Data events logging feature is enabled within the selected CloudTrail trail for all S3 buckets: aws cloudtrail get-event-selectors --region &lt;HomeRegion&gt; --trail-name &lt;trailname&gt; --query EventSelectors[*].DataResources[]
6. The command output should be an array that contains the configuration of the AWS resource(S3 bucket) defined for the Data events selector. "Type": "AWS::S3::Object", "Values": [ "arn:aws:s3"
7. If the get-event-selectors command returns an empty array '[]', the Data events are not included in the selected AWS Cloudtrail trail logging configuration, therefore the S3 object-level API operations performed within your AWS account are not recorded.
8. Repeat steps 1 to 5 for auditing each CloudTrail to determine if Data events for S3 are covered. If Multi-region is not set to true and the Data events does not show S3 defined as shown refer to the remediation procedure below.</t>
  </si>
  <si>
    <t>From Console:
1. Login to the AWS Management Console and navigate to S3 dashboard at https://console.aws.amazon.com/s3/
2. In the left navigation panel, click buckets and then click on the S3 Bucket Name that you want to examine.
3. Click Properties tab to see in detail bucket configuration.
4. Click on the Object-level logging setting, enter the CloudTrail name for the recording activity. You can choose an existing Cloudtrail or create a new one by navigating to the Cloudtrail console link https://console.aws.amazon.com/cloudtrail/
5. Once the Cloudtrail is selected, check the Write event checkbox, so that object-level logging for Write events is enabled.
6. Repeat steps 2 to 5 to enable object-level logging of write events for other S3 buckets.
From Command Line:
1. To enable object-level data events logging for S3 buckets within your AWS account, run put-event-selectors command using the name of the trail that you want to reconfigure as identifier: aws cloudtrail put-event-selectors --region &lt;region-name&gt; --trail-name &lt;trail-name&gt; --event-selectors '[{ "ReadWriteType": "WriteOnly", "IncludeManagementEvents":true, "DataResources": [{ "Type": "AWS::S3::Object", "Values": ["arn:aws:s3:::&lt;s3-bucket-name&gt;/"] }] }]'
2. The command output will be object-level event trail configuration.
3. If you want to enable it for all buckets at once then change Values parameter to ["arn:aws:s3"] in command given above.
4. Repeat step 1 for each s3 bucket to update object-level logging of write events.
5. Change the AWS region by updating the --region command parameter and perform the process for other regions.</t>
  </si>
  <si>
    <t>1. https://docs.aws.amazon.com/AmazonS3/latest/user-guide/enable-cloudtrail-events.html</t>
  </si>
  <si>
    <t>3.11 Ensure that Object-level logging for read events is enabled for S3 bucket (Automated)</t>
  </si>
  <si>
    <t>S3 object-level API operations such as GetObject, DeleteObject, and PutObject are called data events. By default, CloudTrail trails don't log data events and so it is recommended to enable Object-level logging for S3 buckets.</t>
  </si>
  <si>
    <t>Enabling object-level logging will help you meet data compliance requirements within your organization, perform comprehensive security analysis, monitor specific patterns of user behavior in your AWS account or take immediate actions on any object-level API activity using Amazon CloudWatch Events.</t>
  </si>
  <si>
    <t>From Console:
1. Login to the AWS Management Console and navigate to S3 dashboard at https://console.aws.amazon.com/s3/
2. In the left navigation panel, click buckets and then click on the S3 Bucket Name that you want to examine.
3. Click Properties tab to see in detail bucket configuration.
4. If the current status for Object-level logging is set to Disabled, then object-level logging of read events for the selected s3 bucket is not set.
5. If the current status for Object-level logging is set to Enabled, but the Read event check-box is unchecked, then object-level logging of read events for the selected s3 bucket is not set.
6. Repeat steps 2 to 5 to verify object-level logging for read events of your other S3 buckets.
From Command Line:
1. Run describe-trails command to list the names of all Amazon CloudTrail trails currently available in the selected AWS region: aws cloudtrail describe-trails --region &lt;region-name&gt; --output table --query trailList[*].Name
2. The command output will be table of the requested trail names.
3. Run get-event-selectors command using the name of the trail returned at the previous step and custom query filters to determine if Data events logging feature
is enabled within the selected CloudTrail trail configuration for s3 bucket resources: aws cloudtrail get-event-selectors --region &lt;region-name&gt; --trail-name &lt;trail-name&gt; --query EventSelectors[*].DataResources[]
4. The command output should be an array that contains the configuration of the AWS resource(S3 bucket) defined for the Data events selector.
5. If the get-event-selectors command returns an empty array, the Data events are not included into the selected AWS Cloudtrail trail logging configuration, therefore the S3 object-level API operations performed within your AWS account are not recorded.
6. Repeat steps 1 to 5 for auditing each s3 bucket to identify other trails that are missing the capability to log Data events.
7. Change the AWS region by updating the --region command parameter and perform the audit process for other regions.</t>
  </si>
  <si>
    <t>From Console:
1. Login to the AWS Management Console and navigate to S3 dashboard at https://console.aws.amazon.com/s3/
2. In the left navigation panel, click buckets and then click on the S3 Bucket Name that you want to examine.
3. Click Properties tab to see in detail bucket configuration.
4. Click on the Object-level logging setting, enter the CloudTrail name for the recording activity. You can choose an existing Cloudtrail or create a new one by navigating to the Cloudtrail console link https://console.aws.amazon.com/cloudtrail/
5. Once the Cloudtrail is selected, check the Read event checkbox, so that object-level logging for Read events is enabled.
6. Repeat steps 2 to 5 to enable object-level logging of read events for other S3 buckets.
From Command Line:
1. To enable object-level data events logging for S3 buckets within your AWS account, run put-event-selectors command using the name of the trail that you want to reconfigure as identifier: aws cloudtrail put-event-selectors --region &lt;region-name&gt; --trail-name &lt;trail-name&gt; --event-selectors '[{ "ReadWriteType": "ReadOnly", "IncludeManagementEvents":true, "DataResources": [{ "Type": "AWS::S3::Object", "Values": ["arn:aws:s3:::&lt;s3-bucket-name&gt;/"] }] }]'
2. The command output will be object-level event trail configuration.
3. If you want to enable it for all buckets at once then change Values parameter to ["arn:aws:s3"] in command given above.
4. Repeat step 1 for each s3 bucket to update object-level logging of read events.
5. Change the AWS region by updating the --region command parameter and perform the process for other regions.</t>
  </si>
  <si>
    <t>Collect DNS Query Audit Logs</t>
  </si>
  <si>
    <t>Collect DNS query audit logs on enterprise assets, where appropriate and supported.</t>
  </si>
  <si>
    <t>Collect URL Request Audit Logs</t>
  </si>
  <si>
    <t>Collect URL request audit logs on enterprise assets, where appropriate and supported.</t>
  </si>
  <si>
    <t>Collect Command-Line Audit Logs</t>
  </si>
  <si>
    <r>
      <t>Collect command-line audit logs. Example implementations include collecting audit logs from PowerShell</t>
    </r>
    <r>
      <rPr>
        <vertAlign val="superscript"/>
        <sz val="12"/>
        <color theme="1"/>
        <rFont val="Arial"/>
        <family val="2"/>
      </rPr>
      <t>®</t>
    </r>
    <r>
      <rPr>
        <sz val="12"/>
        <color theme="1"/>
        <rFont val="Arial"/>
        <family val="2"/>
      </rPr>
      <t>, BASH</t>
    </r>
    <r>
      <rPr>
        <vertAlign val="superscript"/>
        <sz val="12"/>
        <color theme="1"/>
        <rFont val="Arial"/>
        <family val="2"/>
      </rPr>
      <t>™</t>
    </r>
    <r>
      <rPr>
        <sz val="12"/>
        <color theme="1"/>
        <rFont val="Arial"/>
        <family val="2"/>
      </rPr>
      <t>, and remote administrative terminals.</t>
    </r>
  </si>
  <si>
    <t>Centralize Audit Logs</t>
  </si>
  <si>
    <t>Centralize, to the extent possible, audit log collection and retention across enterprise assets.</t>
  </si>
  <si>
    <t>Retain Audit Logs</t>
  </si>
  <si>
    <t>Retain audit logs across enterprise assets for a minimum of 90 days.</t>
  </si>
  <si>
    <t>Conduct Audit Log Reviews</t>
  </si>
  <si>
    <t>Conduct reviews of audit logs to detect anomalies or abnormal events that could indicate a potential threat. Conduct reviews on a weekly, or more frequent, basis.</t>
  </si>
  <si>
    <t>3.2 Ensure CloudTrail log file validation is enabled (Automated)</t>
  </si>
  <si>
    <t>CloudTrail log file validation creates a digitally signed digest file containing a hash of each log that CloudTrail writes to S3. These digest files can be used to determine whether a log file was changed, deleted, or unchanged after CloudTrail delivered the log. It is recommended that file validation be enabled on all CloudTrails.</t>
  </si>
  <si>
    <t>Enabling log file validation will provide additional integrity checking of CloudTrail logs.</t>
  </si>
  <si>
    <t>Perform the following on each trail to determine if log file validation is enabled: From Console:
1. Sign in to the AWS Management Console and open the IAM console at https://console.aws.amazon.com/cloudtrail
2. Click on Trails on the left navigation pane
3. For Every Trail:
• Click on a trail via the link in the Name column
• Under the General details section, ensure Log file validation is set to Enabled
From Command Line: aws cloudtrail describe-trails
Ensure LogFileValidationEnabled is set to true for each trail</t>
  </si>
  <si>
    <t>Perform the following to enable log file validation on a given trail: From Console:
1. Sign in to the AWS Management Console and open the IAM console at https://console.aws.amazon.com/cloudtrail
2. Click on Trails on the left navigation pane
3. Click on target trail
4. Within the General details section click edit
5. Under the Advanced settings section
6. Check the enable box under Log file validation
7. Click Save changes
From Command Line: aws cloudtrail update-trail --name &lt;trail_name&gt; --enable-log-file-validation
Note that periodic validation of logs using these digests can be performed by running the following command: aws cloudtrail validate-logs --trail-arn &lt;trail_arn&gt; --start-time &lt;start_time&gt; --end-time &lt;end_time&gt;
Default Value:
Not Enabled</t>
  </si>
  <si>
    <t>1. https://docs.aws.amazon.com/awscloudtrail/latest/userguide/cloudtrail-log-file-validation-enabling.html
2. CCE-78914-9</t>
  </si>
  <si>
    <t>4.1 Ensure unauthorized API calls are monitored (Manual)</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</si>
  <si>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unauthorized API calls.</t>
  </si>
  <si>
    <t>Monitoring unauthorized API calls will help reduce time to detect malicious activity and can alert you to a potential security incident.
CloudWatch is an AWS native service that allows you to observe and monitor resources and applications. CloudTrail Logs can also be sent to an external Security information and event management (SIEM) environment for monitoring and alerting.
Impact:
This alert may be triggered by normal read-only console activities that attempt to opportunistically gather optional information, but gracefully fail if they don't have permissions.
If an excessive number of alerts are being generated then an organization may wish to consider adding read access to the limited IAM user permissions simply to quiet the alerts.
In some cases doing this may allow the users to actually view some areas of the system - any additional access given should be reviewed for alignment with the original limited IAM user intent.</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</si>
  <si>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"Name":note&lt;cloudtrail__name&gt;`
• From value associated with "CloudWatchLogsLogGroupArn" note &lt;cloudtrail_log_group_name&gt;
Example: for CloudWatchLogsLogGroupArn that looks like arn:aws:logs::&lt;aws_account_number&gt;:log-group:NewGroup:*,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&lt;"Name" as shown in describe-trails&gt; Ensure there is at least one Event Selector for a Trail with IncludeManagementEvents set to true and ReadWriteType set to All
2. Get a list of all associated metric filters for this &lt;cloudtrail_log_group_name&gt; that you captured in step 1: aws logs describe-metric-filters --log-group-name "&lt;cloudtrail_log_group_name&gt;"
3. Ensure the output from the above command contains the following: "filterPattern": "{ ($.errorCode ="*UnauthorizedOperation") || ($.errorCode ="AccessDenied*") &amp;&amp; ($.sourceIPAddress!="delivery.logs.amazonaws.com") &amp;&amp; ($.eventName!="HeadBucket") }",
4. Note the "filterName" &lt;unauthorized_api_calls_metric&gt; value associated with the filterPattern found in step 3.
5. Get a list of CloudWatch alarms and filter on the &lt;unauthorized_api_calls_metric&gt; captured in step 4. aws cloudwatch describe-alarms --query "MetricAlarms[?MetricName == `unauthorized_api_calls_metric`]"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</si>
  <si>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unauthorized API calls and the &lt;cloudtrail_log_group_name&gt; taken from audit step 1. aws logs put-metric-filter --log-group-name "cloudtrail_log_group_name" --filter-name "&lt;unauthorized_api_calls_metric&gt;" --metric-transformations metricName=unauthorized_api_calls_metric,metricNamespace=CISBenchmark,metricValue=1 --filter-pattern "{ ($.errorCode ="*UnauthorizedOperation") || ($.errorCode ="AccessDenied*") &amp;&amp; ($.sourceIPAddress!="delivery.logs.amazonaws.com") &amp;&amp; ($.eventName!="HeadBucket")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Note: Capture the TopicArn displayed when creating the SNS Topic in Step 2.
3. Create an SNS subscription to the topic created in step 2 aws sns subscribe --topic-arn &lt;sns_topic_arn from step 2&gt;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"unauthorized_api_calls_alarm" --metric-name "unauthorized_api_calls_metric"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</si>
  <si>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https://aws.amazon.com/sns/
2. CCE-79186-3
3. https://docs.aws.amazon.com/awscloudtrail/latest/userguide/receive-cloudtrail-log-files-from-multiple-regions.html
4. https://docs.aws.amazon.com/awscloudtrail/latest/userguide/cloudwatch-alarms-for-cloudtrail.html
5. https://docs.aws.amazon.com/sns/latest/dg/SubscribeTopic.html</t>
  </si>
  <si>
    <t>4.2 Ensure management console sign-in without MFA is monitored (Manual)</t>
  </si>
  <si>
    <t xml:space="preserve">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console logins that are not protected by multi-factor authentication (MFA).
</t>
  </si>
  <si>
    <t>CloudWatch is an AWS native service that allows you to observe and monitor resources and applications. CloudTrail Logs can also be sent to an external Security information and event management (SIEM) environment for monitoring and alerting.
Monitoring for single-factor console logins will increase visibility into accounts that are not protected by MFA. These type of accounts are more susceptible to compromise and unauthorized access.</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</si>
  <si>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in the output that IsLogging is set to TRUE
• Ensure identified Multi-region 'Cloudtrail' captures all Management Events aws cloudtrail get-event-selectors --trail-name &lt;trailname shown in describe-trails&gt;
Ensure in the output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"ConsoleLogin") &amp;&amp; ($.additionalEventData.MFAUsed != "Yes") }"
Or (To reduce false positives incase Single Sign-On (SSO) is used in organization): "filterPattern": "{ ($.eventName = "ConsoleLogin") &amp;&amp; ($.additionalEventData.MFAUsed != "Yes") &amp;&amp; ($.userIdentity.type = "IAMUser") &amp;&amp; ($.responseElements.ConsoleLogin = "Success") }"
4. Note the &lt;no_mfa_console_signin_metric&gt; value associated with the filterPattern found in step 3.
5. Get a list of CloudWatch alarms and filter on the &lt;no_mfa_console_signin_metric&gt; captured in step 4. aws cloudwatch describe-alarms --query 'MetricAlarms[?MetricName== `&lt;no_mfa_console_signin_metric&gt;`]'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</si>
  <si>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AWS Management Console sign-in without MFA and the &lt;cloudtrail_log_group_name&gt; taken from audit step 1.
Use Command: aws logs put-metric-filter --log-group-name &lt;cloudtrail_log_group_name&gt; --filter-name `&lt;no_mfa_console_signin_metric&gt;` --metric-transformations metricName= `&lt;no_mfa_console_signin_metric&gt;` ,metricNamespace='CISBenchmark',metricValue=1 --filter-pattern '{ ($.eventName = "ConsoleLogin") &amp;&amp; ($.additionalEventData.MFAUsed != "Yes") }'
Or (To reduce false positives incase Single Sign-On (SSO) is used in organization): aws logs put-metric-filter --log-group-name &lt;cloudtrail_log_group_name&gt; --filter-name `&lt;no_mfa_console_signin_metric&gt;` --metric-transformations metricName= `&lt;no_mfa_console_signin_metric&gt;` ,metricNamespace='CISBenchmark',metricValue=1 --filter-pattern '{ ($.eventName = "ConsoleLogin") &amp;&amp; ($.additionalEventData.MFAUsed != "Yes") &amp;&amp; ($.userIdentity.type = "IAMUser") &amp;&amp; ($.responseElements.ConsoleLogin = "Success")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`&lt;no_mfa_console_signin_alarm&gt;` --metric-name `&lt;no_mfa_console_signin_metric&gt;`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 -Filter pattern set to { ($.eventName = "ConsoleLogin") &amp;&amp; ($.additionalEventData.MFAUsed != "Yes") &amp;&amp; ($.userIdentity.type = "IAMUser") &amp;&amp; ($.responseElements.ConsoleLogin = "Success"} reduces false alarms raised when user logs in via SSO account.</t>
  </si>
  <si>
    <t>1. https://docs.aws.amazon.com/AmazonCloudWatch/latest/DeveloperGuide/viewing_metrics_with_cloudwatch.html
2. CCE-79187-1
3. https://docs.aws.amazon.com/awscloudtrail/latest/userguide/receive-cloudtrail-log-files-from-multiple-regions.html
4. https://docs.aws.amazon.com/awscloudtrail/latest/userguide/cloudwatch-alarms-for-cloudtrail.html
5. https://docs.aws.amazon.com/sns/latest/dg/SubscribeTopic.html</t>
  </si>
  <si>
    <t>4.3 Ensure usage of 'root' account is monitored (Manual)</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</si>
  <si>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'root' login attempts to detect the unauthorized use, or attempts to use the root account.</t>
  </si>
  <si>
    <t>Monitoring for 'root' account logins will provide visibility into the use of a fully privileged account and an opportunity to reduce the use of it.
Cloud Watch is an AWS native service that allows you to observe and monitor resources and applications. CloudTrail Logs can also be sent to an external Security information and event management (SIEM) environment for monitoring and alerting.</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</si>
  <si>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$.userIdentity.type = "Root" &amp;&amp; $.userIdentity.invokedBy NOT EXISTS &amp;&amp; $.eventType != "AwsServiceEvent" }"
4. Note the &lt;root_usage_metric&gt; value associated with the filterPattern found in step 3.
5. Get a list of CloudWatch alarms and filter on the &lt;root_usage_metric&gt; captured in step 4. aws cloudwatch describe-alarms --query 'MetricAlarms[?MetricName== `&lt;root_usage_metric&gt;`]'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</si>
  <si>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'Root' account usage and the &lt;cloudtrail_log_group_name&gt; taken from audit step 1.
aws logs put-metric-filter --log-group-name `&lt;cloudtrail_log_group_name&gt;` --filter-name `&lt;root_usage_metric&gt;` --metric-transformations metricName= `&lt;root_usage_metric&gt;` ,metricNamespace='CISBenchmark',metricValue=1 --filter-pattern '{ $.userIdentity.type = "Root" &amp;&amp; $.userIdentity.invokedBy NOT EXISTS &amp;&amp; $.eventType != "AwsServiceEvent"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`&lt;root_usage_alarm&gt;` --metric-name `&lt;root_usage_metric&gt;` --statistic Sum --period 300 --threshold 1 --comparison-operator GreaterThanOrEqualToThreshold --evaluation-periods 1 --namespace 'CISBenchmark' --alarm-actions &lt;sns_topic_arn&gt;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</si>
  <si>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CCE-79188-9
2. https://docs.aws.amazon.com/awscloudtrail/latest/userguide/receive-cloudtrail-log-files-from-multiple-regions.html
3. https://docs.aws.amazon.com/awscloudtrail/latest/userguide/cloudwatch-alarms-for-cloudtrail.html
4. https://docs.aws.amazon.com/sns/latest/dg/SubscribeTopic.html</t>
  </si>
  <si>
    <t>4.4 Ensure IAM policy changes are monitored (Manual)</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</si>
  <si>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changes made to Identity and Access Management (IAM) policies.</t>
  </si>
  <si>
    <t>CloudWatch is an AWS native service that allows you to observe and monitor resources and applications. CloudTrail Logs can also be sent to an external Security information and event management (SIEM) environment for monitoring and alerting.
Monitoring changes to IAM policies will help ensure authentication and authorization controls remain intact.
Impact:
Monitoring these changes may cause a number of "false positives" more so in larger environments. This alert may need more tuning then others to eliminate some of those erroneous alerts.</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</si>
  <si>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eventName=DeleteGroupPolicy)||($.eventName=DeleteRolePolicy)||($.eventName=DeleteUserPolicy)||($.eventName=PutGroupPolicy)||($.eventName=PutRolePolicy)||($.eventName=PutUserPolicy)||($.eventName=CreatePolicy)||($.eventName=DeletePolicy)||($.eventName=CreatePolicyVersion)||($.eventName=DeletePolicyVersion)||($.eventName=AttachRolePolicy)||($.eventName=DetachRolePolicy)||($.eventName=AttachUserPolicy)||($.eventName=DetachUserPolicy)||($.eventName=AttachGroupPolicy)||($.eventName=DetachGroupPolicy)}"
4. Note the &lt;iam_changes_metric&gt; value associated with the filterPattern found in step 3.
5. Get a list of CloudWatch alarms and filter on the &lt;iam_changes_metric&gt; captured in step 4. aws cloudwatch describe-alarms --query 'MetricAlarms[?MetricName== `&lt;iam_changes_metric&gt;`]'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</si>
  <si>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IAM policy changes and the &lt;cloudtrail_log_group_name&gt; taken from audit step 1. aws logs put-metric-filter --log-group-name `&lt;cloudtrail_log_group_name&gt;` --filter-name `&lt;iam_changes_metric&gt;` --metric-transformations metricName= `&lt;iam_changes_metric&gt;` ,metricNamespace='CISBenchmark',metricValue=1 --filter-pattern '{($.eventName=DeleteGroupPolicy)||($.eventName=DeleteRolePolicy)||($.eventName=DeleteUserPolicy)||($.eventName=PutGroupPolicy)||($.eventName=PutRolePolicy)||($.eventName=PutUserPolicy)||($.eventName=CreatePolicy)||($.eventName=DeletePolicy)||($.eventName=CreatePolicyVersion)||($.eventName=DeletePolicyVersion)||($.eventName=AttachRolePolicy)||($.eventName=DetachRolePolicy)||($.eventName=AttachUserPolicy)||($.eventName=DetachUserPolicy)||($.eventName=AttachGroupPolicy)||($.eventName=DetachGroupPolicy)}'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`&lt;iam_changes_alarm&gt;` --metric-name `&lt;iam_changes_metric&gt;`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</si>
  <si>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CCE-79189-7
2. https://docs.aws.amazon.com/awscloudtrail/latest/userguide/receive-cloudtrail-log-files-from-multiple-regions.html
3. https://docs.aws.amazon.com/awscloudtrail/latest/userguide/cloudwatch-alarms-for-cloudtrail.html
4. https://docs.aws.amazon.com/sns/latest/dg/SubscribeTopic.html</t>
  </si>
  <si>
    <t>4.5 Ensure CloudTrail configuration changes are monitored</t>
  </si>
  <si>
    <t>Real-time monitoring of API calls can be achieved by directing CloudTrail Logs to CloudWatch Logs, or an external Security information and event management (SIEM) environment, where metric filters and alarms can be established.
It is recommended that a metric filter and alarm be utilized for detecting changes to CloudTrail's configurations.</t>
  </si>
  <si>
    <t>Monitoring changes to CloudTrail's configuration will help ensure sustained visibility to activities performed in the AWS account.
Impact:
These steps can be performed manually in a company's existing SIEM platform in cases where CloudTrail logs are monitored outside of the AWS monitoring tools within CloudWatch.</t>
  </si>
  <si>
    <t>If you are using CloudTrails and CloudWatch, perform the following to ensure that there is at least one active multi-region CloudTrail with prescribed metric filters and alarms configured, or that the filters are configured in the appropriate SIEM alerts: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filterPattern output from the above command contains the following: "filterPattern": "{ ($.eventName = CreateTrail) || ($.eventName = UpdateTrail) || ($.eventName = DeleteTrail) || ($.eventName = StartLogging) || ($.eventName = StopLogging) }"
4. Note the &lt;cloudtrail_cfg_changes_metric&gt; value associated with the filterPattern found in step 3.
5. Get a list of CloudWatch alarms and filter on the &lt;cloudtrail_cfg_changes_metric&gt; captured in step 4. aws cloudwatch describe-alarms --query 'MetricAlarms[?MetricName== `&lt;cloudtrail_cfg_changes_metric&gt;`]'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</si>
  <si>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cloudtrail configuration changes and the &lt;cloudtrail_log_group_name&gt; taken from audit step 1.
aws logs put-metric-filter --log-group-name &lt;cloudtrail_log_group_name&gt; --filter-name `&lt;cloudtrail_cfg_changes_metric&gt;` --metric-transformations metricName= `&lt;cloudtrail_cfg_changes_metric&gt;` ,metricNamespace='CISBenchmark',metricValue=1 --filter-pattern '{ ($.eventName = CreateTrail) || ($.eventName = UpdateTrail) || ($.eventName = DeleteTrail) || ($.eventName = StartLogging) || ($.eventName = StopLogging)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`&lt;cloudtrail_cfg_changes_alarm&gt;` --metric-name `&lt;cloudtrail_cfg_changes_metric&gt;` --statistic Sum --period 300 --threshold 1 --comparison-operator GreaterThanOrEqualToThreshold --evaluation-periods 1 --namespace 'CISBenchmark' --alarm-actions &lt;sns_topic_arn&gt;
Configuring log metric filter and alarm on Multi-region (global) CloudTrail
• ensures that activities from all regions (used as well as unused) are monitored
• ensures that activities on all supported global services are monitored
Page 166
• ensures that all management events across all regions are monitored</t>
  </si>
  <si>
    <t>1. CCE-79190-5
2. https://docs.aws.amazon.com/awscloudtrail/latest/userguide/receive-cloudtrail-log-files-from-multiple-regions.html
3. https://docs.aws.amazon.com/awscloudtrail/latest/userguide/cloudwatch-alarms-for-cloudtrail.html
4. https://docs.aws.amazon.com/sns/latest/dg/SubscribeTopic.html</t>
  </si>
  <si>
    <t>4.6 Ensure AWS Management Console authentication failures are monitored (Manual)</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</si>
  <si>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failed console authentication attempts.</t>
  </si>
  <si>
    <t>CloudWatch is an AWS native service that allows you to observe and monitor resources and applications. CloudTrail Logs can also be sent to an external Security information and event management (SIEM) environment for monitoring and alerting.
Monitoring failed console logins may decrease lead time to detect an attempt to brute force a credential, which may provide an indicator, such as source IP address, that can be used in other event correlation.
Impact:
Monitoring for these failures may create a large number of alerts, more so in larger environments.</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</si>
  <si>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ConsoleLogin) &amp;&amp; ($.errorMessage = "Failed authentication") }"
4. Note the &lt;console_signin_failure_metric&gt; value associated with the filterPattern found in step 3.
5. Get a list of CloudWatch alarms and filter on the &lt;console_signin_failure_metric&gt; captured in step 4. aws cloudwatch describe-alarms --query 'MetricAlarms[?MetricName== `&lt;console_signin_failure_metric&gt;`]'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</si>
  <si>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AWS management Console Login Failures and the &lt;cloudtrail_log_group_name&gt; taken from audit step 1.
aws logs put-metric-filter --log-group-name &lt;cloudtrail_log_group_name&gt; --filter-name `&lt;console_signin_failure_metric&gt;` --metric-transformations metricName= `&lt;console_signin_failure_metric&gt;` ,metricNamespace='CISBenchmark',metricValue=1 --filter-pattern '{ ($.eventName = ConsoleLogin) &amp;&amp; ($.errorMessage = "Failed authentication")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`&lt;console_signin_failure_alarm&gt;` --metric-name `&lt;console_signin_failure_metric&gt;`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</si>
  <si>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CCE-79191-3
2. https://docs.aws.amazon.com/awscloudtrail/latest/userguide/receive-cloudtrail-log-files-from-multiple-regions.html
3. https://docs.aws.amazon.com/awscloudtrail/latest/userguide/cloudwatch-alarms-for-cloudtrail.html
4. https://docs.aws.amazon.com/sns/latest/dg/SubscribeTopic.html</t>
  </si>
  <si>
    <t>4.7 Ensure disabling or scheduled deletion of customer created CMKs is monitored (Manual)</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</si>
  <si>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customer created CMKs which have changed state to disabled or scheduled deletion.</t>
  </si>
  <si>
    <t>CloudWatch is an AWS native service that allows you to observe and monitor resources and applications. CloudTrail Logs can also be sent to an external Security information and event management (SIEM) environment for monitoring and alerting.
Data encrypted with disabled or deleted keys will no longer be accessible. Changes in the state of a CMK should be monitored to make sure the change is intentional.
Impact:
Creation, storage, and management of CMK may create additional labor requirements compared to the use of Provide Managed Keys.</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</si>
  <si>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"{($.eventSource = kms.amazonaws.com) &amp;&amp; (($.eventName=DisableKey)||($.eventName=ScheduleKeyDeletion)) }"
4. Note the &lt;disable_or_delete_cmk_changes_metric&gt; value associated with the filterPattern found in step 3.
5. Get a list of CloudWatch alarms and filter on the &lt;disable_or_delete_cmk_changes_metric&gt; captured in step 4. aws cloudwatch describe-alarms --query 'MetricAlarms[?MetricName== `&lt;disable_or_delete_cmk_changes_metric&gt;`]'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</si>
  <si>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disabled or scheduled for deletion CMK's and the &lt;cloudtrail_log_group_name&gt; taken from audit step 1.
aws logs put-metric-filter --log-group-name &lt;cloudtrail_log_group_name&gt; --filter-name `&lt;disable_or_delete_cmk_changes_metric&gt;` --metric-transformations metricName= `&lt;disable_or_delete_cmk_changes_metric&gt;` ,metricNamespace='CISBenchmark',metricValue=1 --filter-pattern '{($.eventSource = kms.amazonaws.com) &amp;&amp; (($.eventName=DisableKey)||($.eventName=ScheduleKeyDeletion))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`&lt;disable_or_delete_cmk_changes_alarm&gt;` --metric-name `&lt;disable_or_delete_cmk_changes_metric&gt;`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</si>
  <si>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CCE-79192-1
2. https://docs.aws.amazon.com/awscloudtrail/latest/userguide/cloudwatch-alarms-for-cloudtrail.html
3. https://docs.aws.amazon.com/awscloudtrail/latest/userguide/receive-cloudtrail-log-files-from-multiple-regions.html
4. https://docs.aws.amazon.com/sns/latest/dg/SubscribeTopic.html</t>
  </si>
  <si>
    <t>4.8 Ensure S3 bucket policy changes are monitored (Manual)</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</si>
  <si>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changes to S3 bucket policies.</t>
  </si>
  <si>
    <t>CloudWatch is an AWS native service that allows you to observe and monitor resources and applications. CloudTrail Logs can also be sent to an external Security information and event management (SIEM) environment for monitoring and alerting.
Monitoring changes to S3 bucket policies may reduce time to detect and correct permissive policies on sensitive S3 buckets.</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</si>
  <si>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($.eventSource = s3.amazonaws.com) &amp;&amp; (($.eventName = PutBucketAcl) || ($.eventName = PutBucketPolicy) || ($.eventName = PutBucketCors) || ($.eventName = PutBucketLifecycle) || ($.eventName = PutBucketReplication) || ($.eventName = DeleteBucketPolicy) || ($.eventName = DeleteBucketCors) || ($.eventName = DeleteBucketLifecycle) || ($.eventName = DeleteBucketReplication)) }"
4. Note the &lt;s3_bucket_policy_changes_metric&gt; value associated with the filterPattern found in step 3.
5. Get a list of CloudWatch alarms and filter on the &lt;s3_bucket_policy_changes_metric&gt; captured in step 4. aws cloudwatch describe-alarms --query 'MetricAlarms[?MetricName== `&lt;s3_bucket_policy_changes_metric&gt;`]'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</si>
  <si>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S3 bucket policy changes and the &lt;cloudtrail_log_group_name&gt; taken from audit step 1.
aws logs put-metric-filter --log-group-name &lt;cloudtrail_log_group_name&gt; --filter-name `&lt;s3_bucket_policy_changes_metric&gt;` --metric-transformations metricName= `&lt;s3_bucket_policy_changes_metric&gt;` ,metricNamespace='CISBenchmark',metricValue=1 --filter-pattern '{ ($.eventSource = s3.amazonaws.com) &amp;&amp; (($.eventName = PutBucketAcl) || ($.eventName = PutBucketPolicy) || ($.eventName = PutBucketCors) || ($.eventName = PutBucketLifecycle) || ($.eventName = PutBucketReplication) || ($.eventName = DeleteBucketPolicy) || ($.eventName = DeleteBucketCors) || ($.eventName = DeleteBucketLifecycle) || ($.eventName = DeleteBucketReplication))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`&lt;s3_bucket_policy_changes_alarm&gt;` --metric-name `&lt;s3_bucket_policy_changes_metric&gt;`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</si>
  <si>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CCE-79193-9
2. https://docs.aws.amazon.com/awscloudtrail/latest/userguide/cloudwatch-alarms-for-cloudtrail.html
3. https://docs.aws.amazon.com/awscloudtrail/latest/userguide/receive-cloudtrail-log-files-from-multiple-regions.html
4. https://docs.aws.amazon.com/sns/latest/dg/SubscribeTopic.html</t>
  </si>
  <si>
    <t>4.9 Ensure AWS Config configuration changes are monitored (Manual)</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</si>
  <si>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detecting changes to AWS Config's configurations.</t>
  </si>
  <si>
    <t>Monitoring changes to AWS Config configuration will help ensure sustained visibility of configuration items within the AWS account.
CloudWatch is an AWS native service that allows you to observe and monitor resources and applications. CloudTrail Logs can also be sent to an external Security information and event management (SIEM) environment for monitoring and alerting.</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</si>
  <si>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($.eventSource = config.amazonaws.com) &amp;&amp; (($.eventName=StopConfigurationRecorder)||($.eventName=DeleteDeliveryChannel)||($.eventName=PutDeliveryChannel)||($.eventName=PutConfigurationRecorder)) }"
4. Note the &lt;aws_config_changes_metric&gt; value associated with the filterPattern found in step 3.
5. Get a list of CloudWatch alarms and filter on the &lt;aws_config_changes_metric&gt; captured in step 4. aws cloudwatch describe-alarms --query 'MetricAlarms[?MetricName== `&lt;aws_config_changes_metric&gt;`]'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</si>
  <si>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AWS Configuration changes and the &lt;cloudtrail_log_group_name&gt; taken from audit step 1.
aws logs put-metric-filter --log-group-name &lt;cloudtrail_log_group_name&gt; --filter-name `&lt;aws_config_changes_metric&gt;` --metric-transformations metricName= `&lt;aws_config_changes_metric&gt;` ,metricNamespace='CISBenchmark',metricValue=1 --filter-pattern '{ ($.eventSource = config.amazonaws.com) &amp;&amp; (($.eventName=StopConfigurationRecorder)||($.eventName=DeleteDeliveryChannel)||($.eventName=PutDeliveryChannel)||($.eventName=PutConfigurationRecorder))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`&lt;aws_config_changes_alarm&gt;` --metric-name `&lt;aws_config_changes_metric&gt;`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Page 182
• ensures that all management events across all regions are monitored</t>
  </si>
  <si>
    <t>1. CCE-79194-7
2. https://docs.aws.amazon.com/awscloudtrail/latest/userguide/cloudwatch-alarms-for-cloudtrail.html
3. https://docs.aws.amazon.com/awscloudtrail/latest/userguide/receive-cloudtrail-log-files-from-multiple-regions.html
4. https://docs.aws.amazon.com/sns/latest/dg/SubscribeTopic.html</t>
  </si>
  <si>
    <t>4.11 Ensure Network Access Control Lists (NACL) changes are monitored (Manual)</t>
  </si>
  <si>
    <t>Real-time monitoring of API calls can be achieved by directing CloudTrail Logs to CloudWatch Logs, or an external Security information and event management (SIEM) environment, and establishing corresponding metric filters and alarms. NACLs are used as a stateless packet filter to control ingress and egress traffic for subnets within a VPC. It is recommended that a metric filter and alarm be established for changes made to NACLs.</t>
  </si>
  <si>
    <t>CloudWatch is an AWS native service that allows you to observe and monitor resources and applications. CloudTrail Logs can also be sent to an external Security information and event management (SIEM) environment for monitoring and alerting.
Monitoring changes to NACLs will help ensure that AWS resources and services are not unintentionally exposed.</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</si>
  <si>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CreateNetworkAcl) || ($.eventName = CreateNetworkAclEntry) || ($.eventName = DeleteNetworkAcl) || ($.eventName = DeleteNetworkAclEntry) || ($.eventName = ReplaceNetworkAclEntry) || ($.eventName = ReplaceNetworkAclAssociation) }"
4. Note the &lt;nacl_changes_metric&gt; value associated with the filterPattern found in step 3.
5. Get a list of CloudWatch alarms and filter on the &lt;nacl_changes_metric&gt; captured in step 4. aws cloudwatch describe-alarms --query 'MetricAlarms[?MetricName== `&lt;nacl_changes_metric&gt;`]'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</si>
  <si>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4.12 Ensure changes to network gateways are monitored (Manual)</t>
  </si>
  <si>
    <t>Real-time monitoring of API calls can be achieved by directing CloudTrail Logs to CloudWatch Logs, or an external Security information and event management (SIEM) environment, and establishing corresponding metric filters and alarms. Network gateways are required to send/receive traffic to a destination outside of a VPC. It is recommended that a metric filter and alarm be established for changes to network gateways.</t>
  </si>
  <si>
    <t>CloudWatch is an AWS native service that allows you to observe and monitor resources and applications. CloudTrail Logs can also be sent to an external Security information and event management (SIEM) environment for monitoring and alerting.
Monitoring changes to network gateways will help ensure that all ingress/egress traffic traverses the VPC border via a controlled path.</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</si>
  <si>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CreateCustomerGateway) || ($.eventName = DeleteCustomerGateway) || ($.eventName = AttachInternetGateway) || ($.eventName = CreateInternetGateway) || ($.eventName = DeleteInternetGateway) || ($.eventName = DetachInternetGateway) }"
4. Note the &lt;network_gw_changes_metric&gt; value associated with the filterPattern found in step 3.
5. Get a list of CloudWatch alarms and filter on the &lt;network_gw_changes_metric&gt; captured in step 4. aws cloudwatch describe-alarms --query 'MetricAlarms[?MetricName== `&lt;network_gw_changes_metric&gt;`]'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</si>
  <si>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network gateways changes and the &lt;cloudtrail_log_group_name&gt; taken from audit step 1.
aws logs put-metric-filter --log-group-name &lt;cloudtrail_log_group_name&gt; --filter-name `&lt;network_gw_changes_metric&gt;` --metric-transformations metricName= `&lt;network_gw_changes_metric&gt;` ,metricNamespace='CISBenchmark',metricValue=1 --filter-pattern '{ ($.eventName = CreateCustomerGateway) || ($.eventName = DeleteCustomerGateway) || ($.eventName = AttachInternetGateway) || ($.eventName = CreateInternetGateway) || ($.eventName = DeleteInternetGateway) || ($.eventName = DetachInternetGateway)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`&lt;network_gw_changes_alarm&gt;` --metric-name `&lt;network_gw_changes_metric&gt;`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</si>
  <si>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CCE-79197-0
2. https://docs.aws.amazon.com/awscloudtrail/latest/userguide/receive-cloudtrail-log-files-from-multiple-regions.html
3. https://docs.aws.amazon.com/awscloudtrail/latest/userguide/cloudwatch-alarms-for-cloudtrail.html
4. https://docs.aws.amazon.com/sns/latest/dg/SubscribeTopic.html</t>
  </si>
  <si>
    <t>4.13 Ensure route table changes are monitored (Manual)</t>
  </si>
  <si>
    <t>Real-time monitoring of API calls can be achieved by directing CloudTrail Logs to CloudWatch Logs, or an external Security information and event management (SIEM) environment, and establishing corresponding metric filters and alarms. Routing tables are used to route network traffic between subnets and to network gateways. It is recommended that a metric filter and alarm be established for changes to route tables.</t>
  </si>
  <si>
    <t>CloudWatch is an AWS native service that allows you to observe and monitor resources and applications. CloudTrail Logs can also be sent to an external Security information and event management (SIEM) environment for monitoring and alerting.
Monitoring changes to route tables will help ensure that all VPC traffic flows through an expected path and prevent any accidental or intentional modifications that may lead to uncontrolled network traffic. An alarm should be triggered every time an AWS API call is performed to create, replace, delete, or disassociate a Route Table.</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</si>
  <si>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CreateRoute) || ($.eventName = CreateRouteTable) || ($.eventName = ReplaceRoute) || ($.eventName = ReplaceRouteTableAssociation) || ($.eventName = DeleteRouteTable) || ($.eventName = DeleteRoute) || ($.eventName = DisassociateRouteTable) }"
4. Note the &lt;route_table_changes_metric&gt; value associated with the filterPattern found in step 3.
5. Get a list of CloudWatch alarms and filter on the &lt;route_table_changes_metric&gt; captured in step 4. aws cloudwatch describe-alarms --query 'MetricAlarms[?MetricName== `&lt;route_table_changes_metric&gt;`]'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</si>
  <si>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route table changes and the &lt;cloudtrail_log_group_name&gt; taken from audit step 1.
aws logs put-metric-filter --log-group-name &lt;cloudtrail_log_group_name&gt; --filter-name `&lt;route_table_changes_metric&gt;` --metric-transformations metricName= `&lt;route_table_changes_metric&gt;` ,metricNamespace='CISBenchmark',metricValue=1 --filter-pattern '{ ($.eventName = CreateRoute) || ($.eventName = CreateRouteTable) || ($.eventName = ReplaceRoute) || ($.eventName = ReplaceRouteTableAssociation) || ($.eventName = DeleteRouteTable) || ($.eventName = DeleteRoute) || ($.eventName = DisassociateRouteTable)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`&lt;route_table_changes_alarm&gt;` --metric-name `&lt;route_table_changes_metric&gt;` --statistic Sum --period 300 --threshold 1 --comparison-operator GreaterThanOrEqualToThreshold --evaluation-periods 1 --namespace 'CISBenchmark' --alarm-actions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</si>
  <si>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CCE-79198-8
2. https://docs.aws.amazon.com/awscloudtrail/latest/userguide/receive-cloudtrail-log-files-from-multiple-regions.html
3. https://docs.aws.amazon.com/awscloudtrail/latest/userguide/cloudwatch-alarms-for-cloudtrail.html
4. https://docs.aws.amazon.com/sns/latest/dg/SubscribeTopic.html</t>
  </si>
  <si>
    <t>4.14 Ensure VPC changes are monitored (Manual)</t>
  </si>
  <si>
    <t>Real-time monitoring of API calls can be achieved by directing CloudTrail Logs to CloudWatch Logs, or an external Security information and event management (SIEM) environment, and establishing corresponding metric filters and alarms. It is possible to have more than 1 VPC within an account, in addition it is also possible to create a peer connection between 2 VPCs enabling network traffic to route between VPCs. It is recommended that a metric filter and alarm be established for changes made to VPCs.</t>
  </si>
  <si>
    <t>CloudWatch is an AWS native service that allows you to observe and monitor resources and applications. CloudTrail Logs can also be sent to an external Security information and event management (SIEM) environment for monitoring and alerting.
VPCs in AWS are logically isolated virtual networks that can be used to launch AWS resources. Monitoring changes to VPC configuration will help ensure VPC traffic flow is not getting impacted. Changes to VPCs can impact network accessibility from the public internet and additionally impact VPC traffic flow to and from resources launched in the VPC.</t>
  </si>
  <si>
    <t>If you are using CloudTrails and CloudWatch, perform the following to ensure that there is at least one active multi-region CloudTrail with prescribed metric filters and alarms configured:
1.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arn:aws:logs:&lt;region&gt;:&lt;aws_account_number&gt;:log-group:NewGroup:*,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($.eventName = CreateVpc) || ($.eventName = DeleteVpc) || ($.eventName = ModifyVpcAttribute) || ($.eventName = AcceptVpcPeeringConnection) || ($.eventName = CreateVpcPeeringConnection) || ($.eventName = DeleteVpcPeeringConnection) || ($.eventName = RejectVpcPeeringConnection) || ($.eventName = AttachClassicLinkVpc) || ($.eventName = DetachClassicLinkVpc) || ($.eventName = DisableVpcClassicLink) || ($.eventName = EnableVpcClassicLink) }"
4. Note the &lt;vpc_changes_metric&gt; value associated with the filterPattern found in step 3.
5. Get a list of CloudWatch alarms and filter on the &lt;vpc_changes_metric&gt; captured in step 4. aws cloudwatch describe-alarms --query 'MetricAlarms[?MetricName== `&lt;vpc_changes_metric&gt;`]'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</si>
  <si>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VPC changes and the &lt;cloudtrail_log_group_name&gt; taken from audit step 1.
aws logs put-metric-filter --log-group-name &lt;cloudtrail_log_group_name&gt; --filter-name `&lt;vpc_changes_metric&gt;` --metric-transformations metricName= `&lt;vpc_changes_metric&gt;` ,metricNamespace='CISBenchmark',metricValue=1 --filter-pattern '{ ($.eventName = CreateVpc) || ($.eventName = DeleteVpc) || ($.eventName = ModifyVpcAttribute) || ($.eventName = AcceptVpcPeeringConnection) || ($.eventName = CreateVpcPeeringConnection) || ($.eventName = DeleteVpcPeeringConnection) || ($.eventName = RejectVpcPeeringConnection) || ($.eventName = AttachClassicLinkVpc) || ($.eventName = DetachClassicLinkVpc) || ($.eventName = DisableVpcClassicLink) || ($.eventName = EnableVpcClassicLink)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`&lt;vpc_changes_alarm&gt;` --metric-name `&lt;vpc_changes_metric&gt;` --statistic Sum --period 300 --threshold 1 --comparison-operator GreaterThanOrEqualToThreshold --evaluation-periods 1 --namespace 'CISBenchmark' --alarm-actions &lt;sns_topic_arn&gt;
Additional Information:
Configuring log metric filter and alarm on Multi-region (global) CloudTrail
• ensures that activities from all regions (used as well as unused) are monitored
• ensures that activities on all supported global services are monitored
• ensures that all management events across all regions are monitored</t>
  </si>
  <si>
    <t>1. CCE-79199-6
2. https://docs.aws.amazon.com/awscloudtrail/latest/userguide/receive-cloudtrail-log-files-from-multiple-regions.html
3. https://docs.aws.amazon.com/awscloudtrail/latest/userguide/cloudwatch-alarms-for-cloudtrail.html
4. https://docs.aws.amazon.com/sns/latest/dg/SubscribeTopic.html</t>
  </si>
  <si>
    <t>4.15 Ensure AWS Organizations changes are monitored (Manual)</t>
  </si>
  <si>
    <t>Real-time monitoring of API calls can be achieved by directing CloudTrail Logs to CloudWatch Logs, and establishing corresponding metric filters and alarms. It is recommended that a metric filter and alarm be established for AWS Organizations changes made in the master AWS Account.</t>
  </si>
  <si>
    <t>CloudWatch is an AWS native service that allows you to observe and monitor resources and applications. CloudTrail Logs can also be sent to an external Security information and event management (SIEM) environment for monitoring and alerting.
Monitoring AWS Organizations changes can help you prevent any unwanted, accidental or intentional modifications that may lead to unauthorized access or other security breaches. This monitoring technique helps you to ensure that any unexpected changes performed within your AWS Organizations can be investigated and any unwanted changes can be rolled back.</t>
  </si>
  <si>
    <t>If you are using CloudTrails and CloudWatch, perform the following:
1. Ensure that there is at least one active multi-region CloudTrail with prescribed metric filters and alarms configured:
• Identify the log group name configured for use with active multi-region CloudTrail:
• List all CloudTrails: aws cloudtrail describe-trails
• Identify Multi region Cloudtrails, Trails with "IsMultiRegionTrail" set to true
• From value associated with CloudWatchLogsLogGroupArn note &lt;cloudtrail_log_group_name&gt; Example: for CloudWatchLogsLogGroupArn that looks like arn:aws:logs::&lt;aws_account_number&gt;:log-group:NewGroup:*, &lt;cloudtrail_log_group_name&gt; would be NewGroup
• Ensure Identified Multi region CloudTrail is active: aws cloudtrail get-trail-status --name &lt;Name of a Multi-region CloudTrail&gt;
Ensure IsLogging is set to TRUE
• Ensure identified Multi-region Cloudtrail captures all Management Events: aws cloudtrail get-event-selectors --trail-name &lt;trailname shown in describe-trails&gt;
• Ensure there is at least one Event Selector for a Trail with IncludeManagementEvents set to true and ReadWriteType set to All.
2. Get a list of all associated metric filters for this &lt;cloudtrail_log_group_name&gt;: aws logs describe-metric-filters --log-group-name "&lt;cloudtrail_log_group_name&gt;"
3. Ensure the output from the above command contains the following: "filterPattern": "{ ($.eventSource = organizations.amazonaws.com) &amp;&amp; (($.eventName = "AcceptHandshake") || ($.eventName = "AttachPolicy") || ($.eventName = "CreateAccount") || ($.eventName = "CreateOrganizationalUnit") || ($.eventName = "CreatePolicy") || ($.eventName = "DeclineHandshake") || ($.eventName = "DeleteOrganization") || ($.eventName = "DeleteOrganizationalUnit") || ($.eventName = "DeletePolicy") || ($.eventName = "DetachPolicy") || ($.eventName = "DisablePolicyType") || ($.eventName = "EnablePolicyType") || ($.eventName = "InviteAccountToOrganization") || ($.eventName = "LeaveOrganization") || ($.eventName = "MoveAccount") || ($.eventName = "RemoveAccountFromOrganization") || ($.eventName = "UpdatePolicy") || ($.eventName = "UpdateOrganizationalUnit")) }"
4. Note the &lt;organizations_changes&gt; value associated with the filterPattern found in step 3.
5. Get a list of CloudWatch alarms and filter on the &lt;organizations_changes&gt; captured in step 4: aws cloudwatch describe-alarms --query 'MetricAlarms[?MetricName== `&lt;organizations_changes&gt;`]'
6. Note the AlarmActions value - this will provide the SNS topic ARN value.
7. Ensure there is at least one active subscriber to the SNS topic: aws sns list-subscriptions-by-topic --topic-arn &lt;sns_topic_arn&gt;
at least one subscription should have "SubscriptionArn" with valid aws ARN. Example of valid "SubscriptionArn": "arn:aws:sns:&lt;region&gt;:&lt;aws_account_number&gt;:&lt;SnsTopicName&gt;:&lt;SubscriptionID&gt;"</t>
  </si>
  <si>
    <t>If you are using CloudTrails and CloudWatch, perform the following to setup the metric filter, alarm, SNS topic, and subscription:
1. Create a metric filter based on filter pattern provided which checks for AWS Organizations changes and the &lt;cloudtrail_log_group_name&gt; taken from audit step 1: aws logs put-metric-filter --log-group-name &lt;cloudtrail_log_group_name&gt; --filter-name `&lt;organizations_changes&gt;` --metric-transformations metricName= `&lt;organizations_changes&gt;` ,metricNamespace='CISBenchmark',metricValue=1 --filter-pattern '{ ($.eventSource = organizations.amazonaws.com) &amp;&amp; (($.eventName = "AcceptHandshake") || ($.eventName = "AttachPolicy") || ($.eventName = "CreateAccount") || ($.eventName = "CreateOrganizationalUnit") || ($.eventName = "CreatePolicy") || ($.eventName = "DeclineHandshake") || ($.eventName = "DeleteOrganization") || ($.eventName = "DeleteOrganizationalUnit") || ($.eventName = "DeletePolicy") || ($.eventName = "DetachPolicy") || ($.eventName = "DisablePolicyType") || ($.eventName = "EnablePolicyType") || ($.eventName = "InviteAccountToOrganization") || ($.eventName = "LeaveOrganization") || ($.eventName = "MoveAccount") || ($.eventName = "RemoveAccountFromOrganization") || ($.eventName = "UpdatePolicy") || ($.eventName = "UpdateOrganizationalUnit"))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`&lt;organizations_changes&gt;` --metric-name `&lt;organizations_changes&gt;` --statistic Sum --period 300 --threshold 1 --comparison-operator GreaterThanOrEqualToThreshold --evaluation-periods 1 --namespace 'CISBenchmark' --alarm-actions &lt;sns_topic_arn&gt;</t>
  </si>
  <si>
    <t>1. https://docs.aws.amazon.com/awscloudtrail/latest/userguide/cloudwatch-alarms-for-cloudtrail.html
2. https://docs.aws.amazon.com/organizations/latest/userguide/orgs_security_incident-response.html</t>
  </si>
  <si>
    <t>4.16 Ensure AWS Security Hub is enabled (Automated)</t>
  </si>
  <si>
    <t>Security Hub collects security data from across AWS accounts, services, and supported third-party partner products and helps you analyze your security trends and identify the highest priority security issues. When you enable Security Hub, it begins to consume, aggregate, organize, and prioritize findings from AWS services that you have enabled, such as Amazon GuardDuty, Amazon Inspector, and Amazon Macie. You can also enable integrations with AWS partner security products.</t>
  </si>
  <si>
    <t>AWS Security Hub provides you with a comprehensive view of your security state in AWS and helps you check your environment against security industry standards and best practices - enabling you to quickly assess the security posture across your AWS accounts.
Impact:
It is recommended AWS Security Hub be enabled in all regions. AWS Security Hub requires AWS Config to be enabled.</t>
  </si>
  <si>
    <t>The process to evaluate AWS Security Hub configuration per region From Console:
1. Sign in to the AWS Management Console and open the AWS Security Hub console at https://console.aws.amazon.com/securityhub/.
2. On the top right of the console, select the target Region.
3. If presented with the Security Hub &gt; Summary page then Security Hub is set-up for the selected region.
4. If presented with Setup Security Hub or Get Started With Security Hub - follow the online instructions.
5. Repeat steps 2 to 4 for each region.
From Command Line: Run the following to list the Securityhub status: aws securityhub describe-hub
This will list the Securityhub status by region. Audit for the presence of a 'SubscribedAt' value Example output:
{ "HubArn": "&lt;Securityhub ARN&gt;", "SubscribedAt": "2022-08-19T17:06:42.398Z", "AutoEnableControls": true }
An error will be returned if Securityhub is not enabled. Example error: An error occurred (InvalidAccessException) when calling the DescribeHub operation: Account &lt;Account ID&gt; is not subscribed to AWS Security Hub</t>
  </si>
  <si>
    <t>To grant the permissions required to enable Security Hub, attach the Security Hub managed policy AWSSecurityHubFullAccess to an IAM user, group, or role. Enabling Security Hub From Console:
1. Use the credentials of the IAM identity to sign in to the Security Hub console.
2. When you open the Security Hub console for the first time, choose Enable AWS Security Hub.
3. On the welcome page, Security standards list the security standards that Security Hub supports.
4. Choose Enable Security Hub.
From Command Line:
1. Run the enable-security-hub command. To enable the default standards, include --enable-default-standards. aws securityhub enable-security-hub --enable-default-standards
2. To enable the security hub without the default standards, include --no-enable-default-standards. aws securityhub enable-security-hub --no-enable-default-standards</t>
  </si>
  <si>
    <t>References:
1. https://docs.aws.amazon.com/securityhub/latest/userguide/securityhub-get-started.html
2. https://docs.aws.amazon.com/securityhub/latest/userguide/securityhub-enable.html#securityhub-enable-api
3. https://awscli.amazonaws.com/v2/documentation/api/latest/reference/securityhub/enable-security-hub.html</t>
  </si>
  <si>
    <t>5.1 Ensure no Network ACLs allow ingress from 0.0.0.0/0 to remote server administration ports (Automated)</t>
  </si>
  <si>
    <t xml:space="preserve">The Network Access Control List (NACL) function provide stateless filtering of ingress and egress network traffic to AWS resources. It is recommended that no NACL allows unrestricted ingress access to remote server administration ports, such as SSH to port 22 and RDP to port 3389, using either the TDP (6), UDP (17) or ALL (-1) protocols
</t>
  </si>
  <si>
    <t>Public access to remote server administration ports, such as 22 and 3389, increases resource attack surface and unnecessarily raises the risk of resource compromise.</t>
  </si>
  <si>
    <t>From Console: Perform the following to determine if the account is configured as prescribed:
1. Login to the AWS Management Console at https://console.aws.amazon.com/vpc/home
2. In the left pane, click Network ACLs
3. For each network ACL, perform the following:
o Select the network ACL
o Click the Inbound Rules tab
o Ensure no rule exists that has a port range that includes port 22, 3389, using the protocols TDP (6), UDP (17) or ALL (-1) or other remote server administration ports for your environment and has a Source of 0.0.0.0/0 and shows ALLOW
Note: A Port value of ALL or a port range such as 0-1024 are inclusive of port 22, 3389, and other remote server administration ports</t>
  </si>
  <si>
    <t>From Console: Perform the following:
1. Login to the AWS Management Console at https://console.aws.amazon.com/vpc/home
2. In the left pane, click Network ACLs
3. For each network ACL to remediate, perform the following:
o Select the network ACL
o Click the Inbound Rules tab
o Click Edit inbound rules
o Either A) update the Source field to a range other than 0.0.0.0/0, or, B) Click Delete to remove the offending inbound rule
o Click Save</t>
  </si>
  <si>
    <t>1. https://docs.aws.amazon.com/vpc/latest/userguide/vpc-network-acls.html
2. https://docs.aws.amazon.com/vpc/latest/userguide/VPC_Security.html#VPC_Security_Comparison</t>
  </si>
  <si>
    <t>Email and Web Browser Protections</t>
  </si>
  <si>
    <t>Improve protections and detections of threats from email and web vectors, as these are opportunities for attackers to manipulate human behavior through direct engagement.</t>
  </si>
  <si>
    <t>Ensure Use of Only Fully Supported Browsers and Email Clients</t>
  </si>
  <si>
    <t>Ensure only fully supported browsers and email clients are allowed to execute in the enterprise, only using the latest version of browsers and email clients provided through the vendor.</t>
  </si>
  <si>
    <t>Use DNS Filtering Services</t>
  </si>
  <si>
    <t>Use DNS filtering services on all enterprise assets to block access to known malicious domains.</t>
  </si>
  <si>
    <t>Maintain and Enforce Network-Based URL Filters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</si>
  <si>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</si>
  <si>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</si>
  <si>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</si>
  <si>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Implement DMARC</t>
  </si>
  <si>
    <t>To lower the chance of spoofed or modified emails from valid domains, implement DMARC policy and verification, starting with implementing the Sender Policy Framework (SPF) and the DomainKeys Identified Mail (DKIM) standards.</t>
  </si>
  <si>
    <t>Block Unnecessary File Types</t>
  </si>
  <si>
    <t>Block unnecessary file types attempting to enter the enterprise’s email gateway.</t>
  </si>
  <si>
    <t>Deploy and Maintain Email Server Anti-Malware Protections</t>
  </si>
  <si>
    <t>Deploy and maintain email server anti-malware protections, such as attachment scanning and/or sandboxing.</t>
  </si>
  <si>
    <t>Malware Defenses</t>
  </si>
  <si>
    <t>Prevent or control the installation, spread, and execution of malicious applications, code, or scripts on enterprise assets.</t>
  </si>
  <si>
    <t>Deploy and Maintain Anti-Malware Software</t>
  </si>
  <si>
    <t>Deploy and maintain anti-malware software on all enterprise assets.</t>
  </si>
  <si>
    <t>Configure Automatic Anti-Malware Signature Updates</t>
  </si>
  <si>
    <t>Configure automatic updates for anti-malware signature files on all enterprise assets.</t>
  </si>
  <si>
    <t>Disable Autorun and Autoplay for Removable Media</t>
  </si>
  <si>
    <t>Disable autorun and autoplay auto-execute functionality for removable media.</t>
  </si>
  <si>
    <t>Configure Automatic Anti-Malware Scanning of Removable Media</t>
  </si>
  <si>
    <t>Configure anti-malware software to automatically scan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</si>
  <si>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</si>
  <si>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</si>
  <si>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</si>
  <si>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Centrally manage anti-malware software.</t>
  </si>
  <si>
    <t>Use Behavior-Based Anti-Malware Software</t>
  </si>
  <si>
    <t>Use behavior-based anti-malware software.</t>
  </si>
  <si>
    <t>Data Recovery</t>
  </si>
  <si>
    <t>Establish and maintain data recovery practices sufficient to restore in-scope enterprise assets to a pre-incident and trusted state.</t>
  </si>
  <si>
    <t>Network Infrastructure Management</t>
  </si>
  <si>
    <t>Establish, implement, and actively manage (track, report, correct) network devices, in order to prevent attackers from exploiting vulnerable network services and access points.</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</si>
  <si>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</si>
  <si>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</si>
  <si>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t>
  </si>
  <si>
    <t>Establish and maintain a secure network architecture. A secure network architecture must address segmentation, least privilege, and availability, at a minimum.</t>
  </si>
  <si>
    <t>Securely Manage Network Infrastructure</t>
  </si>
  <si>
    <t xml:space="preserve">Securely manage network infrastructure. Example implementations include version-controlled-infrastructure-as-code, and the use of secure network protocols, such as SSH and HTTPS. </t>
  </si>
  <si>
    <t>Establish and Maintain Architecture Diagram(s)</t>
  </si>
  <si>
    <t>Establish and maintain architecture diagram(s) and/or other network system documentation. Review and update documentation annually, or when significant enterprise changes occur that could impact this Safeguard.</t>
  </si>
  <si>
    <t>Centralize Network Authentication, Authorization, and Auditing (AAA)</t>
  </si>
  <si>
    <t>Centralize network AAA.</t>
  </si>
  <si>
    <t>Use of Secure Network Management and Communication Protocols </t>
  </si>
  <si>
    <t>Use secure network management and communication protocols (e.g., 802.1X, Wi-Fi Protected Access 2 (WPA2) Enterprise or greater).</t>
  </si>
  <si>
    <t>Ensure Remote Devices Utilize a VPN and are Connecting to an Enterprise’s AAA Infrastructure</t>
  </si>
  <si>
    <t>Require users to authenticate to enterprise-managed VPN and authentication services prior to accessing enterprise resources on end-user devices.</t>
  </si>
  <si>
    <t>Establish and Maintain Dedicated Computing Resources for All Administrative Work</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</si>
  <si>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</si>
  <si>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Network Monitoring and Defense</t>
  </si>
  <si>
    <t>Operate processes and tooling to establish and maintain comprehensive network monitoring and defense against security threats across the enterprise’s network infrastructure and user base.</t>
  </si>
  <si>
    <t>Centralize Security Event Alerting</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</si>
  <si>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</si>
  <si>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Host-Based Intrusion Detection Solution</t>
  </si>
  <si>
    <t>Deploy a host-based intrusion detection solution on enterprise assets, where appropriate and/or supported.</t>
  </si>
  <si>
    <t>Deploy a Network Intrusion Detection Solution</t>
  </si>
  <si>
    <t>Deploy a network intrusion detection solution on enterprise assets, where appropriate. Example implementations include the use of a Network Intrusion Detection System (NIDS) or equivalent cloud service provider (CSP) service.</t>
  </si>
  <si>
    <t>Perform Traffic Filtering Between Network Segments</t>
  </si>
  <si>
    <t>Perform traffic filtering between network segments, where appropriate.</t>
  </si>
  <si>
    <t>The Network Access Control List (NACL) function provide stateless filtering of ingress and egress network traffic to AWS resources. It is recommended that no NACL allows unrestricted ingress access to remote server administration ports, such as SSH to port 22 and RDP to port 3389, using either the TDP (6), UDP (17) or ALL (-1) protocols</t>
  </si>
  <si>
    <t>5.2 Ensure no security groups allow ingress from 0.0.0.0/0 to remote server administration ports (Automated)</t>
  </si>
  <si>
    <t>Security groups provide stateful filtering of ingress and egress network traffic to AWS resources. It is recommended that no security group allows unrestricted ingress access to remote server administration ports, such as SSH to port 22 and RDP to port 3389, using either the TDP (6), UDP (17) or ALL (-1) protocols</t>
  </si>
  <si>
    <t>Public access to remote server administration ports, such as 22 and 3389, increases resource attack surface and unnecessarily raises the risk of resource compromise.
Impact:
When updating an existing environment, ensure that administrators have access to remote server administration ports through another mechanism before removing access by deleting the 0.0.0.0/0 inbound rule.</t>
  </si>
  <si>
    <t>Perform the following to determine if the account is configured as prescribed:
1. Login to the AWS Management Console at https://console.aws.amazon.com/vpc/home
2. In the left pane, click Security Groups
3. For each security group, perform the following:
4. Select the security group
5. Click the Inbound Rules tab
6. Ensure no rule exists that has a port range that includes port 22, 3389, using the protocols TDP (6), UDP (17) or ALL (-1) or other remote server administration ports for your environment and has a Source of 0.0.0.0/0
Note: A Port value of ALL or a port range such as 0-1024 are inclusive of port 22, 3389, and other remote server administration ports.</t>
  </si>
  <si>
    <t>Perform the following to implement the prescribed state:
1. Login to the AWS Management Console at https://console.aws.amazon.com/vpc/home
2. In the left pane, click Security Groups
3. For each security group, perform the following:
4. Select the security group
5. Click the Inbound Rules tab
6. Click the Edit inbound rules button
7. Identify the rules to be edited or removed
8. Either A) update the Source field to a range other than 0.0.0.0/0, or, B) Click Delete to remove the offending inbound rule
9. Click Save rules</t>
  </si>
  <si>
    <t>1. https://docs.aws.amazon.com/AWSEC2/latest/UserGuide/ec2-security-groups.html#deleting-security-group-rule</t>
  </si>
  <si>
    <t>5.3 Ensure no security groups allow ingress from ::/0 to remote server administration ports (Automated)</t>
  </si>
  <si>
    <t>Security groups provide stateful filtering of ingress and egress network traffic to AWS resources. It is recommended that no security group allows unrestricted ingress access to remote server administration ports, such as SSH to port 22 and RDP to port 3389.</t>
  </si>
  <si>
    <t>Public access to remote server administration ports, such as 22 and 3389, increases resource attack surface and unnecessarily raises the risk of resource compromise.
Impact:
When updating an existing environment, ensure that administrators have access to remote server administration ports through another mechanism before removing access by deleting the ::/0 inbound rule.</t>
  </si>
  <si>
    <t>Manage Access Control for Remote Assets</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</si>
  <si>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</si>
  <si>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 xml:space="preserve">Collect Network Traffic Flow Logs </t>
  </si>
  <si>
    <t>Collect network traffic flow logs and/or network traffic to review and alert upon from network devices.</t>
  </si>
  <si>
    <t>Deploy a Host-Based Intrusion Prevention Solution</t>
  </si>
  <si>
    <t xml:space="preserve"> Deploy a host-based intrusion prevention solution on enterprise assets, where appropriate and/or supported. Example implementations include use of an Endpoint Detection and Response (EDR) client or host-based IPS agent.</t>
  </si>
  <si>
    <t>Deploy a Network Intrusion Prevention Solution</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</si>
  <si>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</si>
  <si>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</si>
  <si>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</si>
  <si>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</si>
  <si>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</si>
  <si>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</si>
  <si>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</si>
  <si>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</si>
  <si>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 to influence behavior among the workforce to be security conscious and properly skilled to reduce cybersecurity risks to the enterprise.</t>
  </si>
  <si>
    <t>N/A</t>
  </si>
  <si>
    <t>Establish and Maintain a Security Awareness Program</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</si>
  <si>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</si>
  <si>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to Recognize Social Engineering Attacks</t>
  </si>
  <si>
    <t>Train workforce members to recognize social engineering attacks, such as phishing, pre-texting, and tailgating. </t>
  </si>
  <si>
    <t>Train Workforce Members on Authentication Best Practices</t>
  </si>
  <si>
    <t>Train workforce members on authentication best practices. Example topics include MFA, password composition, and credential management.</t>
  </si>
  <si>
    <t>Train Workforce on Data Handling Best Practices</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</si>
  <si>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</si>
  <si>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on Causes of Unintentional Data Exposure</t>
  </si>
  <si>
    <t>Train workforce members to be aware of causes for unintentional data exposure. Example topics include mis-delivery of sensitive data, losing a portable end-user device, or publishing data to unintended audiences.</t>
  </si>
  <si>
    <t>Train Workforce Members on Recognizing and Reporting Security Incidents</t>
  </si>
  <si>
    <t>Train workforce members to be able to recognize a potential incident and be able to report such an incident. </t>
  </si>
  <si>
    <t>Train Workforce on How to Identify and Report if Their Enterprise Assets are Missing Security Updates</t>
  </si>
  <si>
    <t>Train workforce to understand how to verify and report out-of-date software patches or any failures in automated processes and tools. Part of this training should include notifying IT personnel of any failures in automated processes and tools.</t>
  </si>
  <si>
    <t>Train Workforce on the Dangers of Connecting to and Transmitting Enterprise Data Over Insecure Networks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</si>
  <si>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</si>
  <si>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Conduct Role-Specific Security Awareness and Skills Training</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</si>
  <si>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</si>
  <si>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Service Provider Management</t>
  </si>
  <si>
    <t>Develop a process to evaluate service providers who hold sensitive data, or are responsible for an enterprise’s critical IT platforms or processes, to ensure these providers are protecting those platforms and data appropriately.</t>
  </si>
  <si>
    <t>Establish and Maintain an Inventory of Service Providers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</si>
  <si>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</si>
  <si>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Establish and Maintain a Service Provider Management Policy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</si>
  <si>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</si>
  <si>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</si>
  <si>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</si>
  <si>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</si>
  <si>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</si>
  <si>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</si>
  <si>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</si>
  <si>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Application Software Security</t>
  </si>
  <si>
    <t>Manage the security life cycle of in-house developed, hosted, or acquired software to prevent, detect, and remediate security weaknesses before they can impact the enterprise.</t>
  </si>
  <si>
    <t>Establish and Maintain a Secure Application Development Process</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</si>
  <si>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</si>
  <si>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Establish and Maintain a Process to Accept and Address Software Vulnerabilities</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</si>
  <si>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</si>
  <si>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Perform Root Cause Analysis on Security Vulnerabilities</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</si>
  <si>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</si>
  <si>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r>
      <t>Establish and Manage an Inventory of Third</t>
    </r>
    <r>
      <rPr>
        <sz val="12"/>
        <color rgb="FFFF5630"/>
        <rFont val="Arial"/>
        <family val="2"/>
      </rPr>
      <t>-</t>
    </r>
    <r>
      <rPr>
        <sz val="12"/>
        <color theme="1"/>
        <rFont val="Arial"/>
        <family val="2"/>
      </rPr>
      <t>Party Software Components</t>
    </r>
  </si>
  <si>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</si>
  <si>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Use Up-to-Date and Trusted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</si>
  <si>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</si>
  <si>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</si>
  <si>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</si>
  <si>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Hardening Configuration Templates for Application Infrastructure</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</si>
  <si>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</si>
  <si>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Separate Production and Non-Production Systems</t>
  </si>
  <si>
    <t>Maintain separate environments for production and non-production systems.</t>
  </si>
  <si>
    <t>Train Developers in Application Security Concepts and Secure Coding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</si>
  <si>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</si>
  <si>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</si>
  <si>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</si>
  <si>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</si>
  <si>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</si>
  <si>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</si>
  <si>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Apply static and dynamic analysis tools within the application life cycle to verify that secure coding practices are being followed.</t>
  </si>
  <si>
    <t>Conduct Application Penetration Testing</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</si>
  <si>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</si>
  <si>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</si>
  <si>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</si>
  <si>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Incident Response Management</t>
  </si>
  <si>
    <t>Establish a program to develop and maintain an incident response capability (e.g., policies, plans, procedures, defined roles, training, and communications) to prepare, detect, and quickly respond to an attack.</t>
  </si>
  <si>
    <t>Designate Personnel to Manage Incident Handling</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</si>
  <si>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</si>
  <si>
    <t>Establish and Maintain Contact Information for Reporting Security Incidents</t>
  </si>
  <si>
    <t>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</si>
  <si>
    <t>1.1 Maintain current contact details (Manual)</t>
  </si>
  <si>
    <t>Ensure contact email and telephone details for AWS accounts are current and map to more than one individual in your organization.
An AWS account supports a number of contact details, and AWS will use these to contact the account owner if activity judged to be in breach of Acceptable Use Policy or indicative of likely security compromise is observed by the AWS Abuse team. Contact details should not be for a single individual, as circumstances may arise where that individual is unavailable. Email contact details should point to a mail alias which forwards email to multiple individuals within the organization; where feasible, phone contact details should point to a PABX hunt group or other call-forwarding system.</t>
  </si>
  <si>
    <t>If an AWS account is observed to be behaving in a prohibited or suspicious manner, AWS will attempt to contact the account owner by email and phone using the contact details listed. If this is unsuccessful and the account behavior needs urgent mitigation, proactive measures may be taken, including throttling of traffic between the account exhibiting suspicious behavior and the AWS API endpoints and the Internet. This will result in impaired service to and from the account in question, so it is in both the customers' and AWS' best interests that prompt contact can be established. This is best achieved by setting AWS account contact details to point to resources which have multiple individuals as recipients, such as email aliases and PABX hunt groups.</t>
  </si>
  <si>
    <t>This activity can only be performed via the AWS Console, with a user who has permission to read and write Billing information (aws-portal:*Billing )
1. Sign in to the AWS Management Console and open the Billing and Cost Management console at https://console.aws.amazon.com/billing/home#/.
2. On the navigation bar, choose your account name, and then choose Account.
3. On the Account Settings page, review and verify the current details.
4. Under Contact Information, review and verify the current details.</t>
  </si>
  <si>
    <t>This activity can only be performed via the AWS Console, with a user who has permission to read and write Billing information (aws-portal:*Billing ).
1. Sign in to the AWS Management Console and open the Billing and Cost Management console at https://console.aws.amazon.com/billing/home#/.
2. On the navigation bar, choose your account name, and then choose Account.
3. On the Account Settings page, next to Account Settings, choose Edit.
4. Next to the field that you need to update, choose Edit.
5. After you have entered your changes, choose Save changes.
6. After you have made your changes, choose Done.
7. To edit your contact information, under Contact Information, choose Edit.
8. For the fields that you want to change, type your updated information, and then choose Update.</t>
  </si>
  <si>
    <t>1.2 Ensure security contact information is registered (Manual)</t>
  </si>
  <si>
    <t>AWS provides customers with the option of specifying the contact information for account's security team. It is recommended that this information be provided.</t>
  </si>
  <si>
    <t>Specifying security-specific contact information will help ensure that security advisories sent by AWS reach the team in your organization that is best equipped to respond to them.</t>
  </si>
  <si>
    <t>Perform the following to determine if security contact information is present: From Console:
1. Click on your account name at the top right corner of the console
2. From the drop-down menu Click My Account
3. Scroll down to the Alternate Contacts section
4. Ensure contact information is specified in the Security section</t>
  </si>
  <si>
    <t>Perform the following to establish security contact information: From Console:
1. Click on your account name at the top right corner of the console.
2. From the drop-down menu Click My Account
3. Scroll down to the Alternate Contacts section
4. Enter contact information in the Security section
From Command Line: Run the following command with the following input parameters: --email-address, --name, and --phone-number.
aws account put-alternate-contact --alternate-contact-type SECURITY
Note: Consider specifying an internal email distribution list to ensure emails are regularly monitored by more than one individual.</t>
  </si>
  <si>
    <t>1. CCE-79200-2</t>
  </si>
  <si>
    <t>1.3 Ensure security questions are registered in the AWS account (Manual)</t>
  </si>
  <si>
    <t>The AWS support portal allows account owners to establish security questions that can be used to authenticate individuals calling AWS customer service for support. It is recommended that security questions be established.</t>
  </si>
  <si>
    <t>When creating a new AWS account, a default super user is automatically created. This account is referred to as the 'root user' or 'root' account. It is recommended that the use of this account be limited and highly controlled. During events in which the 'root' password is no longer accessible or the MFA token associated with 'root' is lost/destroyed it is possible, through authentication using secret questions and associated answers, to recover 'root' user login access.</t>
  </si>
  <si>
    <t>1. Login to the AWS account as the 'root' user
2. On the top right you will see the &lt;Root_Account_Name&gt;
3. Click on the &lt;Root_Account_Name&gt;
4. From the drop-down menu Click My Account
5. In the Configure Security Challenge Questions section on the Personal Information page, configure three security challenge questions.
6. Click Save questions .</t>
  </si>
  <si>
    <t>1. Login to the AWS Account as the 'root' user
2. Click on the &lt;Root_Account_Name&gt; from the top right of the console
3. From the drop-down menu Click My Account
4. Scroll down to the Configure Security Questions section
5. Click on Edit
6. Click on each Question
• From the drop-down select an appropriate question
• Click on the Answer section
• Enter an appropriate answer
o Follow process for all 3 questions
7. Click Update when complete
8. Save Questions and Answers and place in a secure physical location</t>
  </si>
  <si>
    <t>Establish and Maintain an Enterprise Process for Reporting Incidents</t>
  </si>
  <si>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</si>
  <si>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an Incident Response Process</t>
  </si>
  <si>
    <t>Establish and maintain an incident response process that addresses roles and responsibilities, compliance requirements, and a communication plan. Review annually, or when significant enterprise changes occur that could impact this Safeguard.</t>
  </si>
  <si>
    <t>Assign Key Roles and Responsibilities</t>
  </si>
  <si>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</si>
  <si>
    <t>Define Mechanisms for Communicating During Incident Response</t>
  </si>
  <si>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</si>
  <si>
    <t>Conduct Routine Incident Response Exercises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</si>
  <si>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</si>
  <si>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t>
  </si>
  <si>
    <t>Conduct post-incident reviews. Post-incident reviews help prevent incident recurrence through identifying lessons learned and follow-up action.</t>
  </si>
  <si>
    <t>Establish and Maintain Security Incident Thresholds</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</si>
  <si>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</si>
  <si>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Penetration Testing</t>
  </si>
  <si>
    <t>Test the effectiveness and resiliency of enterprise assets through identifying and exploiting weaknesses in controls (people, processes, and technology), and simulating the objectives and actions of an attacker.</t>
  </si>
  <si>
    <t>Establish and Maintain a Penetration Testing Program</t>
  </si>
  <si>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</si>
  <si>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</si>
  <si>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</si>
  <si>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Remediate Penetration Test Findings</t>
  </si>
  <si>
    <t>Remediate penetration test findings based on the enterprise’s policy for remediation scope and prioritization.</t>
  </si>
  <si>
    <t>Validate Security Measures</t>
  </si>
  <si>
    <t>Validate security measures after each penetration test. If deemed necessary, modify rulesets and capabilities to detect the techniques used during testing.</t>
  </si>
  <si>
    <t>Perform Periodic Internal Penetration Tests</t>
  </si>
  <si>
    <t>Perform periodic internal penetration tests based on program requirements, no less than annually. The testing may be clear box or opaque box.</t>
  </si>
  <si>
    <t>Mandatory</t>
  </si>
  <si>
    <t xml:space="preserve">(Description) תיאור </t>
  </si>
  <si>
    <t>ב-LZ הממשלתי נחסמת חשיפה לאינטרנט של ה-S3 ומתבצעת הצפנה במנוחה של המידע. 
סיווג המידע מתבצע על ידי המשרד.</t>
  </si>
  <si>
    <t>מתבצע על ידי ה-LZ הממשלתי ב-AWS בלבד. אין יכולת שימוש במשתמש ROOT כלל.</t>
  </si>
  <si>
    <t>מתבצע על ידי ה-LZ הממשלתי</t>
  </si>
  <si>
    <t xml:space="preserve">באחריות המשרד (LEAST PRIVILEGE) </t>
  </si>
  <si>
    <t>מופעל ברמת ה-LZ לחלק שלו - כל משרד נדרש להרים את השירות הזה עבור עצמו. יש לעמוד בבקרה זו אם על בסיס ה-NATIVE של AWS או בשירותי מוצר צד ג' תואם.</t>
  </si>
  <si>
    <t>ב-LZ הממשלתי קיים SCP המונע מחיקת משאבים קריטיים ברמת ה-LZ, אך משרדים נדרשים לעמוד בבקרה זו עבור השירותים שלהם.</t>
  </si>
  <si>
    <t>מופעל ברמת ה-LZ , משרדים לא יכולים לפתוח גישה לשירות לאינטרנט</t>
  </si>
  <si>
    <t>באחריות המשרד</t>
  </si>
  <si>
    <t xml:space="preserve">באחריות המשרד, כל משרד נדרש לערוך את ה-DEFAULT SECG שלו בכל REGION </t>
  </si>
  <si>
    <t>ה-LZ הממשלתי מונע VPC PEERING ברמת ה-SCP של התשתית, כל התעבורה עוברת דרך הצ'ק פוינט IAAS המשרדי בתשתית ה-LZ.</t>
  </si>
  <si>
    <t>באחריות המשרד לבנות את הפוליסה של ה-S3 שלהם.</t>
  </si>
  <si>
    <t>קיים ברמת ה-LZ הממשלתי.</t>
  </si>
  <si>
    <t>באחריות המשרד לקנפג את ה-KMS שלו להחלפת מפתחות ב-ENABLE.</t>
  </si>
  <si>
    <t>לכל משרד נוצר באופן אוטומטי שירות CLOUDTRAIL יחד עם S3 BUCKET לאחסון הלוגים. על המשרד לוודא ש-ACCESS LOGGING מופעל על ה-S3 BUCKET הנ"ל.</t>
  </si>
  <si>
    <t>כרגע ב-LZ הממשלתי מופעל על 8 תווים. לשקול האם לדרוש זאת מהמשרדים.</t>
  </si>
  <si>
    <t>מופעל ברמת ה-LZ הממשלתי.</t>
  </si>
  <si>
    <t>פירוט למעלה</t>
  </si>
  <si>
    <t>מופעל ברמת ה-LZ</t>
  </si>
  <si>
    <t>לא קיים  ברמת ה-LZ ,מכיוון שה-ROOT מנוטרל ונדרש לאפשר גישה ל-3 אנשים, אם מפעילים MFA כאן אז זה ימנע את האפשרות לשימוש במקרה חירום.
לא ניתן ליישם
נדרשות בקרות מפצות בהתאם</t>
  </si>
  <si>
    <t>מפורט לעיל</t>
  </si>
  <si>
    <t>באחריות המשרד (אופציונלי, להפעיל בזמן אירוע בלבד בעקבות משמעות כלכלית)</t>
  </si>
  <si>
    <t>מופעל ברמת ה-LZ הממשלתי עבור המשרדים המתארחים, משרדים שעולים ל-LZ עצמאי נדרשים לעמוד בבקרה זו.</t>
  </si>
  <si>
    <t>אחריות המשרד</t>
  </si>
  <si>
    <t>מופעל ברמת ה-LZ הממשלתי, משרדים אשר עולים ל-LZ עצמאית נדרשים להפעיל בקרה זו.</t>
  </si>
  <si>
    <t>שימוש ב-ROOT לא מאושר ברמת ה-LZ הממשלתי, נסיונות שימוש במשתמש ה-ROOT ינוטרו על ידי ה-SOC הממשלתי. 
משרד אשר עולה עצמאית ל-LZ משלו נדרש לעמוד בבקרה זו ולנטר נסיונות התחברות שכאלה.</t>
  </si>
  <si>
    <t>באחריות המשרדים</t>
  </si>
  <si>
    <t xml:space="preserve"> על משרדים המתארחים ב-LZ הממשלתי לממש תכולת ניטור זו מול ה-SOC.
משרדים אשר עולים ל-LZ עצמאית נדרשים להפעיל בקרה זו.</t>
  </si>
  <si>
    <t>על משרדים המתארחים ב-LZ הממשלתי לממש תכולת ניטור זו מול ה-SOC.
משרדים אשר עולים ל-LZ עצמאית נדרשים להפעיל בקרה זו.</t>
  </si>
  <si>
    <t>ניטור זה יבוצע  על ידי ה-LZ הממשלתי מול ה-SOC הממשלתי. 
משרדים אשר עולים ל-LZ עצמאית נדרשים לממש את תכולת ניטור זו באופן עצמאי.</t>
  </si>
  <si>
    <t xml:space="preserve"> על משרדים המתארחים ב-LZ הממשלתי לממש תכולת ניטור זו מול ה-SOC.
משרדים אשר עולים ל-LZ עצמאית נדרשים להפעיל בקרה זו. </t>
  </si>
  <si>
    <t>ניטור זה מתבצע על ידי ה-LZ הממשלתי.
משרדים אשר עולים ל-LZ עצמאית נדרשים לממש את תכולת ניטור זו באופן עצמאי.</t>
  </si>
  <si>
    <t>מופעל ברמת ה-LZ הממשלתי
 משרדים אשר עולים ל-LZ עצמאית נדרשים להפעיל בקרה זו.</t>
  </si>
  <si>
    <t>מופעל על ידי הlz הממשלתי ברמת ORGANIZATION בלבד.
אם משרד עולה עצמאית ל-LZ משלו נדרש לממש בקרה זו.</t>
  </si>
  <si>
    <t>מופעל על ידי הlz הממשלתי ברמת ORGANIZATION בלבד.
למשרדים אין ROOT USER על ה-ACCOUNT שלהם אלא משתמשי SSO בלבד.
אם משרד עולה עצמאית ל-LZ משלו נדרש לממש בקרה זו.</t>
  </si>
  <si>
    <t>פירוט</t>
  </si>
  <si>
    <t>Given in GovLZ OOB</t>
  </si>
  <si>
    <t>תצורת ענן מבוקשת</t>
  </si>
  <si>
    <t>INF TYPE</t>
  </si>
  <si>
    <t>Chosen INF</t>
  </si>
  <si>
    <t>Count Controls</t>
  </si>
  <si>
    <t>=</t>
  </si>
  <si>
    <t>Total</t>
  </si>
  <si>
    <t>Part</t>
  </si>
  <si>
    <t>Didn’t</t>
  </si>
  <si>
    <t>ספק הענן</t>
  </si>
  <si>
    <t>Cloud Provider</t>
  </si>
  <si>
    <t>Column1</t>
  </si>
  <si>
    <t>Column2</t>
  </si>
  <si>
    <t>Column3</t>
  </si>
  <si>
    <t>Column4</t>
  </si>
  <si>
    <t>**</t>
  </si>
  <si>
    <t>Yes</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</si>
  <si>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</si>
  <si>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</si>
  <si>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</si>
  <si>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</si>
  <si>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</si>
  <si>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</si>
  <si>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</si>
  <si>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</si>
  <si>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</si>
  <si>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</si>
  <si>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</si>
  <si>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</si>
  <si>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</si>
  <si>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</si>
  <si>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</si>
  <si>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</si>
  <si>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</si>
  <si>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</si>
  <si>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</si>
  <si>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Column25</t>
  </si>
  <si>
    <t>Column26</t>
  </si>
  <si>
    <t>Column27</t>
  </si>
  <si>
    <t>ארגוני</t>
  </si>
  <si>
    <t>מערכת</t>
  </si>
  <si>
    <t>ברמת ה-LZ הממשלתי כל הלוגים של ה-CT מוצפנים על ידי KMS עם מפתחות של AWS.</t>
  </si>
  <si>
    <r>
      <t xml:space="preserve">מופעל ברמת ה-LZ באופן אוטומטי. </t>
    </r>
    <r>
      <rPr>
        <b/>
        <sz val="11"/>
        <color theme="0"/>
        <rFont val="Arial"/>
        <family val="2"/>
        <charset val="177"/>
        <scheme val="minor"/>
      </rPr>
      <t>להעביר לקובי לבדיקה.</t>
    </r>
  </si>
  <si>
    <t>Column28</t>
  </si>
  <si>
    <t>הכל</t>
  </si>
  <si>
    <t>בקרת ספק מומלצת</t>
  </si>
  <si>
    <t>סוג בקרת אבטחה</t>
  </si>
  <si>
    <t>מספר בקרה ב CIS</t>
  </si>
  <si>
    <t>v</t>
  </si>
  <si>
    <t>כמות בקרות להם יש בקרת ספק</t>
  </si>
  <si>
    <t>כמות בקרות ספק שמוטמעות ב LZ</t>
  </si>
  <si>
    <t>כמות בקרות חד פעמיות</t>
  </si>
  <si>
    <t>Column29</t>
  </si>
  <si>
    <t>סל מיגון</t>
  </si>
  <si>
    <t>מתקבל כברירת מחדל באזור הנחיתה הממשלתי</t>
  </si>
  <si>
    <t>תצוגה</t>
  </si>
  <si>
    <t>Language</t>
  </si>
  <si>
    <t>English - Brief</t>
  </si>
  <si>
    <t>עברית - מקוצר</t>
  </si>
  <si>
    <t>English - Full</t>
  </si>
  <si>
    <t>עברית - מלא</t>
  </si>
  <si>
    <t>הקמה ותחזוקה של מיפוי נכסים ארגוניים מפורטים</t>
  </si>
  <si>
    <t>התייחס לנכסים לא מורשים</t>
  </si>
  <si>
    <t>השתמשו בכלי גילוי אקטיביים</t>
  </si>
  <si>
    <t>השתמש ברישום-Dynamic Host Configuration Protocol (DHCP)  כדי לעדכן את מיפוי הנכסים הארגוניים</t>
  </si>
  <si>
    <t>השתמש בכלי גילוי נכסים פסיבי</t>
  </si>
  <si>
    <t>מיפוי ובקרה על נכסים ארגוניים</t>
  </si>
  <si>
    <t>מיפוי ובקרת נכסי תוכנה</t>
  </si>
  <si>
    <t>הקמה ותחזוקה של מיפוי תוכנה</t>
  </si>
  <si>
    <t>ודא כי התוכנה המורשית בארגון נתמכת על ידי היצרן</t>
  </si>
  <si>
    <t>קיים תוכנית לטיפול ברכיבי תוכנה לא מאושרים</t>
  </si>
  <si>
    <t>השתמש בכלי מיפוי תוכנה אוטומטיים</t>
  </si>
  <si>
    <t>ניהול רשימת תוכנות מאושרות</t>
  </si>
  <si>
    <t>ניהול רשימת  ספריות קוד מאושרות</t>
  </si>
  <si>
    <t>ניהול רשימת קטעי קוד וסקריפטים מאושרים</t>
  </si>
  <si>
    <t>2.13 Ensure Cloud Asset Inventory Is Enabled (Automated)</t>
  </si>
  <si>
    <t xml:space="preserve">GCP Cloud Asset Inventory is services that provides a historical view of GCP resources and IAM policies through a time-series database. The information recorded includes metadata on Google Cloud resources, metadata on policies set on Google Cloud projects or resources, and runtime information gathered within a Google Cloud resource.
</t>
  </si>
  <si>
    <t>The GCP resources and IAM policies captured by GCP Cloud Asset Inventory enables security analysis, resource change tracking, and compliance auditing.
It is recommended GCP Cloud Asset Inventory be enabled for all GCP projects.</t>
  </si>
  <si>
    <t>From Google Cloud Console Ensure that the Cloud Asset API is enabled:
1. Go to API &amp; Services/Library by visiting https://console.cloud.google.com/apis/library
2. Search for Cloud Asset API and select the result for Cloud Asset API
3. Ensure that API Enabled is displayed.
From Google Cloud CLI Ensure that the Cloud Asset API is enabled:
1. Query enabled services: gcloud services list --enabled --filter=name:cloudasset.googleapis.com
If the API is listed, then it is enabled. If the response is Listed 0 items the API is not enabled.
Additional Information:
Additional info
• Cloud Asset Inventory only keeps a five-week history of Google Cloud asset metadata. If a longer history is desired, automation to export the history to Cloud Storage or BigQuery should be evaluated.</t>
  </si>
  <si>
    <t>From Google Cloud Console Enable the Cloud Asset API:
1. Go to API &amp; Services/Library by visiting https://console.cloud.google.com/apis/library
2. Search for Cloud Asset API and select the result for Cloud Asset API
3. Click the ENABLE button.
Page 115
From Google Cloud CLI Enable the Cloud Asset API:
1. Enable the Cloud Asset API through the services interface: gcloud services enable cloudasset.googleapis.com
Default Value:
The Cloud Asset Inventory API is disabled by default in each project.</t>
  </si>
  <si>
    <t>1. https://cloud.google.com/asset-inventory/docs</t>
  </si>
  <si>
    <t>4.12 Ensure the Latest Operating System Updates Are Installed On Your Virtual Machines in All Projects (Manual)</t>
  </si>
  <si>
    <t>Google Cloud Virtual Machines have the ability via an OS Config agent API to periodically (about every 10 minutes) report OS inventory data. A patch compliance API periodically reads this data, and cross references metadata to determine if the latest updates are installed.
This is not the only Patch Management solution available to your organization and you should weigh your needs before committing to using this method.</t>
  </si>
  <si>
    <t>Keeping virtual machine operating systems up to date is a security best practice. Using this service will simplify this process.
Impact:
Most Operating Systems require a restart or changing critical resources to apply the updates. Using the Google Cloud VM manager for its OS Patch management will incur additional costs for each VM managed by it. Please view the VM manager pricing reference for further information.</t>
  </si>
  <si>
    <t>From Google Cloud Console Determine if OS Config API is Enabled for the Project
1. Navigate into a project. In the expanded navigation menu located at the top left of the screen hover over APIs &amp; Services. Then in the menu right of that select API Libraries
2. Search for "VM Manager (OS Config API) or scroll down in the left hand column and select the filter labeled "Compute" where it is the last listed. Open this API.
3. Verify the blue button at the top is enabled.
Determine if VM Instances have correct metadata tags for OSConfig parsing
1. From the main Google Cloud console, open the hamburger menu in the top left. Mouse over Computer Engine to expand the menu next to it.
2. Under the "Settings" heading, select "Metadata".
3. In this view there will be a list of the project wide metadata tags for VMs. Determine if the tag "enable-osconfig" is set to "true".
Determine if the Operating System of VM Instances have the local OS-Config Agent running There is no way to determine this from the Google Cloud console. The only way is to run operating specific commands locally inside the operating system via remote connection. For the sake of brevity of this recommendation please view the docs/troubleshooting/vm-manager/verify-setup reference at the bottom of the page. If you initialized your VM instance with a Google Supplied OS Image with a build date of later than v20200114 it will have the service installed. You should still determine its status for proper operation. Verify the service account you have setup for the project in Recommendation 4.1 is running
1. Go to the VM instances page by visiting: https://console.cloud.google.com/compute/instances.
2. Click on each instance name to go to its VM instance details page.
3. Under the section Service Account, take note of the service account
4. Run the commands locally for your operating system that are located at the docs/troubleshooting/vm-manager/verify-setup#service-account-enabled reference located at the bottom of this page. They should return the name of your service account.
Determine if Instances can connect to public update hosting
Each type of operating system has its own update process. You will need to determine on each operating system that it can reach the update servers via its network connection. The VM Manager doesn't host the updates, it will only allow you to centrally issue a command to each VM to update.
Determine if OS Config API is Enabled for the Project
1. In each project you wish to enable run the following command gcloud services list
2. If osconfig.googleapis.com is in the left hand column it is enabled for this project.
Determine if VM Manager is Enabled for the Project
1. Within the project run the following command: gcloud compute instances os-inventory describe VM-NAME \ --zone=ZONE
The output will look like INSTANCE_ID INSTANCE_NAME OS OSCONFIG_AGENT_VERSION UPDATE_TIME 29255009728795105 centos7 CentOS Linux 7 (Core) 20210217.00-g1.el7 2021-04-12T22:19:36.559Z 5138980234596718741 rhel-8 Red Hat Enterprise Linux 8.3 (Ootpa) 20210316.00-g1.el8 2021-09-16T17:19:24Z 7127836223366142250 windows Microsoft Windows Server 2019 Datacenter 20210316.00.0+win@1 2021-09-16T17:13:18Z
Determine if VM Instances have correct metadata tags for OSConfig parsing
1. Select the project you want to view tagging in.
From Google Cloud Console
1. From the main Google Cloud console, open the hamburger menu in the top left. Mouse over Computer Engine to expand the menu next to it.
2. Under the "Settings" heading, select "Metadata".
3. In this view there will be a list of the project wide metadata tags for Vms. Verify a tag of ‘enable-osconfig’ is in this list and it is set to ‘true’.
From Command Line Run the following command to view instance data gcloud compute instances list --format="table(name,status,tags.list())"
On each instance it should have a tag of ‘enable-osconfig’ set to ‘true’ Determine if the Operating System of VM Instances have the local OS-Config Agent running There is no way to determine this from the Google Cloud CLI. The best way is to run the the commands inside the operating system located at 'Check OS-Config agent is installed and running' at the /docs/troubleshooting/vm-manager/verify-setup reference at the bottom of the page. If you initialized your VM instance with a Google Supplied OS Image with a build date of later than v20200114 it will have the service installed. You should still determine its status. Verify the service account you have setup for the project in Recommendation 4.1 is running
1. Go to the VM instances page by visiting: https://console.cloud.google.com/compute/instances.
2. Click on each instance name to go to its VM instance details page.
3. Under the section Service Account, take note of the service account
4. View the compute/docs/troubleshooting/vm-manager/verify-setup#service-account-enabled resource at the bottom of the page for operating system specific commands to run locally.
Determine if Instances can connect to public update hosting Linux Debian Based Operating Systems sudo apt update
The output should have a numbered list of lines with Hit: URL of updates. Redhat Based Operating Systems yum check-update
The output should show a list of packages that have updates available. Windows ping http://windowsupdate.microsoft.com/
The ping should successfully be delivered and received.</t>
  </si>
  <si>
    <t>From Google Cloud Console Enabling OS Patch Management on a Project by Project Basis Install OS Config API for the Project
1. Navigate into a project. In the expanded portal menu located at the top left of the screen hover over "APIs &amp; Services". Then in the menu right of that select "API Libraries"
2. Search for "VM Manager (OS Config API) or scroll down in the left hand column and select the filter labeled "Compute" where it is the last listed. Open this API.
3. Click the blue 'Enable' button.
Add MetaData Tags for OSConfig Parsing
1. From the main Google Cloud console, open the portal menu in the top left. Mouse over Computer Engine to expand the menu next to it.
2. Under the "Settings" heading, select "Metadata".
3. In this view there will be a list of the project wide metadata tags for VMs. Click edit and 'add item' in the key column type 'enable-osconfig' and in the value column set it to 'true'.
From Command Line
1. For project wide tagging, run the following command gcloud compute project-info add-metadata \ --project &lt;PROJECT_ID&gt;\ --metadata=enable-osconfig=TRUE
Please see the reference /compute/docs/troubleshooting/vm-manager/verify-setup#metadata-enabled at the bottom for more options like instance specific tagging. Note: Adding a new tag via commandline may overwrite existing tags. You will need to do this at a time of low usage for the least impact. Install and Start the Local OSConfig for Data Parsing There is no way to centrally manage or start the Local OSConfig agent. Please view the reference of manage-os#agent-install to view specific operating system commands. Setup a project wide Service Account Please view Recommendation 4.1 to view how to setup a service account. Rerun the audit procedure to test if it has taken effect. Enable NAT or Configure Private Google Access to allow Access to Public Update Hosting For the sake of brevity, please see the attached resources to enable NAT or Private Google Access. Rerun the audit procedure to test if it has taken effect. From Command Line: Install OS Config API for the Project
1. In each project you wish to audit run gcloud services enable osconfig.googleapis.com
Install and Start the Local OSConfig for Data Parsing Please view the reference of manage-os#agent-install to view specific operating system commands. Setup a project wide Service Account Please view Recommendation 4.1 to view how to setup a service account. Rerun the audit procedure to test if it has taken effect. Enable NAT or Configure Private Google Access to allow Access to Public Update Hosting For the sake of brevity, please see the attached resources to enable NAT or Private Google Access. Rerun the audit procedure to test if it has taken effect. Determine if Instances can connect to public update hosting Linux Debian Based Operating Systems sudo apt update
The output should have a numbered list of lines with Hit: URL of updates. Redhat Based Operating Systems yum check-update
The output should show a list of packages that have updates available. Windows ping http://windowsupdate.microsoft.com/
The ping should successfully be delivered and received.
Default Value:
By default most operating systems and programs do not update themselves. The Google Cloud VM Manager which is a dependency of the OS Patch management feature is installed on Google Built OS images with a build date of v20200114 or later. The VM manager is not enabled in a project by default and will need to be setup.</t>
  </si>
  <si>
    <t>1. https://cloud.google.com/compute/docs/manage-os
2. https://cloud.google.com/compute/docs/os-patch-management
3. https://cloud.google.com/compute/docs/vm-manager
4. https://cloud.google.com/compute/docs/images/os-details#vm-manager
5. https://cloud.google.com/compute/docs/vm-manager#pricing
6. https://cloud.google.com/compute/docs/troubleshooting/vm-manager/verify-setup
7. https://cloud.google.com/compute/docs/instances/view-os-details#view-data-tools
8. https://cloud.google.com/compute/docs/os-patch-management/create-patch-job
9. https://cloud.google.com/nat/docs/set-up-network-address-translation
10. https://cloud.google.com/vpc/docs/configure-private-google-access
11. https://workbench.cisecurity.org/sections/811638/recommendations/1334335
12. https://cloud.google.com/compute/docs/manage-os#agent-install
13. https://cloud.google.com/compute/docs/troubleshooting/vm-manager/verify-setup#service-account-enabled
14. https://cloud.google.com/compute/docs/os-patch-management#use-dashboard
15. https://cloud.google.com/compute/docs/troubleshooting/vm-manager/verify-setup#metadata-enabled</t>
  </si>
  <si>
    <t>6.3.1 Ensure 'external scripts enabled' database flag for Cloud SQL SQL Server instance is set to 'off' (Automated)</t>
  </si>
  <si>
    <t>It is recommended to set external scripts enabled database flag for Cloud SQL SQL Server instance to off</t>
  </si>
  <si>
    <t>external scripts enabled enable the execution of scripts with certain remote language extensions. This property is OFF by default. When Advanced Analytics Services is installed, setup can optionally set this property to true. As the External Scripts Enabled feature allows scripts external to SQL such as files located in an R library to be executed, which could adversely affect the security of the system, hence this should be disabled. This recommendation is applicable to SQL Server database instances.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</si>
  <si>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Ensure the database flag external scripts enabled that has been set is listed under the Database flags section.
From Google Cloud CLI
1. Ensure the below command returns off for every Cloud SQL SQL Server database instance gcloud sql instances list --format=json | jq '.settings.databaseFlags[] | select(.name=="external scripts enabled")|.value'
Additional Information: "WARNING: This patch modifies database flag values, which may require your instance to be restarted. Check the list of supported flags - https://cloud.google.com/sql/docs/sqlserver/flags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restarts the Cloud SQL instance.</t>
  </si>
  <si>
    <t>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external scripts enabled from the drop-down menu, and set its value to off.
6. Click Save to save your changes.
7. Confirm your changes under Flags on the Overview page.
From Google Cloud CLI
1. Configure the external scripts enabled database flag for every Cloud SQL SQL Server database instance using the below command. gcloud sql instances patch &lt;INSTANCE_NAME&gt; --database-flags "external scripts enabled=off"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external scripts enabled is off</t>
  </si>
  <si>
    <t>1. https://docs.microsoft.com/en-us/sql/database-engine/configure-windows/external-scripts-enabled-server-configuration-option?view=sql-server-ver15
2. https://cloud.google.com/sql/docs/sqlserver/flags
3. https://docs.microsoft.com/en-us/sql/advanced-analytics/concepts/security?view=sql-server-ver15
4. https://www.stigviewer.com/stig/ms_sql_server_2016_instance/2018-03-09/finding/V-79347</t>
  </si>
  <si>
    <t>1.6 Ensure That IAM Users Are Not Assigned the Service Account User or Service Account Token Creator Roles at Project Level (Automated)</t>
  </si>
  <si>
    <t>It is recommended to assign the Service Account User (iam.serviceAccountUser) and Service Account Token Creator (iam.serviceAccountTokenCreator) roles to a user for a specific service account rather than assigning the role to a user at project level.
After revoking Service Account User or Service Account Token Creator roles at the project level from all impacted user account(s), these roles should be assigned to a user(s) for specific service account(s) according to business needs.
By default, users do not have the Service Account User or Service Account Token Creator role assigned at project level.</t>
  </si>
  <si>
    <t>A service account is a special Google account that belongs to an application or a virtual machine (VM), instead of to an individual end-user. Application/VM-Instance uses the service account to call the service's Google API so that users aren't directly involved. In addition to being an identity, a service account is a resource that has IAM policies attached to it. These policies determine who can use the service account.
Users with IAM roles to update the App Engine and Compute Engine instances (such as App Engine Deployer or Compute Instance Admin) can effectively run code as the service accounts used to run these instances, and indirectly gain access to all the resources for which the service accounts have access. Similarly, SSH access to a Compute Engine instance may also provide the ability to execute code as that instance/Service account.
Based on business needs, there could be multiple user-managed service accounts configured for a project. Granting the iam.serviceAccountUser or iam.serviceAccountTokenCreator roles to a user for a project gives the user access to all service accounts in the project, including service accounts that may be created in the future. This can result in elevation of privileges by using service accounts and corresponding Compute Engine instances.
In order to implement least privileges best practices, IAM users should not be assigned the Service Account User or Service Account Token Creator roles at the project level. Instead, these roles should be assigned to a user for a specific service account, giving that user access to the service account. The Service Account User allows a user to bind a service account to a long-running job service, whereas the Service Account Token Creator role allows a user to directly impersonate (or assert) the identity of a service account.</t>
  </si>
  <si>
    <t>From Google Cloud Console
1. Go to the IAM page in the GCP Console by visiting https://console.cloud.google.com/iam-admin/iam
2. Click on the filter table text bar, Type Role: Service Account User.
3. Ensure no user is listed as a result of the filter.
4. Click on the filter table text bar, Type Role: Service Account Token Creator.
5. Ensure no user is listed as a result of the filter.
From Google Cloud CLI To ensure IAM users are not assigned Service Account User role at the project level: gcloud projects get-iam-policy PROJECT_ID --format json | jq '.bindings[].role' | grep "roles/iam.serviceAccountUser" gcloud projects get-iam-policy PROJECT_ID --format json | jq '.bindings[].role' | grep "roles/iam.serviceAccountTokenCreator"
These commands should not return any output.</t>
  </si>
  <si>
    <t>From Google Cloud Console
1. Go to the IAM page in the GCP Console by visiting: https://console.cloud.google.com/iam-admin/iam.
2. Click on the filter table text bar. Type Role: Service Account User
3. Click the Delete Bin icon in front of the role Service Account User for every user listed as a result of a filter.
4. Click on the filter table text bar. Type Role: Service Account Token Creator
5. Click the Delete Bin icon in front of the role Service Account Token Creator for every user listed as a result of a filter.
From Google Cloud CLI
1. Using a text editor, remove the bindings with the roles/iam.serviceAccountUser or roles/iam.serviceAccountTokenCreator.
For example, you can use the iam.json file shown below as follows: { "bindings": [ { "members": [ "serviceAccount:our-project-123@appspot.gserviceaccount.com", ], "role": "roles/appengine.appViewer" }, { "members": [ "user:email1@gmail.com" ], "role": "roles/owner" }, { "members": [ "serviceAccount:our-project-123@appspot.gserviceaccount.com", "serviceAccount:123456789012-compute@developer.gserviceaccount.com" ], "role": "roles/editor" } ], "etag": "BwUjMhCsNvY=" }
2. Update the project's IAM policy: gcloud projects set-iam-policy PROJECT_ID iam.json</t>
  </si>
  <si>
    <t>1. https://cloud.google.com/iam/docs/service-accounts
2. https://cloud.google.com/iam/docs/granting-roles-to-service-accounts
3. https://cloud.google.com/iam/docs/understanding-roles
4. https://cloud.google.com/iam/docs/granting-changing-revoking-access
5. https://console.cloud.google.com/iam-admin/iam</t>
  </si>
  <si>
    <t>1.8 Ensure That Separation of Duties Is Enforced While Assigning Service Account Related Roles to Users (Automated)</t>
  </si>
  <si>
    <t>It is recommended that the principle of 'Separation of Duties' is enforced while assigning service-account related roles to users.
Additional Information:
Users granted with Owner (roles/owner) and Editor (roles/editor) have privileges equivalent to Service Account Admin and Service Account User. To avoid the misuse, Owner and Editor roles should be granted to very limited users and Use of these primitive privileges should be minimal. These requirements are addressed in separate recommendations.</t>
  </si>
  <si>
    <t>The built-in/predefined IAM role Service Account admin allows the user/identity to create, delete, and manage service account(s). The built-in/predefined IAM role Service Account User allows the user/identity (with adequate privileges on Compute and App Engine) to assign service account(s) to Apps/Compute Instances.
Separation of duties is the concept of ensuring that one individual does not have all necessary permissions to be able to complete a malicious action. In Cloud IAM - service accounts, this could be an action such as using a service account to access resources that user should not normally have access to.
Separation of duties is a business control typically used in larger organizations, meant to help avoid security or privacy incidents and errors. It is considered best practice.
No user should have Service Account Admin and Service Account User roles assigned at the same time.
Impact:
The removed role should be assigned to a different user based on business needs.</t>
  </si>
  <si>
    <t>From Google Cloud Console
1. Go to IAM &amp; Admin/IAM using https://console.cloud.google.com/iam-admin/iam.
2. Ensure no member has the roles Service Account Admin and Service account User assigned together.
From Google Cloud CLI
1. List all users and role assignments: gcloud projects get-iam-policy [Project_ID] --format json | \ jq -r '[ (["Service_Account_Admin_and_User"] | (., map(length*"-"))), ( [ .bindings[] | select(.role == "roles/iam.serviceAccountAdmin" or .role == "roles/iam.serviceAccountUser").members[] ] | group_by(.) | map({User: ., Count: length}) | .[] | select(.Count == 2).User | unique ) ] | .[] | @tsv'
2. All common users listed under Service_Account_Admin_and_User are assigned both the roles/iam.serviceAccountAdmin and roles/iam.serviceAccountUser roles.</t>
  </si>
  <si>
    <t>From Google Cloud Console
1. Go to IAM &amp; Admin/IAM using https://console.cloud.google.com/iam-admin/iam.
2. For any member having both Service Account Admin and Service account User roles granted/assigned, click the Delete Bin icon to remove either role from the member. Removal of a role should be done based on the business requirements.
References:
1. https://cloud.google.com/iam/docs/service-accounts
2. https://cloud.google.com/iam/docs/understanding-roles
3. https://cloud.google.com/iam/docs/granting-roles-to-service-accounts</t>
  </si>
  <si>
    <t>References:
1. https://cloud.google.com/iam/docs/service-accounts
2. https://cloud.google.com/iam/docs/understanding-roles
3. https://cloud.google.com/iam/docs/granting-roles-to-service-accounts</t>
  </si>
  <si>
    <t>1.9 Ensure That Cloud KMS Cryptokeys Are Not Anonymously or Publicly Accessible (Automated)</t>
  </si>
  <si>
    <t>It is recommended that the IAM policy on Cloud KMS cryptokeys should restrict anonymous and/or public access.
[key_ring_name] : Is the resource ID of the key ring, which is the fully-qualified Key ring name. This value is case-sensitive and in the form: projects/PROJECT_ID/locations/LOCATION/keyRings/KEY_RING
You can retrieve the key ring resource ID using the Cloud Console:
1. Open the Cryptographic Keys page in the Cloud Console.
2. For the key ring whose resource ID you are retrieving, click the More icon (3 vertical dots).
3. Click Copy Resource ID. The resource ID for the key ring is copied to your clipboard.
[key_name] : Is the resource ID of the key, which is the fully-qualified CryptoKey name. This value is case-sensitive and in the form: projects/PROJECT_ID/locations/LOCATION/keyRings/KEY_RING/cryptoKeys/KEY
You can retrieve the key resource ID using the Cloud Console:
1. Open the Cryptographic Keys page in the Cloud Console.
2. Click the name of the key ring that contains the key.
3. For the key whose resource ID you are retrieving, click the More icon (3 vertical dots).
4. Click Copy Resource ID. The resource ID for the key is copied to your clipboard.
[role] : The role to remove the member from.</t>
  </si>
  <si>
    <t>Granting permissions to allUsers or allAuthenticatedUsers allows anyone to access the dataset. Such access might not be desirable if sensitive data is stored at the location. In this case, ensure that anonymous and/or public access to a Cloud KMS cryptokey is not allowed.
Impact:
Removing the binding for allUsers and allAuthenticatedUsers members denies accessing cryptokeys to anonymous or public users.</t>
  </si>
  <si>
    <t>From Google Cloud CLI
1. List all Cloud KMS Cryptokeys. gcloud kms keys list --keyring=[key_ring_name] --location=global --format=json | jq '.[].name'
2. Ensure the below command's output does not contain allUsers or allAuthenticatedUsers. gcloud kms keys get-iam-policy [key_name] --keyring=[key_ring_name] --location=global --format=json | jq '.bindings[].members[]'</t>
  </si>
  <si>
    <t>Remediation:
From Google Cloud CLI
1. List all Cloud KMS Cryptokeys. gcloud kms keys list --keyring=[key_ring_name] --location=global --format=json | jq '.[].name'
2. Remove IAM policy binding for a KMS key to remove access to allUsers and allAuthenticatedUsers using the below command. gcloud kms keys remove-iam-policy-binding [key_name] --keyring=[key_ring_name] --location=global --member='allAuthenticatedUsers' --role='[role]' gcloud kms keys remove-iam-policy-binding [key_name] --keyring=[key_ring_name] --location=global --member='allUsers' --role='[role]'
Default Value:
By default Cloud KMS does not allow access to allUsers or allAuthenticatedUsers.</t>
  </si>
  <si>
    <t>1. https://cloud.google.com/sdk/gcloud/reference/kms/keys/remove-iam-policy-binding
2. https://cloud.google.com/sdk/gcloud/reference/kms/keys/set-iam-policy
3. https://cloud.google.com/sdk/gcloud/reference/kms/keys/get-iam-policy
4. https://cloud.google.com/kms/docs/object-hierarchy#key_resource_id</t>
  </si>
  <si>
    <t>1.11 Ensure That Separation of Duties Is Enforced While Assigning KMS Related Roles to Users (Automated)</t>
  </si>
  <si>
    <t>It is recommended that the principle of 'Separation of Duties' is enforced while assigning KMS related roles to users.
Additional Information:
Users granted with Owner (roles/owner) and Editor (roles/editor) have privileges equivalent to Cloud KMS Admin and Cloud KMS CryptoKey Encrypter/Decrypter. To avoid misuse, Owner and Editor roles should be granted to a very limited group of users. Use of these primitive privileges should be minimal. These requirements are addressed in separate recommendations.</t>
  </si>
  <si>
    <t>The built-in/predefined IAM role Cloud KMS Admin allows the user/identity to create, delete, and manage service account(s). The built-in/predefined IAM role Cloud KMS CryptoKey Encrypter/Decrypter allows the user/identity (with adequate privileges on concerned resources) to encrypt and decrypt data at rest using an encryption key(s).
The built-in/predefined IAM role Cloud KMS CryptoKey Encrypter allows the user/identity (with adequate privileges on concerned resources) to encrypt data at rest using an encryption key(s). The built-in/predefined IAM role Cloud KMS CryptoKey Decrypter allows the user/identity (with adequate privileges on concerned resources) to decrypt data at rest using an encryption key(s).
Separation of duties is the concept of ensuring that one individual does not have all necessary permissions to be able to complete a malicious action. In Cloud KMS, this could be an action such as using a key to access and decrypt data a user should not normally have access to. Separation of duties is a business control typically used in larger organizations, meant to help avoid security or privacy incidents and errors. It is considered best practice.
No user(s) should have Cloud KMS Admin and any of the Cloud KMS CryptoKey Encrypter/Decrypter, Cloud KMS CryptoKey Encrypter, Cloud KMS CryptoKey Decrypter roles assigned at the same time.
Impact:
Removed roles should be assigned to another user based on business needs.</t>
  </si>
  <si>
    <t>From Google Cloud Console
1. Go to IAM &amp; Admin/IAM by visiting: https://console.cloud.google.com/iam-admin/iam
2. Ensure no member has the roles Cloud KMS Admin and any of the Cloud KMS CryptoKey Encrypter/Decrypter, Cloud KMS CryptoKey Encrypter, Cloud KMS CryptoKey Decrypter assigned.
From Google Cloud CLI
1. List all users and role assignments: gcloud projects get-iam-policy PROJECT_ID
2. Ensure that there are no common users found in the member section for roles cloudkms.admin and any one of Cloud KMS CryptoKey Encrypter/Decrypter, Cloud KMS CryptoKey Encrypter, Cloud KMS CryptoKey Decrypter</t>
  </si>
  <si>
    <t>From Google Cloud Console
1. Go to IAM &amp; Admin/IAM using https://console.cloud.google.com/iam-admin/iam
2. For any member having Cloud KMS Admin and any of the Cloud KMS CryptoKey Encrypter/Decrypter, Cloud KMS CryptoKey Encrypter, Cloud KMS CryptoKey Decrypter roles granted/assigned, click the Delete Bin icon to remove the role from the member.
Note: Removing a role should be done based on the business requirement.</t>
  </si>
  <si>
    <t>1. https://cloud.google.com/kms/docs/separation-of-duties</t>
  </si>
  <si>
    <t>2.3 Ensure That Retention Policies on Cloud Storage Buckets Used for Exporting Logs Are Configured Using Bucket Lock (Automated)</t>
  </si>
  <si>
    <t>Enabling retention policies on log buckets will protect logs stored in cloud storage buckets from being overwritten or accidentally deleted. It is recommended to set up retention policies and configure Bucket Lock on all storage buckets that are used as log sinks.
Default Value:
By default, storage buckets used as log sinks do not have retention policies and Bucket Lock configured.</t>
  </si>
  <si>
    <t>Logs can be exported by creating one or more sinks that include a log filter and a destination. As Cloud Logging receives new log entries, they are compared against each sink. If a log entry matches a sink's filter, then a copy of the log entry is written to the destination.
Sinks can be configured to export logs in storage buckets. It is recommended to configure a data retention policy for these cloud storage buckets and to lock the data retention policy; thus permanently preventing the policy from being reduced or removed. This way, if the system is ever compromised by an attacker or a malicious insider who wants to cover their tracks, the activity logs are definitely preserved for forensics and security investigations.
Impact:
Locking a bucket is an irreversible action. Once you lock a bucket, you cannot remove the retention policy from the bucket or decrease the retention period for the policy. You will then have to wait for the retention period for all items within the bucket before you can delete them, and then the bucket.</t>
  </si>
  <si>
    <t>From Google Cloud Console
1. Open the Cloud Storage browser in the Google Cloud Console by visiting https://console.cloud.google.com/storage/browser.
2. In the Column display options menu, make sure Retention policy is checked.
3. In the list of buckets, the retention period of each bucket is found in the Retention policy column. If the retention policy is locked, an image of a lock appears directly to the left of the retention period.
From Google Cloud CLI
1. To list all sinks destined to storage buckets: gcloud logging sinks list --folder=FOLDER_ID | --organization=ORGANIZATION_ID | --project=PROJECT_ID
2. For every storage bucket listed above, verify that retention policies and Bucket Lock are enabled: gsutil retention get gs://BUCKET_NAME
For more information, see https://cloud.google.com/storage/docs/using-bucket-lock#view-policy.
Additional Information:
Caution: Locking a retention policy is an irreversible action. Once locked, you must delete the entire bucket in order to "remove" the bucket's retention policy. However, before you can delete the bucket, you must be able to delete all the objects in the bucket, which itself is only possible if all the objects have reached the retention period set by the retention policy.</t>
  </si>
  <si>
    <t>From Google Cloud Console
1. If sinks are not configured, first follow the instructions in the recommendation: Ensure that sinks are configured for all Log entries.
2. For each storage bucket configured as a sink, go to the Cloud Storage browser at https://console.cloud.google.com/storage/browser/&lt;BUCKET_NAME&gt;.
3. Select the Bucket Lock tab near the top of the page.
4. In the Retention policy entry, click the Add Duration link. The Set a retention policy dialog box appears.
5. Enter the desired length of time for the retention period and click Save policy.
6. Set the Lock status for this retention policy to Locked.
From Google Cloud CLI
1. To list all sinks destined to storage buckets: gcloud logging sinks list --folder=FOLDER_ID | --organization=ORGANIZATION_ID | --project=PROJECT_ID
2. For each storage bucket listed above, set a retention policy and lock it: gsutil retention set [TIME_DURATION] gs://[BUCKET_NAME] gsutil retention lock gs://[BUCKET_NAME]
For more information, visit https://cloud.google.com/storage/docs/using-bucket-lock#set-policy.</t>
  </si>
  <si>
    <t>1. https://cloud.google.com/storage/docs/bucket-lock
2. https://cloud.google.com/storage/docs/using-bucket-lock
3. https://cloud.google.com/storage/docs/bucket-lock</t>
  </si>
  <si>
    <t>2.15 Ensure 'Access Approval' is 'Enabled' (Automated)</t>
  </si>
  <si>
    <t>GCP Access Approval enables you to require your organizations' explicit approval whenever Google support try to access your projects. You can then select users within your organization who can approve these requests through giving them a security role in IAM. All access requests display which Google Employee requested them in an email or Pub/Sub message that you can choose to Approve. This adds an additional control and logging of who in your organization approved/denied these requests.</t>
  </si>
  <si>
    <t>Controlling access to your information is one of the foundations of information security. Google Employees do have access to your organizations' projects for support reasons. With Access Approval, organizations can then be certain that their information is accessed by only approved Google Personnel.
Impact:
To use Access Approval your organization will need have enabled Access Transparency and have at one of the following support level: Enhanced or Premium. There will be subscription costs associated with these support levels, as well as increased storage costs for storing the logs. You will also not be able to turn the Access Transparency which Access Approval depends on, off yourself. To do so you will need to submit a service request to Google Cloud Support. There will also be additional overhead in managing user permissions. There may also be a potential delay in support times as Google Personnel will have to wait for their access to be approved.</t>
  </si>
  <si>
    <t>From Google Cloud Console Determine if Access Transparency is Enabled as it is a Dependency
1. From the Google Cloud Home inside the project you wish to audit, click on the Navigation hamburger menu in the top left. Hover over the IAM &amp; Admin Menu. Select settings in the middle of the column that opens.
2. The status should be "Enabled' under the heading Access Transparency
Determine if Access Approval is Enabled
1. From the Google Cloud Home, within the project you wish to check, click on the Navigation hamburger menu in the top left. Hover over the Security Menu. Select Access Approval in the middle of the column that opens.
2. The status will be displayed here. If you see a screen saying you need to enroll in Access Approval, it is not enabled.
From Google Cloud CLI Determine if Access Approval is Enabled
1. From within the project you wish to audit, run the following command. gcloud access-approval settings get
2. The status will be displayed in the output.
IF Access Approval is not enabled you should get this output: API [accessapproval.googleapis.com] not enabled on project [-----]. Would you like to enable and retry (this will take a few minutes)? (y/N)?
After entering Y if you get the following output, it means that Access Transparency is not enabled: ERROR: (gcloud.access-approval.settings.get) FAILED_PRECONDITION: Precondition check failed.</t>
  </si>
  <si>
    <t>From Google Cloud Console
1. From the Google Cloud Home, within the project you wish to enable, click on the Navigation hamburger menu in the top left. Hover over the Security Menu. Select Access Approval in the middle of the column that opens.
2. The status will be displayed here. On this screen, there is an option to click Enroll. If it is greyed out and you see an error bar at the top of the screen that says Access Transparency is not enabled please view the corresponding reference within this section to enable it.
3. In the second screen click Enroll.
Grant an IAM Group or User the role with permissions to Add Users to be Access Approval message Recipients
1. From the Google Cloud Home, within the project you wish to enable, click on the Navigation hamburger menu in the top left. Hover over the IAM and Admin. Select IAM in the middle of the column that opens.
2. Click the blue button the says + ADD at the top of the screen.
3. In the principals field, select a user or group by typing in their associated email address.
4. Click on the role field to expand it. In the filter field enter Access Approval Approver and select it.
5. Click save.
Add a Group or User as an Approver for Access Approval Requests
1. As a user with the Access Approval Approver permission, within the project where you wish to add an email address to which request will be sent, click on the Navigation hamburger menu in the top left. Hover over the Security Menu. Select Access Approval in the middle of the column that opens.
2. Click Manage Settings
3. Under Set up approval notifications, enter the email address associated with a Google Cloud User or Group you wish to send Access Approval requests to. All future access approvals will be sent as emails to this address.
From Google Cloud CLI
1. To update all services in an entire project, run the following command from an account that has permissions as an 'Approver for Access Approval Requests' gcloud access-approval settings update --project=&lt;project name&gt; --enrolled_services=all --notification_emails='&lt;email recipient for access approval requests&gt;@&lt;domain name&gt;'
Default Value:
By default Access Approval and its dependency of Access Transparency are not enabled.</t>
  </si>
  <si>
    <t>1. https://cloud.google.com/cloud-provider-access-management/access-approval/docs
2. https://cloud.google.com/cloud-provider-access-management/access-approval/docs/overview
3. https://cloud.google.com/cloud-provider-access-management/access-approval/docs/quickstart-custom-key
4. https://cloud.google.com/cloud-provider-access-management/access-approval/docs/supported-services
5. https://cloud.google.com/cloud-provider-access-management/access-approval/docs/view-historical-requests</t>
  </si>
  <si>
    <t>4.9 Ensure That Compute Instances Do Not Have Public IP Addresses (Automated)</t>
  </si>
  <si>
    <t>Compute instances should not be configured to have external IP addresses.</t>
  </si>
  <si>
    <t>To reduce your attack surface, Compute instances should not have public IP addresses. Instead, instances should be configured behind load balancers, to minimize the instance's exposure to the internet.
Impact:
Removing the external IP address from your Compute instance may cause some applications to stop working.</t>
  </si>
  <si>
    <t>From Google Cloud Console
1. Go to the VM instances page by visiting: https://console.cloud.google.com/compute/instances.
2. For every VM, ensure that there is no External IP configured.
From Google Cloud CLI gcloud compute instances list --format=json
1. The output should not contain an accessConfigs section under networkInterfaces. Note that the natIP value is present only for instances that are running or for instances that are stopped but have a static IP address. For instances that are stopped and are configured to have an ephemeral public IP address, the natIP field will not be present. Example output: networkInterfaces: - accessConfigs: - kind: compute#accessConfig name: External NAT networkTier: STANDARD type: ONE_TO_ONE_NAT
Exception: Instances created by GKE should be excluded because some of them have external IP addresses and cannot be changed by editing the instance settings. Instances created by GKE should be excluded. These instances have names that start with "gke-" and are labeled "goog-gke-node".
Additional Information:
You can connect to Linux VMs that do not have public IP addresses by using Identity-Aware Proxy for TCP forwarding. Learn more at https://cloud.google.com/compute/docs/instances/connecting-advanced#sshbetweeninstances
For Windows VMs, see https://cloud.google.com/compute/docs/instances/connecting-to-instance.</t>
  </si>
  <si>
    <t>Remediation:
From Google Cloud Console
1. Go to the VM instances page by visiting: https://console.cloud.google.com/compute/instances.
2. Click on the instance name to go the the Instance detail page.
3. Click Edit.
4. For each Network interface, ensure that External IP is set to None.
5. Click Done and then click Save.
From Google Cloud CLI
1. Describe the instance properties: gcloud compute instances describe &lt;INSTANCE_NAME&gt; --zone=&lt;ZONE&gt;
2. Identify the access config name that contains the external IP address. This access config appears in the following format: networkInterfaces: - accessConfigs: - kind: compute#accessConfig name: External NAT natIP: 130.211.181.55 type: ONE_TO_ONE_NAT
3. Delete the access config. gcloud compute instances delete-access-config &lt;INSTANCE_NAME&gt; --zone=&lt;ZONE&gt; --access-config-name &lt;ACCESS_CONFIG_NAME&gt;
In the above example, the ACCESS_CONFIG_NAME is External NAT. The name of your access config might be different. Prevention: You can configure the Define allowed external IPs for VM instances Organization Policy to prevent VMs from being configured with public IP addresses. Learn more at: https://console.cloud.google.com/orgpolicies/compute-vmExternalIpAccess
Default Value:
By default, Compute instances have a public IP address.</t>
  </si>
  <si>
    <t>1. https://cloud.google.com/load-balancing/docs/backend-service#backends_and_external_ip_addresses
2. https://cloud.google.com/compute/docs/instances/connecting-advanced#sshbetweeninstances
3. https://cloud.google.com/compute/docs/instances/connecting-to-instance
4. https://cloud.google.com/compute/docs/ip-addresses/reserve-static-external-ip-address#unassign_ip
5. https://cloud.google.com/resource-manager/docs/organization-policy/org-policy-constraints</t>
  </si>
  <si>
    <t>5.1 Ensure That Cloud Storage Bucket Is Not Anonymously or Publicly Accessible (Automated)</t>
  </si>
  <si>
    <t>It is recommended that IAM policy on Cloud Storage bucket does not allows anonymous or public access.
To implement Access restrictions on buckets, configuring Bucket IAM is preferred way than configuring Bucket ACL. On GCP console, "Edit Permissions" for bucket exposes IAM configurations only. Bucket ACLs are configured automatically as per need in order to implement/support User enforced Bucket IAM policy. In-case administrator changes bucket ACL using command-line(gsutils)/API bucket IAM also gets updated automatically.</t>
  </si>
  <si>
    <t>Allowing anonymous or public access grants permissions to anyone to access bucket content. Such access might not be desired if you are storing any sensitive data. Hence, ensure that anonymous or public access to a bucket is not allowed.
Impact:
No storage buckets would be publicly accessible. You would have to explicitly administer bucket access.</t>
  </si>
  <si>
    <t>From Google Cloud Console
1. Go to Storage browser by visiting https://console.cloud.google.com/storage/browser.
2. Click on each bucket name to go to its Bucket details page.
3. Click on the Permissions tab.
4. Ensure that allUsers and allAuthenticatedUsers are not in the Members list.
From Google Cloud CLI
1. List all buckets in a project gsutil ls
2. Check the IAM Policy for each bucket: gsutil iam get gs://BUCKET_NAME
No role should contain allUsers and/or allAuthenticatedUsers as a member.
Using Rest API
1. List all buckets in a project Get https://www.googleapis.com/storage/v1/b?project=&lt;ProjectName&gt;
2. Check the IAM Policy for each bucket GET https://www.googleapis.com/storage/v1/b/&lt;bucketName&gt;/iam
No role should contain allUsers and/or allAuthenticatedUsers as a member.</t>
  </si>
  <si>
    <t>From Google Cloud Console
1. Go to Storage browser by visiting https://console.cloud.google.com/storage/browser.
2. Click on the bucket name to go to its Bucket details page.
3. Click on the Permissions tab.
4. Click Delete button in front of allUsers and allAuthenticatedUsers to remove that particular role assignment.
From Google Cloud CLI Remove allUsers and allAuthenticatedUsers access. gsutil iam ch -d allUsers gs://BUCKET_NAME gsutil iam ch -d allAuthenticatedUsers gs://BUCKET_NAME
Prevention: You can prevent Storage buckets from becoming publicly accessible by setting up the Domain restricted sharing organization policy at: https://console.cloud.google.com/iam-admin/orgpolicies/iam-allowedPolicyMemberDomains .
Default Value:
By Default, Storage buckets are not publicly shared.</t>
  </si>
  <si>
    <t>1. https://cloud.google.com/storage/docs/access-control/iam-reference
2. https://cloud.google.com/storage/docs/access-control/making-data-public
3. https://cloud.google.com/storage/docs/gsutil/commands/iam</t>
  </si>
  <si>
    <t>5.2 Ensure That Cloud Storage Buckets Have Uniform Bucket-Level Access Enabled (Automated)</t>
  </si>
  <si>
    <t>It is recommended that uniform bucket-level access is enabled on Cloud Storage buckets.</t>
  </si>
  <si>
    <t>It is recommended to use uniform bucket-level access to unify and simplify how you grant access to your Cloud Storage resources.
Cloud Storage offers two systems for granting users permission to access your buckets and objects: Cloud Identity and Access Management (Cloud IAM) and Access Control Lists (ACLs). These systems act in parallel - in order for a user to access a Cloud Storage resource, only one of the systems needs to grant the user permission. Cloud IAM is used throughout Google Cloud and allows you to grant a variety of permissions at the bucket and project levels. ACLs are used only by Cloud Storage and have limited permission options, but they allow you to grant permissions on a per-object basis.
In order to support a uniform permissioning system, Cloud Storage has uniform bucket-level access. Using this feature disables ACLs for all Cloud Storage resources: access to Cloud Storage resources then is granted exclusively through Cloud IAM. Enabling uniform bucket-level access guarantees that if a Storage bucket is not publicly accessible, no object in the bucket is publicly accessible either.
Impact:
If you enable uniform bucket-level access, you revoke access from users who gain their access solely through object ACLs.
Certain Google Cloud services, such as Stackdriver, Cloud Audit Logs, and Datastore, cannot export to Cloud Storage buckets that have uniform bucket-level access enabled.</t>
  </si>
  <si>
    <t>From Google Cloud Console
1. Open the Cloud Storage browser in the Google Cloud Console by visiting: https://console.cloud.google.com/storage/browser
2. For each bucket, make sure that Access control column has the value Uniform.
From Google Cloud CLI
1. List all buckets in a project gsutil ls
2. For each bucket, verify that uniform bucket-level access is enabled. gsutil uniformbucketlevelaccess get gs://BUCKET_NAME/
If uniform bucket-level access is enabled, the response looks like: Uniform bucket-level access setting for gs://BUCKET_NAME/: Enabled: True LockedTime: LOCK_DATE
Additional Information:
Uniform bucket-level access can no longer be disabled if it has been active on a bucket for 90 consecutive days.</t>
  </si>
  <si>
    <t>From Google Cloud Console
1. Open the Cloud Storage browser in the Google Cloud Console by visiting: https://console.cloud.google.com/storage/browser
2. In the list of buckets, click on the name of the desired bucket.
3. Select the Permissions tab near the top of the page.
4. In the text box that starts with This bucket uses fine-grained access control..., click Edit.
5. In the pop-up menu that appears, select Uniform.
6. Click Save.
From Google Cloud CLI Use the on option in a uniformbucketlevelaccess set command: gsutil uniformbucketlevelaccess set on gs://BUCKET_NAME/
Prevention You can set up an Organization Policy to enforce that any new bucket has uniform bucket level access enabled. Learn more at: https://cloud.google.com/storage/docs/setting-org-policies#uniform-bucket
Default Value:
By default, Cloud Storage buckets do not have uniform bucket-level access enabled.</t>
  </si>
  <si>
    <t>1. https://cloud.google.com/storage/docs/uniform-bucket-level-access
2. https://cloud.google.com/storage/docs/using-uniform-bucket-level-access
3. https://cloud.google.com/storage/docs/setting-org-policies#uniform-bucket</t>
  </si>
  <si>
    <t>6.1.2 Ensure ‘Skip_show_database’ Database Flag for Cloud SQL MySQL Instance Is Set to ‘On’ (Automated)</t>
  </si>
  <si>
    <t>It is recommended to set skip_show_database database flag for Cloud SQL Mysql instance to on
Additional Information: "WARNING: This patch modifies database flag values, which may require your instance to be restarted. Check the list of supported flags - https://cloud.google.com/sql/docs/mysql/flags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restarts the Cloud SQL instance.</t>
  </si>
  <si>
    <t>skip_show_database' database flag prevents people from using the SHOW DATABASES statement if they do not have the SHOW DATABASES privilege. This can improve security if you have concerns about users being able to see databases belonging to other users. Its effect depends on the SHOW DATABASES privilege: If the variable value is ON, the SHOW DATABASES statement is permitted only to users who have the SHOW DATABASES privilege, and the statement displays all database names. If the value is OFF, SHOW DATABASES is permitted to all users, but displays the names of only those databases for which the user has the SHOW DATABASES or other privilege. This recommendation is applicable to Mysql database instances.</t>
  </si>
  <si>
    <t>From Google Cloud Console
1. Go to the Cloud SQL Instances page in the Google Cloud Console by visiting https://console.cloud.google.com/sql/instances.
2. Select the instance to open its Instance Overview page
3. Ensure the database flag skip_show_database that has been set is listed under the Database flags section.
From Google Cloud CLI
1. List all Cloud SQL database Instances gcloud sql instances list
2. Ensure the below command returns on for every Cloud SQL Mysql database instance gcloud sql instances describe INSTANCE_NAME --format=json | jq '.settings.databaseFlags[] | select(.name=="skip_show_database")|.value'</t>
  </si>
  <si>
    <t>From Google Cloud Console
1. Go to the Cloud SQL Instances page in the Google Cloud Console by visiting https://console.cloud.google.com/sql/instances.
2. Select the Mysql instance for which you want to enable to database flag.
3. Click Edit.
4. Scroll down to the Flags section.
5. To set a flag that has not been set on the instance before, click Add item, choose the flag skip_show_database from the drop-down menu, and set its value to on.
6. Click Save to save your changes.
7. Confirm your changes under Flags on the Overview page.
From Google Cloud CLI
1. List all Cloud SQL database Instances gcloud sql instances list
2. Configure the skip_show_database database flag for every Cloud SQL Mysql database instance using the below command. gcloud sql instances patch INSTANCE_NAME --database-flags skip_show_database=on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t>
  </si>
  <si>
    <t>1. https://cloud.google.com/sql/docs/mysql/flags
2. https://dev.mysql.com/doc/refman/5.7/en/server-system-variables.html#sysvar_skip_show_database</t>
  </si>
  <si>
    <t>6.3.2 Ensure that the 'cross db ownership chaining' database flag for Cloud SQL SQL Server instance is set to 'off' (Automated)</t>
  </si>
  <si>
    <t>It is recommended to set cross db ownership chaining database flag for Cloud SQL SQL Server instance to off.</t>
  </si>
  <si>
    <t>Use the cross db ownership for chaining option to configure cross-database ownership chaining for an instance of Microsoft SQL Server. This server option allows you to control cross-database ownership chaining at the database level or to allow cross-database ownership chaining for all databases. Enabling cross db ownership is not recommended unless all of the databases hosted by the instance of SQL Server must participate in cross-database ownership chaining and you are aware of the security implications of this setting. This recommendation is applicable to SQL Server database instances.
Impact:
Updating flags may cause the database to restart. This may cause it to unavailable for a short amount of time, so this is best done at a time of low usage. You should also determine if the tables in your databases reference another table without using credentials for that database, as turning off cross database ownership will break this relationship.</t>
  </si>
  <si>
    <t>From Google Cloud Console
1. Go to the Cloud SQL Instances page in the Google Cloud Console.
2. Select the instance to open its Instance Overview page
3. Ensure the database flag cross db ownership chaining that has been set is listed under the Database flags section.
From Google Cloud CLI
1. Ensure the below command returns off for every Cloud SQL SQL Server database instance: gcloud sql instances list --format=json | jq '.settings.databaseFlags[] | select(.name=="cross db ownership chaining")|.value'
Additional Information:
WARNING: This patch modifies database flag values, which may require your instance to be restarted. Check the list of supported flags - https://cloud.google.com/sql/docs/sqlserver/flags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restart the Cloud SQL instance.</t>
  </si>
  <si>
    <t>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cross db ownership chaining from the drop-down menu, and set its value to off.
6. Click Save.
7. Confirm the changes under Flags on the Overview page.
From Google Cloud CLI
1. Configure the cross db ownership chaining database flag for every Cloud SQL SQL Server database instance using the below command: gcloud sql instances patch &lt;INSTANCE_NAME&gt; --database-flags "cross db ownership chaining=off"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
Default Value:
As you have to manually turn on this flag, the default value for this is 'On'. Though you would have had to design your database schema from the start to include this feature, it often is not enabled.</t>
  </si>
  <si>
    <t>1. https://cloud.google.com/sql/docs/sqlserver/flags
2. https://docs.microsoft.com/en-us/sql/database-engine/configure-windows/cross-db-ownership-chaining-server-configuration-option?view=sql-server-ver15</t>
  </si>
  <si>
    <t>6.3.7 Ensure that the 'contained database authentication' database flag for Cloud SQL on the SQL Server instance is set to 'off' (Automated)</t>
  </si>
  <si>
    <t>It is recommended to set contained database authentication database flag for Cloud SQL on the SQL Server instance to off.</t>
  </si>
  <si>
    <t>A contained database includes all database settings and metadata required to define the database and has no configuration dependencies on the instance of the Database Engine where the database is installed. Users can connect to the database without authenticating a login at the Database Engine level. Isolating the database from the Database Engine makes it possible to easily move the database to another instance of SQL Server. Contained databases have some unique threats that should be understood and mitigated by SQL Server Database Engine administrators. Most of the threats are related to the USER WITH PASSWORD authentication process, which moves the authentication boundary from the Database Engine level to the database level, hence this is recommended to disable this flag. This recommendation is applicable to SQL Server database instances.
Impact:
When contained database authentication is off (0) for the instance, contained databases cannot be created, or attached to the Database Engine. Turning on logging will increase the required storage over time. Mismanaged logs may cause your storage costs to increase.Setting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</si>
  <si>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Ensure the database flag contained database authentication that has been set is listed under the Database flags section.
From Google Cloud CLI
1. Ensure the below command returns off for every Cloud SQL SQL Server database instance. gcloud sql instances list --format=json | jq '.settings.databaseFlags[] | select(.name=="contained database authentication")|.value'
WARNING: This patch modifies database flag values, which may require your instance to be restarted. Check the list of supported flags - https://cloud.google.com/sql/docs/sqlserver/flags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restart the Cloud SQL instance.</t>
  </si>
  <si>
    <t>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contained database authentication from the drop-down menu, and set its value to off.
6. Click Save.
7. Confirm the changes under Flags on the Overview page.
From Google Cloud CLI
1. Configure the contained database authentication database flag for every Cloud SQL SQL Server database instance using the below command: gcloud sql instances patch &lt;INSTANCE_NAME&gt; --database-flags "contained database authentication=off"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t>
  </si>
  <si>
    <t>1. https://cloud.google.com/sql/docs/sqlserver/flags
2. https://docs.microsoft.com/en-us/sql/database-engine/configure-windows/contained-database-authentication-server-configuration-option?view=sql-server-ver15
3. https://docs.microsoft.com/en-us/sql/relational-databases/databases/security-best-practices-with-contained-databases?view=sql-server-ver15</t>
  </si>
  <si>
    <t>6.5 Ensure That Cloud SQL Database Instances Do Not Implicitly Whitelist All Public IP Addresses (Automated)</t>
  </si>
  <si>
    <t>Database Server should accept connections only from trusted Network(s)/IP(s) and restrict access from public IP addresses.</t>
  </si>
  <si>
    <t>To minimize attack surface on a Database server instance, only trusted/known and required IP(s) should be white-listed to connect to it.
An authorized network should not have IPs/networks configured to 0.0.0.0/0 which will allow access to the instance from anywhere in the world. Note that authorized networks apply only to instances with public IPs.
Impact:
The Cloud SQL database instance would not be available to public IP addresses.</t>
  </si>
  <si>
    <t>From Google Cloud Console
1. Go to the Cloud SQL Instances page in the Google Cloud Console by visiting https://console.cloud.google.com/sql/instances.
2. Click the instance name to open its Instance details page.
3. Under the Configuration section click Edit configurations
4. Under Configuration options expand the Connectivity section.
5. Ensure that no authorized network is configured to allow 0.0.0.0/0.
From Google Cloud CLI
1. Get detailed configuration for every Cloud SQL database instance. gcloud sql instances list --format=json
Ensure that the section settings: ipConfiguration : authorizedNetworks does not have any parameter value containing 0.0.0.0/0.
Additional Information:
There is no IPv6 configuration found for Google cloud SQL server services.</t>
  </si>
  <si>
    <t>From Google Cloud Console
1. Go to the Cloud SQL Instances page in the Google Cloud Console by visiting https://console.cloud.google.com/sql/instances.
2. Click the instance name to open its Instance details page.
3. Under the Configuration section click Edit configurations
4. Under Configuration options expand the Connectivity section.
5. Click the delete icon for the authorized network 0.0.0.0/0.
6. Click Save to update the instance.
From Google Cloud CLI Update the authorized network list by dropping off any addresses. gcloud sql instances patch &lt;INSTANCE_NAME&gt; --authorized-networks=IP_ADDR1,IP_ADDR2...
Prevention: To prevent new SQL instances from being configured to accept incoming connections from any IP addresses, set up a Restrict Authorized Networks on Cloud SQL instances Organization Policy at: https://console.cloud.google.com/iam-admin/orgpolicies/sql-restrictAuthorizedNetworks.
Default Value:
By default, authorized networks are not configured. Remote connection to Cloud SQL database instance is not possible unless authorized networks are configured.</t>
  </si>
  <si>
    <t>1. https://cloud.google.com/sql/docs/mysql/configure-ip
2. https://console.cloud.google.com/iam-admin/orgpolicies/sql-restrictAuthorizedNetworks
3. https://cloud.google.com/resource-manager/docs/organization-policy/org-policy-constraints
4. https://cloud.google.com/sql/docs/mysql/connection-org-policy</t>
  </si>
  <si>
    <t>6.6 Ensure That Cloud SQL Database Instances Do Not Have Public IPs (Automated)</t>
  </si>
  <si>
    <t>It is recommended to configure Second Generation Sql instance to use private IPs instead of public IPs.</t>
  </si>
  <si>
    <t>To lower the organization's attack surface, Cloud SQL databases should not have public IPs. Private IPs provide improved network security and lower latency for your application.
Impact:
Removing the public IP address on SQL instances may break some applications that relied on it for database connectivity.</t>
  </si>
  <si>
    <t>From Google Cloud Console
1. Go to the Cloud SQL Instances page in the Google Cloud Console: https://console.cloud.google.com/sql/instances
2. Ensure that every instance has a private IP address and no public IP address configured.
From Google Cloud CLI
1. List all Cloud SQL database instances using the following command: gcloud sql instances list
2. For every instance of type instanceType: CLOUD_SQL_INSTANCE with backendType: SECOND_GEN, get detailed configuration. Ignore instances of type READ_REPLICA_INSTANCE because these instances inherit their settings from the primary instance. Also, note that first generation instances cannot be configured to have a private IP address. gcloud sql instances describe &lt;INSTANCE_NAME&gt;
3. Ensure that the setting ipAddresses has an IP address configured of type: PRIVATE and has no IP address of type: PRIMARY. PRIMARY IP addresses are public addresses. An instance can have both a private and public address at the same time. Note also that you cannot use private IP with First Generation instances.
Additional Information:
Replicas inherit their private IP status from their primary instance. You cannot configure a private IP directly on a replica.</t>
  </si>
  <si>
    <t>From Google Cloud Console
1. Go to the Cloud SQL Instances page in the Google Cloud Console: https://console.cloud.google.com/sql/instances
2. Click the instance name to open its Instance details page.
3. Select the Connections tab.
4. Deselect the Public IP checkbox.
5. Click Save to update the instance.
From Google Cloud CLI
1. For every instance remove its public IP and assign a private IP instead: gcloud sql instances patch &lt;INSTANCE_NAME&gt; --network=&lt;VPC_NETWORK_NAME&gt; --no-assign-ip
2. Confirm the changes using the following command:: gcloud sql instances describe &lt;INSTANCE_NAME&gt;
Prevention: To prevent new SQL instances from getting configured with public IP addresses, set up a Restrict Public IP access on Cloud SQL instances Organization policy at: https://console.cloud.google.com/iam-admin/orgpolicies/sql-restrictPublicIp.
Default Value:
By default, Cloud Sql instances have a public IP.</t>
  </si>
  <si>
    <t>1. https://cloud.google.com/sql/docs/mysql/configure-private-ip
2. https://cloud.google.com/sql/docs/mysql/private-ip
3. https://cloud.google.com/resource-manager/docs/organization-policy/org-policy-constraints
4. https://console.cloud.google.com/iam-admin/orgpolicies/sql-restrictPublicIp</t>
  </si>
  <si>
    <t>7.1 Ensure That BigQuery Datasets Are Not Anonymously or Publicly Accessible (Automated)</t>
  </si>
  <si>
    <t>It is recommended that the IAM policy on BigQuery datasets does not allow anonymous and/or public access.</t>
  </si>
  <si>
    <t>Granting permissions to allUsers or allAuthenticatedUsers allows anyone to access the dataset. Such access might not be desirable if sensitive data is being stored in the dataset. Therefore, ensure that anonymous and/or public access to a dataset is not allowed.
Impact:
The dataset is not publicly accessible. Explicit modification of IAM privileges would be necessary to make them publicly accessible.</t>
  </si>
  <si>
    <t>From Google Cloud Console
1. Go to BigQuery by visiting: https://console.cloud.google.com/bigquery.
2. Select a dataset from Resources.
3. Click SHARING near the right side of the window and select Permissions.
4. Validate that none of the attached roles contain allUsers or allAuthenticatedUsers.
From Google Cloud CLI List the name of all datasets. bq ls
Retrieve each dataset details using the following command: bq show PROJECT_ID:DATASET_NAME
Ensure that allUsers and allAuthenticatedUsers have not been granted access to the dataset.</t>
  </si>
  <si>
    <t>Remediation:
From Google Cloud Console
1. Go to BigQuery by visiting: https://console.cloud.google.com/bigquery.
2. Select the dataset from 'Resources'.
3. Click SHARING near the right side of the window and select Permissions.
4. Review each attached role.
5. Click the delete icon for each member allUsers or allAuthenticatedUsers. On the popup click Remove.
From Google Cloud CLI List the name of all datasets. bq ls
Retrieve the data set details: bq show --format=prettyjson PROJECT_ID:DATASET_NAME &gt; PATH_TO_FILE
In the access section of the JSON file, update the dataset information to remove all roles containing allUsers or allAuthenticatedUsers. Update the dataset: bq update --source PATH_TO_FILE PROJECT_ID:DATASET_NAME
Prevention: You can prevent Bigquery dataset from becoming publicly accessible by setting up the Domain restricted sharing organization policy at: https://console.cloud.google.com/iam-admin/orgpolicies/iam-allowedPolicyMemberDomains .
Default Value:
By default, BigQuery datasets are not publicly accessible.</t>
  </si>
  <si>
    <t>1. https://cloud.google.com/bigquery/docs/dataset-access-controls</t>
  </si>
  <si>
    <t>3.9 Ensure No HTTPS or SSL Proxy Load Balancers Permit SSL Policies With Weak Cipher Suites (Manual)</t>
  </si>
  <si>
    <t>Secure Sockets Layer (SSL) policies determine what port Transport Layer Security (TLS) features clients are permitted to use when connecting to load balancers. To prevent usage of insecure features, SSL policies should use (a) at least TLS 1.2 with the MODERN profile; or (b) the RESTRICTED profile, because it effectively requires clients to use TLS 1.2 regardless of the chosen minimum TLS version; or (3) a CUSTOM profile that does not support any of the following features: TLS_RSA_WITH_AES_128_GCM_SHA256 TLS_RSA_WITH_AES_256_GCM_SHA384 TLS_RSA_WITH_AES_128_CBC_SHA TLS_RSA_WITH_AES_256_CBC_SHA TLS_RSA_WITH_3DES_EDE_CBC_SHA</t>
  </si>
  <si>
    <t>Load balancers are used to efficiently distribute traffic across multiple servers. Both SSL proxy and HTTPS load balancers are external load balancers, meaning they distribute traffic from the Internet to a GCP network. GCP customers can configure load balancer SSL policies with a minimum TLS version (1.0, 1.1, or 1.2) that clients can use to establish a connection, along with a profile (Compatible, Modern, Restricted, or Custom) that specifies permissible cipher suites. To comply with users using outdated protocols, GCP load balancers can be configured to permit insecure cipher suites. In fact, the GCP default SSL policy uses a minimum TLS version of 1.0 and a Compatible profile, which allows the widest range of insecure cipher suites. As a result, it is easy for customers to configure a load balancer without even knowing that they are permitting outdated cipher suites.
Impact:
Creating more secure SSL policies can prevent clients using older TLS versions from establishing a connection.</t>
  </si>
  <si>
    <t>From Google Cloud Console
1. See all load balancers by visiting https://console.cloud.google.com/net-services/loadbalancing/loadBalancers/list.
2. For each load balancer for SSL (Proxy) or HTTPS, click on its name to go the Load balancer details page.
3. Ensure that each target proxy entry in the Frontend table has an SSL Policy configured.
4. Click on each SSL policy to go to its SSL policy details page.
5. Ensure that the SSL policy satisfies one of the following conditions:
• has a Min TLS set to TLS 1.2 and Profile set to Modern profile, or
• has Profile set to Restricted. Note that a Restricted profile effectively requires clients to use TLS 1.2 regardless of the chosen minimum TLS version, or
• has Profile set to Custom and the following features are all disabled: TLS_RSA_WITH_AES_128_GCM_SHA256 TLS_RSA_WITH_AES_256_GCM_SHA384 TLS_RSA_WITH_AES_128_CBC_SHA TLS_RSA_WITH_AES_256_CBC_SHA TLS_RSA_WITH_3DES_EDE_CBC_SHA
From Google Cloud CLI
1. List all TargetHttpsProxies and TargetSslProxies. gcloud compute target-https-proxies list gcloud compute target-ssl-proxies list
2. For each target proxy, list its properties: gcloud compute target-https-proxies describe TARGET_HTTPS_PROXY_NAME gcloud compute target-ssl-proxies describe TARGET_SSL_PROXY_NAME
3. Ensure that the sslPolicy field is present and identifies the name of the SSL policy: sslPolicy: https://www.googleapis.com/compute/v1/projects/PROJECT_ID/global/sslPolicies/SSL_POLICY_NAME
If the sslPolicy field is missing from the configuration, it means that the GCP default policy is used, which is insecure.
4. Describe the SSL policy: gcloud compute ssl-policies describe SSL_POLICY_NAME
5. Ensure that the policy satisfies one of the following conditions:
• has Profile set to Modern and minTlsVersion set to TLS_1_2, or
• has Profile set to Restricted, or
• has Profile set to Custom and enabledFeatures does not contain any of the following values: TLS_RSA_WITH_AES_128_GCM_SHA256 TLS_RSA_WITH_AES_256_GCM_SHA384 TLS_RSA_WITH_AES_128_CBC_SHA TLS_RSA_WITH_AES_256_CBC_SHA TLS_RSA_WITH_3DES_EDE_CBC_SHA</t>
  </si>
  <si>
    <t>From Google Cloud Console If the TargetSSLProxy or TargetHttpsProxy does not have an SSL policy configured, create a new SSL policy. Otherwise, modify the existing insecure policy.
1. Navigate to the SSL Policies page by visiting: https://console.cloud.google.com/net-security/sslpolicies
2. Click on the name of the insecure policy to go to its SSL policy details page.
3. Click EDIT.
4. Set Minimum TLS version to TLS 1.2.
5. Set Profile to Modern or Restricted.
6. Alternatively, if teh user selects the profile Custom, make sure that the following features are disabled: TLS_RSA_WITH_AES_128_GCM_SHA256 TLS_RSA_WITH_AES_256_GCM_SHA384 TLS_RSA_WITH_AES_128_CBC_SHA TLS_RSA_WITH_AES_256_CBC_SHA TLS_RSA_WITH_3DES_EDE_CBC_SHA
From Google Cloud CLI
1. For each insecure SSL policy, update it to use secure cyphers: gcloud compute ssl-policies update NAME [--profile COMPATIBLE|MODERN|RESTRICTED|CUSTOM] --min-tls-version 1.2 [--custom-features FEATURES]
2. If the target proxy has a GCP default SSL policy, use the following command corresponding to the proxy type to update it. gcloud compute target-ssl-proxies update TARGET_SSL_PROXY_NAME --ssl-policy SSL_POLICY_NAME gcloud compute target-https-proxies update TARGET_HTTPS_POLICY_NAME --ssl-policy SSL_POLICY_NAME
Default Value:
The GCP default SSL policy is the least secure setting: Min TLS 1.0 and Compatible profile</t>
  </si>
  <si>
    <t>1. https://cloud.google.com/load-balancing/docs/use-ssl-policies
2. https://nvlpubs.nist.gov/nistpubs/SpecialPublications/NIST.SP.800-52r2.pdf</t>
  </si>
  <si>
    <t>4.3 Ensure “Block Project-Wide SSH Keys” Is Enabled for VM Instances (Automated)</t>
  </si>
  <si>
    <t>It is recommended to use Instance specific SSH key(s) instead of using common/shared project-wide SSH key(s) to access Instances.</t>
  </si>
  <si>
    <t>Project-wide SSH keys are stored in Compute/Project-meta-data. Project wide SSH keys can be used to login into all the instances within project. Using project-wide SSH keys eases the SSH key management but if compromised, poses the security risk which can impact all the instances within project. It is recommended to use Instance specific SSH keys which can limit the attack surface if the SSH keys are compromised.
Impact:
Users already having Project-wide ssh key pairs and using third party SSH clients will lose access to the impacted Instances. For Project users using gcloud or GCP Console based SSH option, no manual key creation and distribution is required and will be handled by GCE (Google Compute Engine) itself. To access Instance using third party SSH clients Instance specific SSH key pairs need to be created and distributed to the required users.</t>
  </si>
  <si>
    <t>From Google Cloud Console
1. Go to the VM instances page by visiting https://console.cloud.google.com/compute/instances. It will list all the instances in your project.
2. For every instance, click on the name of the instance.
3. Under SSH Keys, ensure Block project-wide SSH keys is selected.
From Google Cloud CLI
1. List the instances in your project and get details on each instance: gcloud compute instances list --format=json
2. Ensure key: block-project-ssh-keys is set to value: 'true'.
Additional Information:
If OS Login is enabled, SSH keys in instance metadata are ignored, and therefore blocking project-wide SSH keys is not necessary.</t>
  </si>
  <si>
    <t>From Google Cloud Console
1. Go to the VM instances page by visiting: https://console.cloud.google.com/compute/instances. It will list all the instances in your project.
2. Click on the name of the Impacted instance
3. Click Edit in the toolbar
4. Under SSH Keys, go to the Block project-wide SSH keys checkbox
5. To block users with project-wide SSH keys from connecting to this instance, select Block project-wide SSH keys
6. Click Save at the bottom of the page
7. Repeat steps for every impacted Instance
From Google Cloud CLI To block project-wide public SSH keys, set the metadata value to TRUE: gcloud compute instances add-metadata &lt;INSTANCE_NAME&gt; --metadata block-project-ssh-keys=TRUE
Default Value:
By Default Block Project-wide SSH keys is not enabled.</t>
  </si>
  <si>
    <t>1. https://cloud.google.com/compute/docs/instances/adding-removing-ssh-keys
2. https://cloud.google.com/sdk/gcloud/reference/topic/formats</t>
  </si>
  <si>
    <t>4.10 Ensure That App Engine Applications Enforce HTTPS Connections (Manual)</t>
  </si>
  <si>
    <t>In order to maintain the highest level of security all connections to an application should be secure by default.</t>
  </si>
  <si>
    <t>Insecure HTTP connections maybe subject to eavesdropping which can expose sensitive data.
Impact:
All connections to appengine will automatically be redirected to the HTTPS endpoint ensuring that all connections are secured by TLS.</t>
  </si>
  <si>
    <t>Verify that the app.yaml file controlling the application contains a line which enforces secure connections. For example handlers: - url: /.* secure: always redirect_http_response_code: 301 script: auto
https://cloud.google.com/appengine/docs/standard/python3/config/appref</t>
  </si>
  <si>
    <t>Add a line to the app.yaml file controlling the application which enforces secure connections. For example handlers: - url: /.* **secure: always** redirect_http_response_code: 301 script: auto
[https://cloud.google.com/appengine/docs/standard/python3/config/appref]
Default Value:
By default both HTTP and HTTP are supported</t>
  </si>
  <si>
    <t>1. https://cloud.google.com/appengine/docs/standard/python3/config/appref
2. https://cloud.google.com/appengine/docs/flexible/nodejs/configuring-your-app-with-app-yaml</t>
  </si>
  <si>
    <t>6.4 Ensure That the Cloud SQL Database Instance Requires All Incoming Connections To Use SSL (Automated)</t>
  </si>
  <si>
    <t>It is recommended to enforce all incoming connections to SQL database instance to use SSL.</t>
  </si>
  <si>
    <t>SQL database connections if successfully trapped (MITM); can reveal sensitive data like credentials, database queries, query outputs etc. For security, it is recommended to always use SSL encryption when connecting to your instance. This recommendation is applicable for Postgresql, MySql generation 1, MySql generation 2 and SQL Server 2017 instances.
Impact:
After enforcing SSL connection, existing client will not be able to communicate with SQL server unless configured with appropriate client-certificates to communicate to SQL database instance.</t>
  </si>
  <si>
    <t>From Google Cloud Console
1. Go to https://console.cloud.google.com/sql/instances.
2. Click on an instance name to see its configuration overview.
3. In the left-side panel, select Connections.
4. In the SSL connections section, ensure that Only secured connections are allowed to connect to this instance..
From Google Cloud CLI
1. Get the detailed configuration for every SQL database instance using the following command: gcloud sql instances list --format=json
Ensure that section settings: ipConfiguration has the parameter requireSsl set to true.
Additional Information:
By default Settings: ipConfiguration has no authorizedNetworks set/configured. In that case even if by default requireSsl is not set, which is equivalent to requireSsl:false there is no risk as instance cannot be accessed outside of the network unless authorizedNetworks are configured. However, If default for requireSsl is not updated to true any authorizedNetworks created later on will not enforce SSL only connection.</t>
  </si>
  <si>
    <t>From Google Cloud Console
1. Go to https://console.cloud.google.com/sql/instances.
2. Click on an instance name to see its configuration overview.
3. In the left-side panel, select Connections.
4. In the SSL connections section, click Allow only SSL connections.
5. Under Configure SSL server certificates click Create new certificate.
6. Under Configure SSL client certificates click Create a client certificate.
7. Follow the instructions shown to learn how to connect to your instance.
From Google Cloud CLI To enforce SSL encryption for an instance run the command: gcloud sql instances patch &lt;INSTANCE_NAME&gt; --require-ssl
Note: RESTART is required for type MySQL Generation 1 Instances (backendType: FIRST_GEN) to get this configuration in effect.
Default Value:
By default parameter settings: ipConfiguration: requireSsl is not set which is equivalent to requireSsl:false.</t>
  </si>
  <si>
    <t>1. https://cloud.google.com/sql/docs/postgres/configure-ssl-instance/</t>
  </si>
  <si>
    <t>1.10 Ensure KMS Encryption Keys Are Rotated Within a Period of 90 Days (Automated)</t>
  </si>
  <si>
    <t>Google Cloud Key Management Service stores cryptographic keys in a hierarchical structure designed for useful and elegant access control management.
The format for the rotation schedule depends on the client library that is used. For the gcloud command-line tool, the next rotation time must be in ISO or RFC3339 format, and the rotation period must be in the form INTEGER[UNIT], where units can be one of seconds (s), minutes (m), hours (h) or days (d).
Additional Information:
• Key rotation does NOT re-encrypt already encrypted data with the newly generated key version. If you suspect unauthorized use of a key, you should re-encrypt the data protected by that key and then disable or schedule destruction of the prior key version.
• It is not recommended to rely solely on irregular rotation, but rather to use irregular rotation if needed in conjunction with a regular rotation schedule.</t>
  </si>
  <si>
    <t>Set a key rotation period and starting time. A key can be created with a specified rotation period, which is the time between when new key versions are generated automatically. A key can also be created with a specified next rotation time. A key is a named object representing a cryptographic key used for a specific purpose. The key material, the actual bits used for encryption, can change over time as new key versions are created.
A key is used to protect some corpus of data. A collection of files could be encrypted with the same key and people with decrypt permissions on that key would be able to decrypt those files. Therefore, it's necessary to make sure the rotation period is set to a specific time.
Impact:
After a successful key rotation, the older key version is required in order to decrypt the data encrypted by that previous key version.</t>
  </si>
  <si>
    <t>From Google Cloud Console
1. Go to Cryptographic Keys by visiting: https://console.cloud.google.com/security/kms.
2. Click on each key ring, then ensure each key in the keyring has Next Rotation set for less than 90 days from the current date.
From Google Cloud CLI
1. Ensure rotation is scheduled by ROTATION_PERIOD and NEXT_ROTATION_TIME for each key : gcloud kms keys list --keyring=&lt;KEY_RING&gt; --location=&lt;LOCATION&gt; --format=json'(rotationPeriod)'
Ensure outcome values for rotationPeriod and nextRotationTime satisfy the below criteria: rotationPeriod is &lt;= 129600m rotationPeriod is &lt;= 7776000s rotationPeriod is &lt;= 2160h rotationPeriod is &lt;= 90d nextRotationTime is &lt;= 90days from current DATE</t>
  </si>
  <si>
    <t>From Google Cloud Console
1. Go to Cryptographic Keys by visiting: https://console.cloud.google.com/security/kms.
2. Click on the specific key ring
3. From the list of keys, choose the specific key and Click on Right side pop up the blade (3 dots).
4. Click on Edit rotation period.
5. On the pop-up window, Select a new rotation period in days which should be less than 90 and then choose Starting on date (date from which the rotation period begins).
From Google Cloud CLI
1. Update and schedule rotation by ROTATION_PERIOD and NEXT_ROTATION_TIME for each key: gcloud kms keys update new --keyring=KEY_RING --location=LOCATION --next-rotation-time=NEXT_ROTATION_TIME --rotation-period=ROTATION_PERIOD
Default Value:
By default, KMS encryption keys are rotated every 90 days.</t>
  </si>
  <si>
    <t>1. https://cloud.google.com/kms/docs/key-rotation#frequency_of_key_rotation
2. https://cloud.google.com/kms/docs/re-encrypt-data</t>
  </si>
  <si>
    <t>1.17 Ensure that Dataproc Cluster is encrypted using Customer-Managed Encryption Key (Automated)</t>
  </si>
  <si>
    <t>When you use Dataproc, cluster and job data is stored on Persistent Disks (PDs) associated with the Compute Engine VMs in your cluster and in a Cloud Storage staging bucket. This PD and bucket data is encrypted using a Google-generated data encryption key (DEK) and key encryption key (KEK). The CMEK feature allows you to create, use, and revoke the key encryption key (KEK). Google still controls the data encryption key (DEK).</t>
  </si>
  <si>
    <t>"Cloud services offer the ability to protect data related to those services using encryption keys managed by the customer within Cloud KMS. These encryption keys are called customer-managed encryption keys (CMEK). When you protect data in Google Cloud services with CMEK, the CMEK key is within your control.
Impact:
Using Customer Managed Keys involves additional overhead in maintenance by administrators.</t>
  </si>
  <si>
    <t>From Google Cloud Console
1. Login to the GCP Console and navigate to the Dataproc Cluster page by visiting https://console.cloud.google.com/dataproc/clusters.
2. Select the project from the project dropdown list.
3. On the Dataproc Clusters page, select the cluster and click on the Name attribute value that you want to examine.
4. On the details page, select the Configurations tab.
5. On the Configurations tab, check the Encryption type configuration attribute value. If the value is set to Google-managed key, then Dataproc Cluster is not encrypted with Customer managed encryption keys.
Repeat step no. 3 - 5 for other Dataproc Clusters available in the selected project.
6. Change the project from the project dropdown list and repeat the audit procedure for other projects.
From Google Cloud CLI
1. Run clusters list command to list all the Dataproc Clusters available in the region: gcloud dataproc clusters list --region='us-central1'
2. Run clusters describe command to get the key details of the selected cluster: gcloud dataproc clusters describe &lt;cluster_name&gt; --region=us-central1 --flatten=config.encryptionConfig.gcePdKmsKeyName
3. If the above command output return "null", then the selected cluster is not encrypted with Customer managed encryption keys.
4. Repeat step no. 2 and 3 for other Dataproc Clusters available in the selected region. Change the region by updating --region and repeat step no. 2 for other clusters available in the project. Change the project by running the below command and repeat the audit procedure for other Dataproc clusters available in other projects: gcloud config set project &lt;project_ID&gt;"</t>
  </si>
  <si>
    <t>From Google Cloud Console
1. Login to the GCP Console and navigate to the Dataproc Cluster page by visiting https://console.cloud.google.com/dataproc/clusters.
2. Select the project from the projects dropdown list.
3. On the Dataproc Cluster page, click on the Create Cluster to create a new cluster with Customer managed encryption keys.
4. On Create a cluster page, perform below steps:
• Inside Set up cluster section perform below steps: In the Name textbox, provide a name for your cluster.
o From Location select the location in which you want to deploy a cluster.
o Configure other configurations as per your requirements.
• Inside Configure Nodes and Customize cluster section configure the settings as per your requirements.
• Inside Manage security section, perform below steps:
o From Encryption, select Customer-managed key.
o Select a customer-managed key from dropdown list.
o Ensure that the selected KMS Key have Cloud KMS CryptoKey Encrypter/Decrypter role assign to Dataproc Cluster service account ("serviceAccount:service-&lt;project_number&gt;@compute-system.iam.gserviceaccount.com").
o Click on Create to create a cluster.
• Once the cluster is created migrate all your workloads from the older cluster to the new cluster and delete the old cluster by performing the below steps:
o On the Clusters page, select the old cluster and click on Delete cluster.
o On the Confirm deletion window, click on Confirm to delete the cluster.
o Repeat step above for other Dataproc clusters available in the selected project.
• Change the project from the project dropdown list and repeat the remediation procedure for other Dataproc clusters available in other projects.
From Google Cloud CLI Before creating cluster ensure that the selected KMS Key have Cloud KMS CryptoKey Encrypter/Decrypter role assign to Dataproc Cluster service account ("serviceAccount:service-&lt;project_number&gt;@compute-system.iam.gserviceaccount.com"). Run clusters create command to create new cluster with customer-managed key: gcloud dataproc clusters create &lt;cluster_name&gt; --region=us-central1 --gce-pd-kms-key=&lt;key_resource_name&gt;
The above command will create a new cluster in the selected region. Once the cluster is created migrate all your workloads from the older cluster to the new cluster and Run clusters delete command to delete cluster: gcloud dataproc clusters delete &lt;cluster_name&gt; --region=us-central1
Repeat step no. 1 to create a new Dataproc cluster. Change the project by running the below command and repeat the remediation procedure for other projects: gcloud config set project &lt;project_ID&gt;"</t>
  </si>
  <si>
    <t>1. https://cloud.google.com/docs/security/encryption/default-encryption</t>
  </si>
  <si>
    <t>1.18 Ensure Secrets are Not Stored in Cloud Functions Environment Variables by Using Secret Manager (Manual)</t>
  </si>
  <si>
    <t>Google Cloud Functions allow you to host serverless code that is executed when an event is triggered, without the requiring the management a host operating system. These functions can also store environment variables to be used by the code that may contain authentication or other information that needs to remain confidential.
Default Value:
By default Secret Manager is not enabled.
Additional Information:
There are slight additional costs to using the Secret Manager API. Review the documentation to determine your organizations' needs.</t>
  </si>
  <si>
    <t>It is recommended to use the Secret Manager, because environment variables are stored unencrypted, and accessible for all users who have access to the code.
Impact:
There should be no impact on the Cloud Function. There are minor costs after 10,000 requests a month to the Secret Manager API as well for a high use of other functions. Modifying the Cloud Function to use the Secret Manager may prevent it running to completion.</t>
  </si>
  <si>
    <t>Determine if Confidential Information is Stored in your Functions in Cleartext From Google Cloud Console
1. Within the project you wish to audit, select the Navigation hamburger menu in the top left. Scroll down to under the heading 'Serverless', then select 'Cloud Functions'
2. Click on a function name from the list
3. Open the Variables tab and you will see both buildEnvironmentVariables and environmentVariables
4. Review the variables whether they are secrets
5. Repeat step 3-5 until all functions are reviewed
From Google Cloud CLI
1. To view a list of your cloud functions run gcloud functions list
2. For each cloud function in the list run the following command. gcloud functions describe &lt;function_name&gt;
3. Review the settings of the buildEnvironmentVariables and environmentVariables. Determine if this is data that should not be publicly accessible.
Determine if Secret Manager API is 'Enabled' for your Project
From Google Cloud Console
1. Within the project you wish to audit, select the Navigation hamburger menu in the top left. Hover over 'APIs &amp; Services' to under the heading 'Serverless', then select 'Enabled APIs &amp; Services' in the menu that opens up.
2. Click the button '+ Enable APIS and Services'
3. In the Search bar, search for 'Secret Manager API' and select it.
4. If it is enabled, the blue box that normally says 'Enable' will instead say 'Manage'.
From Google Cloud CLI
1. Within the project you wish to audit, run the following command. gcloud services list
2. If 'Secret Manager API' is in the list, it is enabled.</t>
  </si>
  <si>
    <t xml:space="preserve">Enable Secret Manager API for your Project From Google Cloud Console
1. Within the project you wish to enable, select the Navigation hamburger menu in the top left. Hover over 'APIs &amp; Services' to under the heading 'Serverless', then select 'Enabled APIs &amp; Services' in the menu that opens up.
2. Click the button '+ Enable APIS and Services'
3. In the Search bar, search for 'Secret Manager API' and select it.
4. Click the blue box that says 'Enable'.
From Google Cloud CLI
1. Within the project you wish to enable the API in, run the following command. gcloud services enable Secret Manager API
Reviewing Environment Variables That Should Be Migrated to Secret Manager From Google Cloud Console
1. Log in to the Google Cloud Web Portal (https://console.cloud.google.com/)
2. Go to Cloud Functions
3. Click on a function name from the list
4. Click on Edit and review the Runtime environment for variables that should be secrets. Leave this list open for the next step.
From Google Cloud CLI
1. To view a list of your cloud functions run gcloud functions list
2. For each cloud function run the following command. gcloud functions describe &lt;function_name&gt;
3. Review the settings of the buildEnvironmentVariables and environmentVariables. Keep this information for the next step.
Migrating Environment Variables to Secrets within the Secret Manager From Google Cloud Console
1. Go to the Secret Manager page in the Cloud Console.
2. On the Secret Manager page, click Create Secret.
3. On the Create secret page, under Name, enter the name of the Environment Variable you are replacing. This will then be the Secret Variable you will reference in your code.
4. You will also need to add a version. This is the actual value of the variable that will be referenced from the code. To add a secret version when creating the initial secret, in the Secret value field, enter the value from the Environment Variable you are replacing.
5. Leave the Regions section unchanged.
6. Click the Create secret button.
7. Repeat for all Environment Variables
From Google Cloud CLI
1. Run the following command with the Environment Variable name you are replacing in the &lt;secret-id&gt;. It is most secure to point this command to a file with the Environment Variable value located in it, as if you entered it via command line it would show up in your shell’s command history. gcloud secrets create &lt;secret-id&gt; --data-file="/path/to/file.txt"
Granting your Runtime's Service Account Access to Secrets From Google Cloud Console
1. Within the project containing your runtime login with account that has the 'roles/secretmanager.secretAccessor' permission.
2. Select the Navigation hamburger menu in the top left. Hover over 'Security' to under the then select 'Secret Manager' in the menu that opens up.
3. Click the name of a secret listed in this screen.
4. If it is not already open, click Show Info Panel in this screen to open the panel. 5.In the info panel, click Add principal. 6.In the New principals field, enter the service account your function uses for its identity. (If you need help locating or updating your runtime's service account, please see the 'docs/securing/function-identity#runtime_service_account' reference.)
5. In the Select a role dropdown, choose Secret Manager and then Secret Manager Secret Accessor.
From Google Cloud CLI As of the time of writing, using Google CLI to list Runtime variables is only in beta. Because this is likely to change we are not including it here.
Modifying the Code to use the Secrets in Secret Manager From Google Cloud Console This depends heavily on which language your runtime is in. For the sake of the brevity of this recommendation, please see the '/docs/creating-and-accessing-secrets#access' reference for language specific instructions.
From Google Cloud CLI This depends heavily on which language your runtime is in. For the sake of the brevity of this recommendation, please see the' /docs/creating-and-accessing-secrets#access' reference for language specific instructions.
Deleting the Insecure Environment Variables - Be certain to do this step last. Removing variables from code actively referencing them will prevent it from completing successfully.
From Google Cloud Console
1. Select the Navigation hamburger menu in the top left. Hover over 'Security' then select 'Secret Manager' in the menu that opens up.
2. Click the name of a function. Click Edit.
3. Click Runtime, build and connections settings to expand the advanced configuration options.
4. Click 'Security’. Hover over the secret you want to remove, then click 'Delete'.
5. Click Next. Click Deploy. The latest version of the runtime will now reference the secrets in Secret Manager.
From Google Cloud CLI gcloud functions deploy &lt;Function name&gt;--remove-env-vars &lt;env vars&gt;
If you need to find the env vars to remove, they are from the step where ‘gcloud functions describe &lt;function_name&gt;’ was run.
</t>
  </si>
  <si>
    <t>1. https://cloud.google.com/functions/docs/configuring/env-var#managing_secrets
2. https://cloud.google.com/secret-manager/docs/overview</t>
  </si>
  <si>
    <t>4.7 Ensure VM Disks for Critical VMs Are Encrypted With Customer-Supplied Encryption Keys (CSEK) (Automated)</t>
  </si>
  <si>
    <t>Customer-Supplied Encryption Keys (CSEK) are a feature in Google Cloud Storage and Google Compute Engine. If you supply your own encryption keys, Google uses your key to protect the Google-generated keys used to encrypt and decrypt your data. By default, Google Compute Engine encrypts all data at rest. Compute Engine handles and manages this encryption for you without any additional actions on your part. However, if you wanted to control and manage this encryption yourself, you can provide your own encryption keys.</t>
  </si>
  <si>
    <t>By default, Google Compute Engine encrypts all data at rest. Compute Engine handles and manages this encryption for you without any additional actions on your part. However, if you wanted to control and manage this encryption yourself, you can provide your own encryption keys.
If you provide your own encryption keys, Compute Engine uses your key to protect the Google-generated keys used to encrypt and decrypt your data. Only users who can provide the correct key can use resources protected by a customer-supplied encryption key.
Google does not store your keys on its servers and cannot access your protected data unless you provide the key. This also means that if you forget or lose your key, there is no way for Google to recover the key or to recover any data encrypted with the lost key.
At least business critical VMs should have VM disks encrypted with CSEK.
Impact:
If you lose your encryption key, you will not be able to recover the data.</t>
  </si>
  <si>
    <t>From Google Cloud Console
1. Go to Compute Engine Disks by visiting: https://console.cloud.google.com/compute/disks.
2. Click on the disk for your critical VMs to see its configuration details.
3. Ensure that Encryption type is set to Customer supplied.
From Google Cloud CLI Ensure diskEncryptionKey property in the below command's response is not null, and contains key sha256 with corresponding value gcloud compute disks describe &lt;DISK_NAME&gt; --zone &lt;ZONE&gt; --format="json(diskEncryptionKey,name)"
Additional Information:
Note 1: When you delete a persistent disk, Google discards the cipher keys, rendering the data irretrievable. This process is irreversible.
Note 2: It is up to you to generate and manage your key. You must provide a key that is a 256-bit string encoded in RFC 4648 standard base64 to Compute Engine.
Note 3: An example key file looks like this. [ { "uri": "https://www.googleapis.com/compute/v1/projects/myproject/zones/us-central1-a/disks/example-disk", "key": "acXTX3rxrKAFTF0tYVLvydU1riRZTvUNC4g5I11NY-c=", "key-type": "raw" }, { "uri": "https://www.googleapis.com/compute/v1/projects/myproject/global/snapshots/my-private-snapshot", "key": "ieCx/NcW06PcT7Ep1X6LUTc/hLvUDYyzSZPPVCVPTVEohpeHASqC8uw5TzyO9U+Fka9JFHz0mBibXUInrC/jEk014kCK/NPjYgEMOyssZ4ZINPKxlUh2zn1bV+MCaTICrdmuSBTWlUUiFoDD6PYznLwh8ZNdaheCeZ8ewEXgFQ8V+sDroLaN3Xs3MDTXQEMMoNUXMCZEIpg9Vtp9x2oeQ5lAbtt7bYAAHf5l+gJWw3sUfs0/Glw5fpdjT8Uggrr+RMZezGrltJEF293rvTIjWOEB3z5OHyHwQkvdrPDFcTqsLfh+8Hr8g+mf+7zVPEC8nEbqpdl3GPv3A7AwpFp7MA==" "key-type": "rsa-encrypted" } ]</t>
  </si>
  <si>
    <t>Currently there is no way to update the encryption of an existing disk. Therefore you should create a new disk with Encryption set to Customer supplied. From Google Cloud Console
1. Go to Compute Engine Disks by visiting: https://console.cloud.google.com/compute/disks.
2. Click CREATE DISK.
3. Set Encryption type to Customer supplied,
4. Provide the Key in the box.
5. Select Wrapped key.
6. Click Create.
From Google Cloud CLI In the gcloud compute tool, encrypt a disk using the --csek-key-file flag during instance creation. If you are using an RSA-wrapped key, use the gcloud beta component: gcloud compute instances create &lt;INSTANCE_NAME&gt; --csek-key-file &lt;example-file.json&gt;
To encrypt a standalone persistent disk: gcloud compute disks create &lt;DISK_NAME&gt; --csek-key-file &lt;example-file.json&gt;
Default Value:
By default, VM disks are encrypted with Google-managed keys. They are not encrypted with Customer-Supplied Encryption Keys.</t>
  </si>
  <si>
    <t>1. https://cloud.google.com/compute/docs/disks/customer-supplied-encryption#encrypt_a_new_persistent_disk_with_your_own_keys
2. https://cloud.google.com/compute/docs/reference/rest/v1/disks/get
3. https://cloud.google.com/compute/docs/disks/customer-supplied-encryption#key_file</t>
  </si>
  <si>
    <t>4.11 Ensure That Compute Instances Have Confidential Computing Enabled (Automated)</t>
  </si>
  <si>
    <t>Google Cloud encrypts data at-rest and in-transit, but customer data must be decrypted for processing. Confidential Computing is a breakthrough technology which encrypts data in-use—while it is being processed. Confidential Computing environments keep data encrypted in memory and elsewhere outside the central processing unit (CPU).
Confidential VMs leverage the Secure Encrypted Virtualization (SEV) feature of AMD EPYC™ CPUs. Customer data will stay encrypted while it is used, indexed, queried, or trained on. Encryption keys are generated in hardware, per VM, and not exportable. Thanks to built-in hardware optimizations of both performance and security, there is no significant performance penalty to Confidential Computing workloads.</t>
  </si>
  <si>
    <t>Confidential Computing enables customers' sensitive code and other data encrypted in memory during processing. Google does not have access to the encryption keys. Confidential VM can help alleviate concerns about risk related to either dependency on Google infrastructure or Google insiders' access to customer data in the clear.
Impact:
• Confidential Computing for Compute instances does not support live migration. Unlike regular Compute instances, Confidential VMs experience disruptions during maintenance events like a software or hardware update.
• Additional charges may be incurred when enabling this security feature. See https://cloud.google.com/compute/confidential-vm/pricing for more info.</t>
  </si>
  <si>
    <t>Note: Confidential Computing is currently only supported on N2D machines. To learn more about types of N2D machines, visit https://cloud.google.com/compute/docs/machine-types#n2d_machine_types From Google Cloud Console
1. Go to the VM instances page by visiting: https://console.cloud.google.com/compute/instances.
2. Click on the instance name to see its VM instance details page.
3. Ensure that Confidential VM service is Enabled.
From Google Cloud CLI
1. List the instances in your project and get details on each instance: gcloud compute instances list --format=json
2. Ensure that enableConfidentialCompute is set to true for all instances with machine type starting with "n2d-". confidentialInstanceConfig: enableConfidentialCompute: true</t>
  </si>
  <si>
    <t>Confidential Computing can only be enabled when an instance is created. You must delete the current instance and create a new one. From Google Cloud Console
1. Go to the VM instances page by visiting: https://console.cloud.google.com/compute/instances.
2. Click CREATE INSTANCE.
3. Fill out the desired configuration for your instance.
4. Under the Confidential VM service section, check the option Enable the Confidential Computing service on this VM instance.
5. Click Create.
From Google Cloud CLI Create a new instance with Confidential Compute enabled. gcloud compute instances create &lt;INSTANCE_NAME&gt; --zone &lt;ZONE&gt; --confidential-compute --maintenance-policy=TERMINATE
Default Value:
By default, Confidential Computing is disabled for Compute instances.</t>
  </si>
  <si>
    <t>1. https://cloud.google.com/compute/confidential-vm/docs/creating-cvm-instance
2. https://cloud.google.com/compute/confidential-vm/docs/about-cvm
3. https://cloud.google.com/confidential-computing
4. https://cloud.google.com/blog/products/identity-security/introducing-google-cloud-confidential-computing-with-confidential-vms</t>
  </si>
  <si>
    <t>7.2 Ensure That All BigQuery Tables Are Encrypted With Customer-Managed Encryption Key (CMEK) (Automated)</t>
  </si>
  <si>
    <t>BigQuery by default encrypts the data as rest by employing Envelope Encryption using Google managed cryptographic keys. The data is encrypted using the data encryption keys and data encryption keys themselves are further encrypted using key encryption keys. This is seamless and do not require any additional input from the user. However, if you want to have greater control, Customer-managed encryption keys (CMEK) can be used as encryption key management solution for BigQuery Data Sets. If CMEK is used, the CMEK is used to encrypt the data encryption keys instead of using google-managed encryption keys.</t>
  </si>
  <si>
    <t>BigQuery by default encrypts the data as rest by employing Envelope Encryption using Google managed cryptographic keys. This is seamless and does not require any additional input from the user.
For greater control over the encryption, customer-managed encryption keys (CMEK) can be used as encryption key management solution for BigQuery tables. The CMEK is used to encrypt the data encryption keys instead of using google-managed encryption keys. BigQuery stores the table and CMEK association and the encryption/decryption is done automatically.
Applying the Default Customer-managed keys on BigQuery data sets ensures that all the new tables created in the future will be encrypted using CMEK but existing tables need to be updated to use CMEK individually. Note: Google does not store your keys on its servers and cannot access your protected data unless you provide the key. This also means that if you forget or lose your key, there is no way for Google to recover the key or to recover any data encrypted with the lost key.
Impact:
Using Customer-managed encryption keys (CMEK) will incur additional labor-hour investment to create, protect, and manage the keys.</t>
  </si>
  <si>
    <t>From Google Cloud Console
1. Go to Analytics
2. Go to BigQuery
3. Under SQL Workspace, select the project
4. Select Data Set, select the table
5. Go to Details tab
6. Under Table info, verify Customer-managed key is present.
7. Repeat for each table in all data sets for all projects.
From Google Cloud CLI List all dataset names bq ls
Use the following command to view the table details. Verify the kmsKeyName is present. bq show &lt;table_object&gt;</t>
  </si>
  <si>
    <t>From Google Cloud CLI Use the following command to copy the data. The source and the destination needs to be same in case copying to the original table. bq cp --destination_kms_key &lt;customer_managed_key&gt; source_dataset.source_table destination_dataset.destination_table
Default Value:
Google Managed keys are used as key encryption keys.</t>
  </si>
  <si>
    <t>1. https://cloud.google.com/bigquery/docs/customer-managed-encryption</t>
  </si>
  <si>
    <t>7.3 Ensure That a Default Customer-Managed Encryption Key (CMEK) Is Specified for All BigQuery Data Sets (Automated)</t>
  </si>
  <si>
    <t>BigQuery by default encrypts the data as rest by employing Envelope Encryption using Google managed cryptographic keys. The data is encrypted using the data encryption keys and data encryption keys themselves are further encrypted using key encryption keys. This is seamless and do not require any additional input from the user. However, if you want to have greater control, Customer-managed encryption keys (CMEK) can be used as encryption key management solution for BigQuery Data Sets.</t>
  </si>
  <si>
    <t>BigQuery by default encrypts the data as rest by employing Envelope Encryption using Google managed cryptographic keys. This is seamless and does not require any additional input from the user.
For greater control over the encryption, customer-managed encryption keys (CMEK) can be used as encryption key management solution for BigQuery Data Sets. Setting a Default Customer-managed encryption key (CMEK) for a data set ensure any tables created in future will use the specified CMEK if none other is provided. Note: Google does not store your keys on its servers and cannot access your protected data unless you provide the key. This also means that if you forget or lose your key, there is no way for Google to recover the key or to recover any data encrypted with the lost key.
Impact:
Using Customer-managed encryption keys (CMEK) will incur additional labor-hour investment to create, protect, and manage the keys.</t>
  </si>
  <si>
    <t>From Google Cloud Console
1. Go to Analytics
2. Go to BigQuery
3. Under Analysis click on SQL Workspaces, select the project
4. Select Data Set
5. Ensure Customer-managed key is present under Dataset info section.
6. Repeat for each data set in all projects.
From Google Cloud CLI List all dataset names bq ls
Use the following command to view each dataset details. bq show &lt;data_set_object&gt;
Verify the kmsKeyName is present.</t>
  </si>
  <si>
    <t>From Google Cloud CLI The default CMEK for existing data sets can be updated by specifying the default key in the EncryptionConfiguration.kmsKeyName field when calling the datasets.insert or datasets.patch methods
Default Value:
Google Managed keys are used as key encryption keys.</t>
  </si>
  <si>
    <t>6.3.3 Ensure 'user Connections' Database Flag for Cloud Sql Sql Server Instance Is Set to a Non-limiting Value (Automated)</t>
  </si>
  <si>
    <t>It is recommended to check the user connections for a Cloud SQL SQL Server instance to ensure that it is not artificially limiting connections.</t>
  </si>
  <si>
    <t>The user connections option specifies the maximum number of simultaneous user connections that are allowed on an instance of SQL Server. The actual number of user connections allowed also depends on the version of SQL Server that you are using, and also the limits of your application or applications and hardware. SQL Server allows a maximum of 32,767 user connections. Because user connections is by default a self-configuring value, with SQL Server adjusting the maximum number of user connections automatically as needed, up to the maximum value allowable. For example, if only 10 users are logged in, 10 user connection objects are allocated. In most cases, you do not have to change the value for this option. The default is 0, which means that the maximum (32,767) user connections are allowed. However if there is a number defined here that limits connections, SQL Server will not allow anymore above this limit. If the connections are at the limit, any new requests will be dropped, potentially causing lost data or outages for those using the database.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</si>
  <si>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Ensure the database flag user connections listed under the Database flags section is 0.
From Google Cloud CLI
1. Ensure the below command returns a value of 0, for every Cloud SQL SQL Server database instance. gcloud sql instances list --format=json | jq '.settings.databaseFlags[] | select(.name=="user connections")|.value'
Additional Information: WARNING: This patch modifies database flag values, which may require your instance to be restarted. Check the list of supported flags - https://cloud.google.com/sql/docs/sqlserver/flags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restart the Cloud SQL instance.</t>
  </si>
  <si>
    <t>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user connections from the drop-down menu, and set its value to your organization recommended value.
6. Click Save to save your changes.
7. Confirm your changes under Flags on the Overview page.
From Google Cloud CLI
1. Configure the user connections database flag for every Cloud SQL SQL Server database instance using the below command. gcloud sql instances patch &lt;INSTANCE_NAME&gt; --database-flags "user connections=[0-32,767]"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user connections is set to '0' which does not limit the number of connections, giving the server free reign to facilitate a max of 32,767 connections.</t>
  </si>
  <si>
    <t>1. https://cloud.google.com/sql/docs/sqlserver/flags
2. https://docs.microsoft.com/en-us/sql/database-engine/configure-windows/configure-the-user-connections-server-configuration-option?view=sql-server-ver15
3. https://www.stigviewer.com/stig/ms_sql_server_2016_instance/2018-03-09/finding/V-79119</t>
  </si>
  <si>
    <t>6.3.4 Ensure 'user options' database flag for Cloud SQL SQL Server instance is not configured (Automated)</t>
  </si>
  <si>
    <t>It is recommended that, user options database flag for Cloud SQL SQL Server instance should not be configured.</t>
  </si>
  <si>
    <t>The user options option specifies global defaults for all users. A list of default query processing options is established for the duration of a user's work session. The user options option allows you to change the default values of the SET options (if the server's default settings are not appropriate).
A user can override these defaults by using the SET statement. You can configure user options dynamically for new logins. After you change the setting of user options, new login sessions use the new setting; current login sessions are not affected. This recommendation is applicable to SQL Server database instances.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</si>
  <si>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Ensure the database flag user options that has been set is not listed under the Database flags section.
From Google Cloud CLI
1. Ensure the below command returns empty result for every Cloud SQL SQL Server database instance gcloud sql instances list --format=json | jq '.settings.databaseFlags[] | select(.name=="user options")|.value'
Additional Information: WARNING: This patch modifies database flag values, which may require your instance to be restarted. Check the list of supported flags - https://cloud.google.com/sql/docs/sqlserver/flags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restart the Cloud SQL instance.</t>
  </si>
  <si>
    <t>From Google Cloud Console
1. Go to the Cloud SQL Instances page in the Google Cloud Console by visiting https://console.cloud.google.com/sql/instances.
2. Select the SQL Server instance for which you want to enable to database flag.
3. Click Edit.
4. Scroll down to the Flags section.
5. Click the X next user options flag shown
6. Click Save to save your changes.
7. Confirm your changes under Flags on the Overview page.
From Google Cloud CLI
1. List all Cloud SQL database Instances gcloud sql instances list
2. Clear the user options database flag for every Cloud SQL SQL Server database instance using either of the below commands. 1.Clearing all flags to their default value gcloud sql instances patch &lt;INSTANCE_NAME&gt; --clear-database-flags OR 2. To clear only `user options` database flag, configure the database flag by overriding the `user options`. Exclude `user options` flag and its value, and keep all other flags you want to configure. gcloud sql instances patch &lt;INSTANCE_NAME&gt; --database-flags [FLAG1=VALUE1,FLAG2=VALUE2]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'user options' is not configured.</t>
  </si>
  <si>
    <t>1. https://cloud.google.com/sql/docs/sqlserver/flags
2. https://docs.microsoft.com/en-us/sql/database-engine/configure-windows/configure-the-user-options-server-configuration-option?view=sql-server-ver15
3. https://www.stigviewer.com/stig/ms_sql_server_2016_instance/2018-03-09/finding/V-79335</t>
  </si>
  <si>
    <t>6.3.6 Ensure '3625 (trace flag)' database flag for all Cloud SQL Server instances is set to 'on' (Automated)</t>
  </si>
  <si>
    <t>It is recommended to set 3625 (trace flag) database flag for Cloud SQL SQL Server instance to on.</t>
  </si>
  <si>
    <t>Microsoft SQL Trace Flags are frequently used to diagnose performance issues or to debug stored procedures or complex computer systems, but they may also be recommended by Microsoft Support to address behavior that is negatively impacting a specific workload. All documented trace flags and those recommended by Microsoft Support are fully supported in a production environment when used as directed. 3625(trace log) Limits the amount of information returned to users who are not members of the sysadmin fixed server role, by masking the parameters of some error messages using '******'. Setting this in a Google Cloud flag for the instance allows for security through obscurity and prevents the disclosure of sensitive information, hence this is recommended to set this flag globally to on to prevent the flag having been left off, or changed by bad actors. This recommendation is applicable to SQL Server database instances.
Impact:
Changing flags on a database may cause it to be restarted. The best time to do this is at a time where there is low usage.</t>
  </si>
  <si>
    <t>From Google Cloud Console
1. Go to the Cloud SQL Instances page in the Google Cloud Console by visiting https://console.cloud.google.com/sql/instances.
2. Select the instance to open its Instance Overview page
3. Ensure the database flag 3625 that has been set is listed under the Database flags section.
From Google Cloud CLI
1. Ensure the below command returns on for every Cloud SQL SQL Server database instance gcloud sql instances list --format=json | jq '.settings.databaseFlags[] | select(.name=="3625")|.value'
Additional Information:
WARNING: This patch modifies database flag values, which may require your instance to be restarted. Check the list of supported flags - https://cloud.google.com/sql/docs/sqlserver/flags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restarts the Cloud SQL instance.</t>
  </si>
  <si>
    <t>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3625 from the drop-down menu, and set its value to on.
6. Click Save to save your changes.
7. Confirm your changes under Flags on the Overview page.
From Google Cloud CLI
1. Configure the 3625 database flag for every Cloud SQL SQL Server database instance using the below command. gcloud sql instances patch &lt;INSTANCE_NAME&gt; --database-flags "3625=on"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MySQL implementations by default have trace flags turned off, as they are used for logging purposes.</t>
  </si>
  <si>
    <t>1. https://cloud.google.com/sql/docs/sqlserver/flags
2. https://docs.microsoft.com/en-us/sql/t-sql/database-console-commands/dbcc-traceon-trace-flags-transact-sql?view=sql-server-ver15#trace-flags
3. https://github.com/ktaranov/sqlserver-kit/blob/master/SQL%20Server%20Trace%20Flag.md</t>
  </si>
  <si>
    <t>3.1 Ensure That the Default Network Does Not Exist in a Project (Automated)</t>
  </si>
  <si>
    <t>To prevent use of default network, a project should not have a default network.</t>
  </si>
  <si>
    <t>Rationale:
The default network has a preconfigured network configuration and automatically generates the following insecure firewall rules:
• default-allow-internal: Allows ingress connections for all protocols and ports among instances in the network.
• default-allow-ssh: Allows ingress connections on TCP port 22(SSH) from any source to any instance in the network.
• default-allow-rdp: Allows ingress connections on TCP port 3389(RDP) from any source to any instance in the network.
• default-allow-icmp: Allows ingress ICMP traffic from any source to any instance in the network.
These automatically created firewall rules do not get audit logged and cannot be configured to enable firewall rule logging.
Furthermore, the default network is an auto mode network, which means that its subnets use the same predefined range of IP addresses, and as a result, it's not possible to use Cloud VPN or VPC Network Peering with the default network.
Based on organization security and networking requirements, the organization should create a new network and delete the default network.
Impact:
When an organization deletes the default network, it may need to migrate or service onto a new network.</t>
  </si>
  <si>
    <t>1. Go to the VPC networks page by visiting: https://console.cloud.google.com/networking/networks/list.
2. Ensure that a network with the name default is not present.
From Google Cloud CLI
1. Set the project name in the Google Cloud Shell: gcloud config set project PROJECT_ID
2. List the networks configured in that project: gcloud compute networks list
It should not list default as one of the available networks in that project.</t>
  </si>
  <si>
    <t>From Google Cloud Console
1. Go to the VPC networks page by visiting: https://console.cloud.google.com/networking/networks/list.
2. Click the network named default.
3. On the network detail page, click EDIT.
4. Click DELETE VPC NETWORK.
5. If needed, create a new network to replace the default network.
From Google Cloud CLI For each Google Cloud Platform project,
1. Delete the default network: gcloud compute networks delete default
2. If needed, create a new network to replace it: gcloud compute networks create NETWORK_NAME
Prevention: The user can prevent the default network and its insecure default firewall rules from being created by setting up an Organization Policy to Skip default network creation at https://console.cloud.google.com/iam-admin/orgpolicies/compute-skipDefaultNetworkCreation.
Default Value:
By default, for each project, a default network is created.</t>
  </si>
  <si>
    <t>1. https://cloud.google.com/compute/docs/networking#firewall_rules
2. https://cloud.google.com/compute/docs/reference/latest/networks/insert
3. https://cloud.google.com/compute/docs/reference/latest/networks/delete
4. https://cloud.google.com/vpc/docs/firewall-rules-logging
5. https://cloud.google.com/vpc/docs/vpc#default-network
6. https://cloud.google.com/sdk/gcloud/reference/compute/networks/delete</t>
  </si>
  <si>
    <t>3.2 Ensure Legacy Networks Do Not Exist for Older Projects (Automated)</t>
  </si>
  <si>
    <t>In order to prevent use of legacy networks, a project should not have a legacy network configured. As of now, Legacy Networks are gradually being phased out, and you can no longer create projects with them. This recommendation is to check older projects to ensure that they are not using Legacy Networks.</t>
  </si>
  <si>
    <t>Legacy networks have a single network IPv4 prefix range and a single gateway IP address for the whole network. The network is global in scope and spans all cloud regions. Subnetworks cannot be created in a legacy network and are unable to switch from legacy to auto or custom subnet networks. Legacy networks can have an impact for high network traffic projects and are subject to a single point of contention or failure.
Impact:
None.</t>
  </si>
  <si>
    <t>From Google Cloud CLI For each Google Cloud Platform project,
1. Set the project name in the Google Cloud Shell: gcloud config set project &lt;Project-ID&gt;
2. List the networks configured in that project: gcloud compute networks list
None of the listed networks should be in the legacy mode.</t>
  </si>
  <si>
    <t>From Google Cloud CLI For each Google Cloud Platform project,
1. Follow the documentation and create a non-legacy network suitable for the organization's requirements.
2. Follow the documentation and delete the networks in the legacy mode.
Default Value:
By default, networks are not created in the legacy mode.</t>
  </si>
  <si>
    <t>1. https://cloud.google.com/vpc/docs/using-legacy#creating_a_legacy_network
2. https://cloud.google.com/vpc/docs/using-legacy#deleting_a_legacy_network</t>
  </si>
  <si>
    <t>3.3 Ensure That DNSSEC Is Enabled for Cloud DNS (Automated)</t>
  </si>
  <si>
    <t>Cloud Domain Name System (DNS) is a fast, reliable and cost-effective domain name system that powers millions of domains on the internet. Domain Name System Security Extensions (DNSSEC) in Cloud DNS enables domain owners to take easy steps to protect their domains against DNS hijacking and man-in-the-middle and other attacks.</t>
  </si>
  <si>
    <t>Domain Name System Security Extensions (DNSSEC) adds security to the DNS protocol by enabling DNS responses to be validated. Having a trustworthy DNS that translates a domain name like www.example.com into its associated IP address is an increasingly important building block of today’s web-based applications. Attackers can hijack this process of domain/IP lookup and redirect users to a malicious site through DNS hijacking and man-in-the-middle attacks. DNSSEC helps mitigate the risk of such attacks by cryptographically signing DNS records. As a result, it prevents attackers from issuing fake DNS responses that may misdirect browsers to nefarious websites.</t>
  </si>
  <si>
    <t>From Google Cloud Console
1. Go to Cloud DNS by visiting https://console.cloud.google.com/net-services/dns/zones.
2. For each zone of Type Public, ensure that DNSSEC is set to On.
From Google Cloud CLI
1. List all the Managed Zones in a project: gcloud dns managed-zones list
2. For each zone of VISIBILITY public, get its metadata: gcloud dns managed-zones describe ZONE_NAME
3. Ensure that dnssecConfig.state property is on.</t>
  </si>
  <si>
    <t>From Google Cloud Console
1. Go to Cloud DNS by visiting https://console.cloud.google.com/net-services/dns/zones.
2. For each zone of Type Public, set DNSSEC to On.
From Google Cloud CLI Use the below command to enable DNSSEC for Cloud DNS Zone Name. gcloud dns managed-zones update ZONE_NAME --dnssec-state on
Default Value:
By default DNSSEC is not enabled.</t>
  </si>
  <si>
    <t>1. https://cloudplatform.googleblog.com/2017/11/DNSSEC-now-available-in-Cloud-DNS.html
2. https://cloud.google.com/dns/dnssec-config#enabling
3. https://cloud.google.com/dns/dnssec</t>
  </si>
  <si>
    <t>3.5 Ensure That RSASHA1 Is Not Used for the Zone-Signing Key in Cloud DNS DNSSEC (Automated)</t>
  </si>
  <si>
    <t>NOTE: Currently, the SHA1 algorithm has been removed from general use by Google, and, if being used, needs to be whitelisted on a project basis by Google and will also, therefore, require a Google Cloud support contract.
DNSSEC algorithm numbers in this registry may be used in CERT RRs. Zone signing (DNSSEC) and transaction security mechanisms (SIG(0) and TSIG) make use of particular subsets of these algorithms. The algorithm used for key signing should be a recommended one and it should be strong.</t>
  </si>
  <si>
    <t>DNSSEC algorithm numbers in this registry may be used in CERT RRs. Zone signing (DNSSEC) and transaction security mechanisms (SIG(0) and TSIG) make use of particular subsets of these algorithms.
The algorithm used for key signing should be a recommended one and it should be strong. When enabling DNSSEC for a managed zone, or creating a managed zone with DNSSEC, the DNSSEC signing algorithms and the denial-of-existence type can be selected. Changing the DNSSEC settings is only effective for a managed zone if DNSSEC is not already enabled. If the need exists to change the settings for a managed zone where it has been enabled, turn DNSSEC off and then re-enable it with different settings.</t>
  </si>
  <si>
    <t>From Google Cloud CLI Ensure the property algorithm for keyType zone signing is not using RSASHA1. gcloud dns managed-zones describe --format="json(dnsName,dnssecConfig.state,dnssecConfig.defaultKeySpecs)"
Additional Information:
1. RSASHA1 zone-signing support may be required for compatibility reasons.
2. The remediation CLI works well with gcloud-cli version 221.0.0 and later.</t>
  </si>
  <si>
    <t>From Google Cloud CLI
1. If the need exists to change the settings for a managed zone where it has been enabled, DNSSEC must be turned off and then re-enabled with different settings. To turn off DNSSEC, run following command: gcloud dns managed-zones update ZONE_NAME --dnssec-state off
2. To update zone-signing for a reported managed DNS Zone, run the following command: gcloud dns managed-zones update ZONE_NAME --dnssec-state on --ksk-algorithm KSK_ALGORITHM --ksk-key-length KSK_KEY_LENGTH --zsk-algorithm ZSK_ALGORITHM --zsk-key-length ZSK_KEY_LENGTH --denial-of-existence DENIAL_OF_EXISTENCE
Supported algorithm options and key lengths are as follows. Algorithm KSK Length ZSK Length --------- ---------- ---------- RSASHA1 1024,2048 1024,2048 RSASHA256 1024,2048 1024,2048 RSASHA512 1024,2048 1024,2048 ECDSAP256SHA256 256 384 ECDSAP384SHA384 384 384</t>
  </si>
  <si>
    <t>1. https://cloud.google.com/dns/dnssec-advanced#advanced_signing_options</t>
  </si>
  <si>
    <t>3.4 Ensure That RSASHA1 Is Not Used for the Key-Signing Key in Cloud DNS DNSSEC (Automated)</t>
  </si>
  <si>
    <t>Domain Name System Security Extensions (DNSSEC) algorithm numbers in this registry may be used in CERT RRs. Zonesigning (DNSSEC) and transaction security mechanisms (SIG(0) and TSIG) make use of particular subsets of these algorithms.
The algorithm used for key signing should be a recommended one and it should be strong. When enabling DNSSEC for a managed zone, or creating a managed zone with DNSSEC, the user can select the DNSSEC signing algorithms and the denial-of-existence type. Changing the DNSSEC settings is only effective for a managed zone if DNSSEC is not already enabled. If there is a need to change the settings for a managed zone where it has been enabled, turn DNSSEC off and then re-enable it with different settings.</t>
  </si>
  <si>
    <t>From Google Cloud CLI Ensure the property algorithm for keyType keySigning is not using RSASHA1. gcloud dns managed-zones describe ZONENAME --format="json(dnsName,dnssecConfig.state,dnssecConfig.defaultKeySpecs)"
Additional Information:
1. RSASHA1 key-signing support may be required for compatibility reasons.
2. Remediation CLI works well with gcloud-cli version 221.0.0 and later.</t>
  </si>
  <si>
    <t>1. If it is necessary to change the settings for a managed zone where it has been enabled, NSSEC must be turned off and re-enabled with different settings. To turn off DNSSEC, run the following command:
gcloud dns managed-zones update ZONE_NAME --dnssec-state off
2. To update key-signing for a reported managed DNS Zone, run the following command: gcloud dns managed-zones update ZONE_NAME --dnssec-state on --ksk-algorithm KSK_ALGORITHM --ksk-key-length KSK_KEY_LENGTH --zsk-algorithm ZSK_ALGORITHM --zsk-key-length ZSK_KEY_LENGTH --denial-of-existence DENIAL_OF_EXISTENCE
Supported algorithm options and key lengths are as follows. Algorithm KSK Length ZSK Length --------- ---------- ---------- RSASHA1 1024,2048 1024,2048 RSASHA256 1024,2048 1024,2048 RSASHA512 1024,2048 1024,2048 ECDSAP256SHA256 256 256 ECDSAP384SHA384 384 384</t>
  </si>
  <si>
    <t>3.6 Ensure That SSH Access Is Restricted From the Internet (Automated)</t>
  </si>
  <si>
    <t>GCP Firewall Rules are specific to a VPC Network. Each rule either allows or denies traffic when its conditions are met. Its conditions allow the user to specify the type of traffic, such as ports and protocols, and the source or destination of the traffic, including IP addresses, subnets, and instances.
Firewall rules are defined at the VPC network level and are specific to the network in which they are defined. The rules themselves cannot be shared among networks. Firewall rules only support IPv4 traffic. When specifying a source for an ingress rule or a destination for an egress rule by address, only an IPv4 address or IPv4 block in CIDR notation can be used. Generic (0.0.0.0/0) incoming traffic from the internet to VPC or VM instance using SSH on Port 22 can be avoided.</t>
  </si>
  <si>
    <t>GCP Firewall Rules within a VPC Network apply to outgoing (egress) traffic from instances and incoming (ingress) traffic to instances in the network. Egress and ingress traffic flows are controlled even if the traffic stays within the network (for example, instance-to-instance communication). For an instance to have outgoing Internet access, the network must have a valid Internet gateway route or custom route whose destination IP is specified. This route simply defines the path to the Internet, to avoid the most general (0.0.0.0/0) destination IP Range specified from the Internet through SSH with the default Port 22. Generic access from the Internet to a specific IP Range needs to be restricted.
Impact:
All Secure Shell (SSH) connections from outside of the network to the concerned VPC(s) will be blocked. There could be a business need where SSH access is required from outside of the network to access resources associated with the VPC. In that case, specific source IP(s) should be mentioned in firewall rules to white-list access to SSH port for the concerned VPC(s).</t>
  </si>
  <si>
    <t>From Google Cloud Console
1. Go to VPC network.
2. Go to the Firewall Rules.
3. Ensure that Port is not equal to 22 and Action is not set to Allow.
4. Ensure IP Ranges is not equal to 0.0.0.0/0 under Source filters.
From Google Cloud CLI gcloud compute firewall-rules list --format=table'(name,direction,sourceRanges,allowed)'
Ensure that there is no rule matching the below criteria:
• SOURCE_RANGES is 0.0.0.0/0
• AND DIRECTION is INGRESS
• AND IPProtocol is tcp or ALL
• AND PORTS is set to 22 or range containing 22 or Null (not set)
Note:
• When ALL TCP ports are allowed in a rule, PORT does not have any value set (NULL)
• When ALL Protocols are allowed in a rule, PORT does not have any value set (NULL)
Additional Information:
Currently, GCP VPC only supports IPV4; however, Google is already working on adding IPV6 support for VPC. In that case along with source IP range 0.0.0.0, the rule should be checked for IPv6 equivalent ::0 as well.</t>
  </si>
  <si>
    <t>From Google Cloud Console
1. Go to VPC Network.
2. Go to the Firewall Rules.
3. Click the Firewall Rule you want to modify.
4. Click Edit.
5. Modify Source IP ranges to specific IP.
6. Click Save.
From Google Cloud CLI 1.Update the Firewall rule with the new SOURCE_RANGE from the below command: gcloud compute firewall-rules update FirewallName --allow=[PROTOCOL[:PORT[-PORT]],...] --source-ranges=[CIDR_RANGE,...]</t>
  </si>
  <si>
    <t>1. https://cloud.google.com/vpc/docs/firewalls#blockedtraffic
2. https://cloud.google.com/blog/products/identity-security/cloud-iap-enables-context-aware-access-to-vms-via-ssh-and-rdp-without-bastion-hosts</t>
  </si>
  <si>
    <t>3.7 Ensure That RDP Access Is Restricted From the Internet (Automated)</t>
  </si>
  <si>
    <t>GCP Firewall Rules are specific to a VPC Network. Each rule either allows or denies traffic when its conditions are met. Its conditions allow users to specify the type of traffic, such as ports and protocols, and the source or destination of the traffic, including IP addresses, subnets, and instances.
Firewall rules are defined at the VPC network level and are specific to the network in which they are defined. The rules themselves cannot be shared among networks. Firewall rules only support IPv4 traffic. When specifying a source for an ingress rule or a destination for an egress rule by address, an IPv4 address or IPv4 block in CIDR notation can be used. Generic (0.0.0.0/0) incoming traffic from the Internet to a VPC or VM instance using RDP on Port 3389 can be avoided.</t>
  </si>
  <si>
    <t>GCP Firewall Rules within a VPC Network. These rules apply to outgoing (egress) traffic from instances and incoming (ingress) traffic to instances in the network. Egress and ingress traffic flows are controlled even if the traffic stays within the network (for example, instance-to-instance communication). For an instance to have outgoing Internet access, the network must have a valid Internet gateway route or custom route whose destination IP is specified. This route simply defines the path to the Internet, to avoid the most general (0.0.0.0/0) destination IP Range specified from the Internet through RDP with the default Port 3389. Generic access from the Internet to a specific IP Range should be restricted.
Impact:
All Remote Desktop Protocol (RDP) connections from outside of the network to the concerned VPC(s) will be blocked. There could be a business need where secure shell access is required from outside of the network to access resources associated with the VPC. In that case, specific source IP(s) should be mentioned in firewall rules to white-list access to RDP port for the concerned VPC(s).</t>
  </si>
  <si>
    <t>1. Go to VPC network.
2. Go to the Firewall Rules.
3. Ensure Port is not equal to 3389 and Action is not Allow.
4. Ensure IP Ranges is not equal to 0.0.0.0/0 under Source filters.
From Google Cloud CLI gcloud compute firewall-rules list --format=table'(name,direction,sourceRanges,allowed.ports)'
Ensure that there is no rule matching the below criteria:
• SOURCE_RANGES is 0.0.0.0/0
• AND DIRECTION is INGRESS
• AND IPProtocol is TCP or ALL
• AND PORTS is set to 3389 or range containing 3389 or Null (not set)
Note:
• When ALL TCP ports are allowed in a rule, PORT does not have any value set (NULL)
• When ALL Protocols are allowed in a rule, PORT does not have any value set (NULL)</t>
  </si>
  <si>
    <t>From Google Cloud Console
1. Go to VPC Network.
2. Go to the Firewall Rules.
3. Click the Firewall Rule to be modified.
4. Click Edit.
5. Modify Source IP ranges to specific IP.
6. Click Save.
From Google Cloud CLI 1.Update RDP Firewall rule with new SOURCE_RANGE from the below command: gcloud compute firewall-rules update FirewallName --allow=[PROTOCOL[:PORT[-PORT]],...] --source-ranges=[CIDR_RANGE,...]</t>
  </si>
  <si>
    <t>4.6 Ensure That IP Forwarding Is Not Enabled on Instances (Automated)</t>
  </si>
  <si>
    <t>Compute Engine instance cannot forward a packet unless the source IP address of the packet matches the IP address of the instance. Similarly, GCP won't deliver a packet whose destination IP address is different than the IP address of the instance receiving the packet. However, both capabilities are required if you want to use instances to help route packets.
Forwarding of data packets should be disabled to prevent data loss or information disclosure.</t>
  </si>
  <si>
    <t>Compute Engine instance cannot forward a packet unless the source IP address of the packet matches the IP address of the instance. Similarly, GCP won't deliver a packet whose destination IP address is different than the IP address of the instance receiving the packet. However, both capabilities are required if you want to use instances to help route packets. To enable this source and destination IP check, disable the canIpForward field, which allows an instance to send and receive packets with non-matching destination or source IPs.
Impact:
Deleting instance(s) acting as routers/packet forwarders may break the network connectivity.</t>
  </si>
  <si>
    <t>From Google Cloud Console
1. Go to the VM Instances page by visiting: https://console.cloud.google.com/compute/instances.
2. For every instance, click on its name to go to the VM instance details page.
3. Under the Network interfaces section, ensure that IP forwarding is set to Off for every network interface.
From Google Cloud CLI
1. List all instances:
gcloud compute instances list --format='table(name,canIpForward)'
2. Ensure that CAN_IP_FORWARD column in the output of above command does not contain True for any VM instance.
Exception: Instances created by GKE should be excluded because they need to have IP forwarding enabled and cannot be changed. Instances created by GKE have names that start with "gke-".
Additional Information:
You can only set the canIpForward field at instance creation time. After an instance is created, the field becomes read-only.</t>
  </si>
  <si>
    <t>You only edit the canIpForward setting at instance creation time. Therefore, you need to delete the instance and create a new one where canIpForward is set to false. From Google Cloud Console
1. Go to the VM Instances page by visiting: https://console.cloud.google.com/compute/instances.
2. Select the VM Instance you want to remediate.
3. Click the Delete button.
4. On the 'VM Instances' page, click `CREATE INSTANCE'.
5. Create a new instance with the desired configuration. By default, the instance is configured to not allow IP forwarding.
From Google Cloud CLI
1. Delete the instance: gcloud compute instances delete INSTANCE_NAME
2. Create a new instance to replace it, with IP forwarding set to Off gcloud compute instances create
Default Value:
By default, instances are not configured to allow IP forwarding.</t>
  </si>
  <si>
    <t>1. https://cloud.google.com/vpc/docs/using-routes#canipforward</t>
  </si>
  <si>
    <t>1. Go to VPC network.
2. Go to the Firewall Rules.
3. Ensure Port is not equal to 3389 and Action is not Allow.
4. Ensure IP Ranges is not equal to 0.0.0.0/0 under Source filters.
From Google Cloud CLI gcloud compute firewall-rules list --format=table'(name,direction,sourceRanges,allowed.ports)'
Ensure that there is no rule matching the below criteria:
• SOURCE_RANGES is 0.0.0.0/0
• AND DIRECTION is INGRESS
• AND IPProtocol is TCP or ALL
• AND PORTS is set to 3389 or range containing 3389 or Null (not set)
Note:
• When ALL TCP ports are allowed in a rule, PORT does not have any value set (NULL)
• When ALL Protocols are allowed in a rule, PORT does not have any value set (NULL)
Additional Information:
Currently, GCP VPC only supports IPV4; however, Google is already working on adding IPV6 support for VPC. In that case along with source IP range 0.0.0.0, the rule should be checked for IPv6 equivalent ::0 as well.</t>
  </si>
  <si>
    <t>6.2.9 Ensure Instance IP assignment is set to private (Automated)</t>
  </si>
  <si>
    <t>Instance addresses can be public IP or private IP. Public IP means that the instance is accessible through the public internet. In contrast, instances using only private IP are not accessible through the public internet, but are accessible through a Virtual Private Cloud (VPC).
Limiting network access to your database will limit potential attacks.</t>
  </si>
  <si>
    <t>Setting databases access only to private will reduce attack surface.
Impact:
If you set a database IP to private, only host from the same network will have the ability to connect your database.
Configuring an existing Cloud SQL instance to use private IP causes the instance to restart.</t>
  </si>
  <si>
    <t>From Google Cloud Console
1. In the Google Cloud console, go to the Cloud SQL Instances page.
2. Open the Overview page of an instance by clicking the instance name.
3. Look for a field labeled Private IP address This field will only show if the Private IP option is checked. The IP listed should be in the private IP space.
From Google Cloud CLI
1. List cloud SQL instances gcloud sql instances list --format="json" | jq '.[] | .connectionName,.ipAddresses'
Each instance listed should have a type of PRIVATE.
2. If you want to view a specific instance, note the &lt;INSTANCE_NAME&gt;(s) listed and run the following. gcloud sql instances describe &lt;INSTANCE_NAME&gt; --format="json" | jq '.ipAddresses'
Type should be "PRIVATE"
"ipAddress": "10.21.0.2", "type": "PRIVATE" }</t>
  </si>
  <si>
    <t>From Google Cloud Console
1. In the Google Cloud console, go to the Cloud SQL Instances page.
2. Open the Overview page of an instance by clicking the instance name.
3. Select Connections from the SQL navigation menu.
4. Check the Private IP checkbox. A drop-down list shows the available networks in your project.
5. Select the VPC network you want to use: If you see Private service connection required:
1. Click Set up connection.
2. In the Allocate an IP range section, choose one of the following options:
3. Select one or more existing IP ranges or create a new one from the dropdown. The dropdown includes previously allocated ranges, if there are any, or you can select Allocate a new IP range and enter a new range and name.
4. Use an automatically allocated IP range in your network. Note: You can specify an address range only for a primary instance, not for a read replica or clone.
3. Click Continue.
4. Click Create connection.
5. Verify that you see the Private service connection for network VPC_NETWORK_NAME has been successfully created status.
2. [Optional step for Private Services Access - review reference links to VPC documents for additional detail] If you want to allow other Google Cloud services such as BigQuery to access data in Cloud SQL and make queries against this data over a private IP connection, then select the Private path for Google Cloud services check box.
3. Click Save
From Google Cloud CLI
1. List cloud SQL instances gcloud sql instances list --format="json" | jq '.[] | .connectionName,.ipAddresses'
Note the project name of the instance you want to set to a private IP, this will be &lt;PROJECT_ID&gt; Note the instance name of the instance you want to set to a private IP, this will be &lt;INSTANCE_ID&gt; Example public instance output: "my-project-123456:us-central1:my-instance" [ { "ipAddress": "0.0.0.0", "type": "PRIMARY" }, { "ipAddress": "0.0.0.0", "type": "OUTGOING" }
2. run the following command to list the available VPCs gcloud compute networks list --format="json" | jq '.[].name'
Note the name of the VPC to use for the instance private IP, this will be &lt;VPC_NETWORK_NAME&gt;
3. run the following to set instance to a private IP gcloud beta sql instances patch &lt;INSTANCE_ID&gt; \ --project=&lt;PROJECT_ID&gt; \ --network=projects/&lt;PROJECT_ID&gt;/global/networks/&lt;VPC_NETWORK_NAME&gt; \ --no-assign-ip
Default Value:
Public IP</t>
  </si>
  <si>
    <t>1. https://cloud.google.com/sql/docs/postgres/configure-private-ip
2. https://cloud.google.com/vpc/docs/configure-private-services-access#procedure
3. https://cloud.google.com/vpc/docs/configure-private-services-access#creating-connection</t>
  </si>
  <si>
    <t>4.1 Ensure That Instances Are Not Configured To Use the Default Service Account (Automated)</t>
  </si>
  <si>
    <t>It is recommended to configure your instance to not use the default Compute Engine service account because it has the Editor role on the project.</t>
  </si>
  <si>
    <t>The default Compute Engine service account has the Editor role on the project, which allows read and write access to most Google Cloud Services. To defend against privilege escalations if your VM is compromised and prevent an attacker from gaining access to all of your project, it is recommended to not use the default Compute Engine service account. Instead, you should create a new service account and assigning only the permissions needed by your instance.
The default Compute Engine service account is named [PROJECT_NUMBER]-compute@developer.gserviceaccount.com.</t>
  </si>
  <si>
    <t>From Google Cloud Console
1. Go to the VM instances page by visiting: https://console.cloud.google.com/compute/instances.
2. Click on each instance name to go to its VM instance details page.
3. Under the section API and identity management, ensure that the default Compute Engine service account is not used. This account is named [PROJECT_NUMBER]-compute@developer.gserviceaccount.com.
From Google Cloud CLI
1. List the instances in your project and get details on each instance: gcloud compute instances list --format=json | jq -r '. | "SA: \(.[].serviceAccounts[].email) Name: \(.[].name)"'
2. Ensure that the service account section has an email that does not match the pattern [PROJECT_NUMBER]-compute@developer.gserviceaccount.com.
Exception: VMs created by GKE should be excluded. These VMs have names that start with gke- and are labeled goog-gke-node.</t>
  </si>
  <si>
    <t>From Google Cloud Console
1. Go to the VM instances page by visiting: https://console.cloud.google.com/compute/instances.
2. Click on the instance name to go to its VM instance details page.
3. Click STOP and then click EDIT.
4. Under the section API and identity management, select a service account other than the default Compute Engine service account. You may first need to create a new service account.
5. Click Save and then click START.
From Google Cloud CLI
1. Stop the instance: gcloud compute instances stop &lt;INSTANCE_NAME&gt;
2. Update the instance: gcloud compute instances set-service-account &lt;INSTANCE_NAME&gt; --service-account=&lt;SERVICE_ACCOUNT&gt;
3. Restart the instance: gcloud compute instances start &lt;INSTANCE_NAME&gt;
Default Value:
By default, Compute instances are configured to use the default Compute Engine service account.</t>
  </si>
  <si>
    <t>1. https://cloud.google.com/compute/docs/access/service-accounts
2. https://cloud.google.com/compute/docs/access/create-enable-service-accounts-for-instances
3. https://cloud.</t>
  </si>
  <si>
    <t>4.2 Ensure That Instances Are Not Configured To Use the Default Service Account With Full Access to All Cloud APIs (Automated)</t>
  </si>
  <si>
    <t>To support principle of least privileges and prevent potential privilege escalation it is recommended that instances are not assigned to default service account Compute Engine default service account with Scope Allow full access to all Cloud APIs.</t>
  </si>
  <si>
    <t>Along with ability to optionally create, manage and use user managed custom service accounts, Google Compute Engine provides default service account Compute Engine default service account for an instances to access necessary cloud services. Project Editor role is assigned to Compute Engine default service account hence, This service account has almost all capabilities over all cloud services except billing. However, when Compute Engine default service account assigned to an instance it can operate in 3 scopes. 1. Allow default access: Allows only minimum access required to run an Instance (Least Privileges) 2. Allow full access to all Cloud APIs: Allow full access to all the cloud APIs/Services (Too much access) 3. Set access for each API: Allows Instance administrator to choose only those APIs that are needed to perform specific business functionality expected by instance
When an instance is configured with Compute Engine default service account with Scope Allow full access to all Cloud APIs, based on IAM roles assigned to the user(s) accessing Instance, it may allow user to perform cloud operations/API calls that user is not supposed to perform leading to successful privilege escalation.
Impact:
In order to change service account or scope for an instance, it needs to be stopped.</t>
  </si>
  <si>
    <t>From Google Cloud Console
1. Go to the VM instances page by visiting: https://console.cloud.google.com/compute/instances.
2. Click on each instance name to go to its VM instance details page.
3. Under the API and identity management, ensure that Cloud API access scopes is not set to Allow full access to all Cloud APIs.
From Google Cloud CLI
1. List the instances in your project and get details on each instance: gcloud compute instances list --format=json | jq -r '. | "SA Scopes: \(.[].serviceAccounts[].scopes) Name: \(.[].name) Email: \(.[].serviceAccounts[].email)"'
2. Ensure that the service account section has an email that does not match the pattern [PROJECT_NUMBER]-compute@developer.gserviceaccount.com.
Exception: VMs created by GKE should be excluded. These VMs have names that start with gke- and are labeled `goog-gke-node</t>
  </si>
  <si>
    <t>From Google Cloud Console
1. Go to the VM instances page by visiting: https://console.cloud.google.com/compute/instances.
2. Click on the impacted VM instance.
3. If the instance is not stopped, click the Stop button. Wait for the instance to be stopped.
4. Next, click the Edit button.
5. Scroll down to the Service Account section.
6. Select a different service account or ensure that Allow full access to all Cloud APIs is not selected.
7. Click the Save button to save your changes and then click START.
From Google Cloud CLI
1. Stop the instance: gcloud compute instances stop &lt;INSTANCE_NAME&gt;
2. Update the instance: gcloud compute instances set-service-account &lt;INSTANCE_NAME&gt; --service-account=&lt;SERVICE_ACCOUNT&gt; --scopes [SCOPE1, SCOPE2...]
3. Restart the instance:
gcloud compute instances start &lt;INSTANCE_NAME&gt;
Default Value:
While creating an VM instance, default service account is used with scope Allow default access.</t>
  </si>
  <si>
    <t>1. https://cloud.google.com/compute/docs/access/create-enable-service-accounts-for-instances
2. https://cloud.google.com/compute/docs/access/service-accounts</t>
  </si>
  <si>
    <t>6.1.1 Ensure That a MySQL Database Instance Does Not Allow Anyone To Connect With Administrative Privileges (Manual)</t>
  </si>
  <si>
    <t>It is recommended to set a password for the administrative user (root by default) to prevent unauthorized access to the SQL database instances.
This recommendation is applicable only for MySQL Instances. PostgreSQL does not offer any setting for No Password from the cloud console.</t>
  </si>
  <si>
    <t>At the time of MySQL Instance creation, not providing an administrative password allows anyone to connect to the SQL database instance with administrative privileges. The root password should be set to ensure only authorized users have these privileges.
Impact:
Connection strings for administrative clients need to be reconfigured to use a password.</t>
  </si>
  <si>
    <t>From Google Cloud CLI
1. List All SQL database instances of type MySQL: gcloud sql instances list --filter='DATABASE_VERSION:MYSQL* --project &lt;project_id&gt; --format="(NAME,PRIMARY_ADDRESS)"'
2. For every MySQL instance try to connect using the PRIMARY_ADDRESS, if available: mysql -u root -h &lt;mysql_instance_ip_address&gt;
The command should return either an error message or a password prompt. Sample Error message: ERROR 1045 (28000): Access denied for user 'root'@'&lt;Instance_IP&gt;' (using password: NO)
If a command produces the mysql&gt; prompt, the MySQL instance allows anyone to connect with administrative privileges without needing a password. Note: The No Password setting is exposed only at the time of MySQL instance creation. Once the instance is created, the Google Cloud Platform Console does not expose the set to confirm whether a password for an administrative user is set to a MySQL instance.</t>
  </si>
  <si>
    <t>From Google Cloud Console
1. Go to the Cloud SQL Instances page in the Google Cloud Platform Console using https://console.cloud.google.com/sql/
2. Select the instance to open its Overview page.
3. Select Access Control &gt; Users.
4. Click the More actions icon for the user to be updated.
5. Select Change password, specify a New password, and click OK.
From Google Cloud CLI
1. Set a password to a MySql instance: gcloud sql users set-password root --host=&lt;host&gt; --instance=&lt;instance_name&gt; --prompt-for-password
2. A prompt will appear, requiring the user to enter a password: Instance Password:
3. With a successful password configured, the following message should be seen: Updating Cloud SQL user...done.
Default Value:
From the Google Cloud Platform Console, the Create Instance workflow enforces the rule to enter the root password unless the option No Password is selected explicitly.</t>
  </si>
  <si>
    <t>1. https://cloud.google.com/sql/docs/mysql/create-manage-users
2. https://cloud.google.com/sql/docs/mysql/create-instance</t>
  </si>
  <si>
    <t>4.5 Ensure ‘Enable Connecting to Serial Ports’ Is Not Enabled for VM Instance (Automated)</t>
  </si>
  <si>
    <t>Interacting with a serial port is often referred to as the serial console, which is similar to using a terminal window, in that input and output is entirely in text mode and there is no graphical interface or mouse support.
If you enable the interactive serial console on an instance, clients can attempt to connect to that instance from any IP address. Therefore interactive serial console support should be disabled.</t>
  </si>
  <si>
    <t>A virtual machine instance has four virtual serial ports. Interacting with a serial port is similar to using a terminal window, in that input and output is entirely in text mode and there is no graphical interface or mouse support. The instance's operating system, BIOS, and other system-level entities often write output to the serial ports, and can accept input such as commands or answers to prompts. Typically, these system-level entities use the first serial port (port 1) and serial port 1 is often referred to as the serial console.
The interactive serial console does not support IP-based access restrictions such as IP whitelists. If you enable the interactive serial console on an instance, clients can attempt to connect to that instance from any IP address. This allows anybody to connect to that instance if they know the correct SSH key, username, project ID, zone, and instance name.
Therefore interactive serial console support should be disabled.</t>
  </si>
  <si>
    <t>From Google Cloud CLI
1. Login to Google Cloud console
2. Go to Computer Engine
3. Go to VM instances
4. Click on the Specific VM
5. Ensure Enable connecting to serial ports below Remote access block is unselected.
From Google Cloud Console Ensure the below command's output shows null: gcloud compute instances describe &lt;vmName&gt; --zone=&lt;region&gt; --format="json(metadata.items[].key,metadata.items[].value)"
or key and value properties from below command's json response are equal to serial-port-enable and 0 or false respectively. { "metadata": { "items": [ { "key": "serial-port-enable", "value": "0" } ] } }</t>
  </si>
  <si>
    <t>From Google Cloud CLI
1. Login to Google Cloud console
2. Go to Computer Engine
3. Go to VM instances
4. Click on the Specific VM
5. Click EDIT
6. Unselect Enable connecting to serial ports below Remote access block.
7. Click Save
From Google Cloud Console Use the below command to disable gcloud compute instances add-metadata &lt;INSTANCE_NAME&gt; --zone=&lt;ZONE&gt; --metadata=serial-port-enable=false
or gcloud compute instances add-metadata &lt;INSTANCE_NAME&gt; --zone=&lt;ZONE&gt; --metadata=serial-port-enable=0
Prevention: You can prevent VMs from having serial port access enable by Disable VM serial port access organization policy: https://console.cloud.google.com/iam-admin/orgpolicies/compute-disableSerialPortAccess.
Default Value:
By default, connecting to serial ports is not enabled.</t>
  </si>
  <si>
    <t>1. https://cloud.google.com/compute/docs/instances/interacting-with-serial-console</t>
  </si>
  <si>
    <t>6.3.5 Ensure 'remote access' database flag for Cloud SQL SQL Server instance is set to 'off' (Automated)</t>
  </si>
  <si>
    <t>It is recommended to set remote access database flag for Cloud SQL SQL Server instance to off.</t>
  </si>
  <si>
    <t>The remote access option controls the execution of stored procedures from local or remote servers on which instances of SQL Server are running. This default value for this option is 1. This grants permission to run local stored procedures from remote servers or remote stored procedures from the local server. To prevent local stored procedures from being run from a remote server or remote stored procedures from being run on the local server, this must be disabled. The Remote Access option controls the execution of local stored procedures on remote servers or remote stored procedures on local server. 'Remote access' functionality can be abused to launch a Denial-of-Service (DoS) attack on remote servers by off-loading query processing to a target, hence this should be disabled. This recommendation is applicable to SQL Server database instances.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</si>
  <si>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Ensure the database flag remote access that has been set is listed under the Database flags section.
From Google Cloud CLI
1. Ensure the below command returns off for every Cloud SQL SQL Server database instance gcloud sql instances list --format=json | jq '.settings.databaseFlags[] | select(.name=="remote access")|.value'
Additional Information: WARNING: This patch modifies database flag values, which may require your instance to be restarted. Check the list of supported flags - https://cloud.google.com/sql/docs/sqlserver/flags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restart the Cloud SQL instance.</t>
  </si>
  <si>
    <t>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remote access from the drop-down menu, and set its value to off.
6. Click Save to save your changes.
7. Confirm your changes under Flags on the Overview page.
From Google Cloud CLI
1. Configure the remote access database flag for every Cloud SQL SQL Server database instance using the below command gcloud sql instances patch &lt;INSTANCE_NAME&gt; --database-flags "remote access=off"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'remote access' is 'on'.</t>
  </si>
  <si>
    <t>1. https://cloud.google.com/sql/docs/sqlserver/flags
2. https://docs.microsoft.com/en-us/sql/database-engine/configure-windows/configure-the-remote-access-server-configuration-option?view=sql-server-ver15
3. https://www.stigviewer.com/stig/ms_sql_server_2016_instance/2018-03-09/finding/V-79337</t>
  </si>
  <si>
    <t>1.5 Ensure That Service Account Has No Admin Privileges (Automated)</t>
  </si>
  <si>
    <t>A service account is a special Google account that belongs to an application or a VM, instead of to an individual end-user. The application uses the service account to call the service's Google API so that users aren't directly involved. It's recommended not to use admin access for ServiceAccount.
Impact:
Removing *Admin or *admin or Editor or Owner role assignments from service accounts may break functionality that uses impacted service accounts. Required role(s) should be assigned to impacted service accounts in order to restore broken functionalities.
Default Value:
User Managed (and not user-created) default service accounts have the Editor (roles/editor) role assigned to them to support GCP services they offer.
By default, there are no roles assigned to User Managed User created service accounts.
Additional Information:
Default (user-managed but not user-created) service accounts have the Editor (roles/editor) role assigned to them to support GCP services they offer. Such Service accounts are: PROJECT_NUMBER-compute@developer.gserviceaccount.com, PROJECT_ID@appspot.gserviceaccount.com.</t>
  </si>
  <si>
    <t>Service accounts represent service-level security of the Resources (application or a VM) which can be determined by the roles assigned to it. Enrolling ServiceAccount with Admin rights gives full access to an assigned application or a VM. A ServiceAccount Access holder can perform critical actions like delete, update change settings, etc. without user intervention. For this reason, it's recommended that service accounts not have Admin rights.</t>
  </si>
  <si>
    <t>From Google Cloud Console
1. Go to IAM &amp; admin/IAM using https://console.cloud.google.com/iam-admin/iam
2. Go to the Members
3. Ensure that there are no User-Managed user created service account(s) with roles containing *Admin or *admin or role matching Editor or role matching Owner
From Google Cloud CLI
1. Get the policy that you want to modify, and write it to a JSON file: gcloud projects get-iam-policy PROJECT_ID --format json &gt; iam.json
2. The contents of the JSON file will look similar to the following. Note that role of members group associated with each serviceaccount does not contain *Admin or *admin or does not match roles/editor or does not match roles/owner.
This recommendation is only applicable to User-Managed user-created service accounts. These accounts have the nomenclature: SERVICE_ACCOUNT_NAME@PROJECT_ID.iam.gserviceaccount.com. Note that some Google-managed, Google-created service accounts have the same naming format, and should be excluded (e.g., appsdev-apps-dev-script-auth@system.gserviceaccount.com which needs the Owner role). Sample Json output: { "bindings": [ { "members": [ "serviceAccount:our-project-123@appspot.gserviceaccount.com", ], "role": "roles/appengine.appAdmin" }, { "members": [ "user:email1@gmail.com" ], "role": "roles/owner" }, { "members": [ "serviceAccount:our-project-123@appspot.gserviceaccount.com", "serviceAccount:123456789012-compute@developer.gserviceaccount.com" ], "role": "roles/editor" } ], "etag": "BwUjMhCsNvY=", "version": 1</t>
  </si>
  <si>
    <t>From Google Cloud Console
1. Go to IAM &amp; admin/IAM using https://console.cloud.google.com/iam-admin/iam
2. Go to the Members
3. Identify User-Managed user created service account with roles containing *Admin or *admin or role matching Editor or role matching Owner
4. Click the Delete bin icon to remove the role from the member (service account in this case)
From Google Cloud CLI gcloud projects get-iam-policy PROJECT_ID --format json &gt; iam.json
1. Using a text editor, Remove Role which contains roles/*Admin or roles/*admin or matched roles/editor or matches 'roles/owner`. Add a role to the bindings array that defines the group members and the role for those members.
For example, to grant the role roles/appengine.appViewer to the ServiceAccount which is roles/editor, you would change the example shown below as follows: { "bindings": [ { "members": [ "serviceAccount:our-project-123@appspot.gserviceaccount.com", ], "role": "roles/appengine.appViewer" }, { "members": [ "user:email1@gmail.com" ], "role": "roles/owner" }, { "members": [ "serviceAccount:our-project-123@appspot.gserviceaccount.com", "serviceAccount:123456789012-compute@developer.gserviceaccount.com" ], "role": "roles/editor" } ], "etag": "BwUjMhCsNvY=" }
2. Update the project's IAM policy: gcloud projects set-iam-policy PROJECT_ID iam.json</t>
  </si>
  <si>
    <t>1. https://cloud.google.com/sdk/gcloud/reference/iam/service-accounts/
2. https://cloud.google.com/iam/docs/understanding-roles
3. https://cloud.google.com/iam/docs/understanding-service-accounts</t>
  </si>
  <si>
    <t>1.1 Ensure that Corporate Login Credentials are Used (Manual)</t>
  </si>
  <si>
    <t>Use corporate login credentials instead of personal accounts, such as Gmail accounts.
By default, no email addresses outside the organization's domain have access to its Google Cloud deployments, but any user email account can be added to the IAM policy for Google Cloud Platform projects, folders, or organizations.</t>
  </si>
  <si>
    <t>It is recommended fully-managed corporate Google accounts be used for increased visibility, auditing, and controlling access to Cloud Platform resources. Email accounts based outside of the user's organization, such as personal accounts, should not be used for business purposes.
Impact:
There will be increased overhead as maintaining accounts will now be required. For smaller organizations, this will not be an issue, but will balloon with size.</t>
  </si>
  <si>
    <t>Audit:
For each Google Cloud Platform project, list the accounts that have been granted access to that project: From Google Cloud CLI gcloud projects get-iam-policy PROJECT_ID
Also list the accounts added on each folder: gcloud resource-manager folders get-iam-policy FOLDER_ID
And list your organization's IAM policy: gcloud organizations get-iam-policy ORGANIZATION_ID
No email accounts outside the organization domain should be granted permissions in the IAM policies. This excludes Google-owned service accounts.
Prevention: To ensure that no email addresses outside the organization can be granted IAM permissions to its Google Cloud projects, folders or organization, turn on the Organization Policy for Domain Restricted Sharing. Learn more at: https://cloud.google.com/resource-manager/docs/organization-policy/restricting-domains</t>
  </si>
  <si>
    <t xml:space="preserve">Follow the documentation and setup corporate login accounts. Prevention: To ensure that no email addresses outside the organization can be granted IAM permissions to its Google Cloud projects, folders or organization, turn on the Organization Policy for Domain Restricted Sharing. Learn more at: https://cloud.google.com/resource-manager/docs/organization-policy/restricting-domains
</t>
  </si>
  <si>
    <t>1. https://cloud.google.com/docs/enterprise/best-practices-for-enterprise-organizations#manage-identities
2. https://support.google.com/work/android/answer/6371476
3. https://cloud.google.com/sdk/gcloud/reference/organizations/get-iam-policy
4. https://cloud.google.com/sdk/gcloud/reference/beta/resource-manager/folders/get-iam-policy
5. https://cloud.google.com/sdk/gcloud/reference/projects/get-iam-policy
6. https://cloud.google.com/resource-manager/docs/organization-policy/org-policy-constraints
7. https://cloud.google.com/resource-manager/docs/organization-policy/restricting-domains</t>
  </si>
  <si>
    <t>3.10 Use Identity Aware Proxy (IAP) to Ensure Only Traffic From Google IP Addresses are 'Allowed' (Manual)</t>
  </si>
  <si>
    <t>IAP authenticates the user requests to your apps via a Google single sign in. You can then manage these users with permissions to control access. It is recommended to use both IAP permissions and firewalls to restrict this access to your apps with sensitive information.</t>
  </si>
  <si>
    <t>IAP ensure that access to VMs is controlled by authenticating incoming requests. Access to your apps and the VMs should be restricted by firewall rules that allow only the proxy IAP IP addresses contained in the 35.235.240.0/20 subnet. Otherwise, unauthenticated requests can be made to your apps. To ensure that load balancing works correctly health checks should also be allowed.
Impact:
If firewall rules are not configured correctly, legitimate business services could be negatively impacted. It is recommended to make these changes during a time of low usage.</t>
  </si>
  <si>
    <t>From Google Cloud Console
1. For each of your apps that have IAP enabled go to the Cloud Console VPC network &gt; Firewall rules.
2. Verify that the only rules correspond to the following values:
o Targets: All instances in the network
o Source IP ranges
▪ IAP Proxy Addresses 35.235.240.0/20
▪ Google Health Check 130.211.0.0/22
▪ Google Health Check 35.191.0.0/16
o Protocols and ports:
▪ Specified protocols and ports required for access and management of your app. For example most health check connection protocols would be covered by;
▪ tcp:80 (Default HTTP Health Check port)
▪ tcp:443--(Default HTTPS Health Check port)
Note: if you have custom ports used by your load balancers, you will need to list them here</t>
  </si>
  <si>
    <t>From Google Cloud Console
1. Go to the Cloud Console VPC network &gt; Firewall rules.
2. Select the checkbox next to the following rules:
o default-allow-http
o default-allow-https
o default-allow-internal
3. Click Delete.
4. Click Create firewall rule and set the following values:
o Name: allow-iap-traffic
o Targets: All instances in the network
o Source IP ranges (press Enter after you paste each value in the box, copy the value below the bold text including the dash):
▪ IAP Proxy Addresses 35.235.240.0/20
▪ Google Health Check 130.211.0.0/22
▪ Google Health Check 35.191.0.0/16
o Protocols and ports:
▪ Specified protocols and ports required for access and management of your app. For example most health check connection protocols would be covered by;
▪ tcp:80 (Default HTTP Health Check port)
▪ tcp:443--(Default HTTPS Health Check port)
Note: if you have custom ports used by your load balancers, you will need to list them here
5. When you're finished updating values, click Create.
Default Value:
By default all traffic is allowed.</t>
  </si>
  <si>
    <t>1. https://cloud.google.com/iap/docs/concepts-overview
2. https://cloud.google.com/iap/docs/load-balancer-howto
3. https://cloud.google.com/load-balancing/docs/health-checks
4. https://cloud.google.com/blog/products/identity-security/cloud-iap-enables-context-aware-access-to-vms-via-ssh-and-rdp-without-bastion-hosts</t>
  </si>
  <si>
    <t>4.4 Ensure Oslogin Is Enabled for a Project (Automated)</t>
  </si>
  <si>
    <t>Enabling OS login binds SSH certificates to IAM users and facilitates effective SSH certificate management.
Additional Information:
1. In order to use osLogin, instance using Custom Images must have the latest version of the Linux Guest Environment installed. The following image families do not yet support OS Login: Project cos-cloud (Container-Optimized OS) image family cos-stable. All project coreos-cloud (CoreOS) image families Project suse-cloud (SLES) image family sles-11 All Windows Server and SQL Server image families
2. Project enable-oslogin can be over-ridden by setting enable-oslogin parameter to an instance metadata individually.</t>
  </si>
  <si>
    <t>Enabling osLogin ensures that SSH keys used to connect to instances are mapped with IAM users. Revoking access to IAM user will revoke all the SSH keys associated with that particular user. It facilitates centralized and automated SSH key pair management which is useful in handling cases like response to compromised SSH key pairs and/or revocation of external/third-party/Vendor users.
Impact:
Enabling OS Login on project disables metadata-based SSH key configurations on all instances from a project. Disabling OS Login restores SSH keys that you have configured in project or instance meta-data.</t>
  </si>
  <si>
    <t>From Google Cloud Console
1. Go to the VM compute metadata page by visiting https://console.cloud.google.com/compute/metadata.
2. Ensure that key enable-oslogin is present with value set to TRUE.
3. Because instances can override project settings, ensure that no instance has custom metadata with key enable-oslogin and value FALSE.
From Google Cloud CLI
1. List the instances in your project and get details on each instance: gcloud compute instances list --format=json
2. Verify that the section commonInstanceMetadata has a key enable-oslogin set to value TRUE. Exception: VMs created by GKE should be excluded. These VMs have names that start with gke- and are labeled goog-gke-node</t>
  </si>
  <si>
    <t>From Google Cloud Console
1. Go to the VM compute metadata page by visiting: https://console.cloud.google.com/compute/metadata.
2. Click Edit.
3. Add a metadata entry where the key is enable-oslogin and the value is TRUE.
4. Click Save to apply the changes.
5. For every instance that overrides the project setting, go to the VM Instances page at https://console.cloud.google.com/compute/instances.
6. Click the name of the instance on which you want to remove the metadata value.
7. At the top of the instance details page, click Edit to edit the instance settings.
8. Under Custom metadata, remove any entry with key enable-oslogin and the value is FALSE
9. At the bottom of the instance details page, click Save to apply your changes to the instance.
From Google Cloud CLI
1. Configure oslogin on the project: gcloud compute project-info add-metadata --metadata enable-oslogin=TRUE
2. Remove instance metadata that overrides the project setting. gcloud compute instances remove-metadata &lt;INSTANCE_NAME&gt; --keys=enable-oslogin
Optionally, you can enable two factor authentication for OS login. For more information, see: https://cloud.google.com/compute/docs/oslogin/setup-two-factor-authentication.
Default Value:
By default, parameter enable-oslogin is not set, which is equivalent to setting it to FALSE.</t>
  </si>
  <si>
    <t>1. https://cloud.google.com/compute/docs/instances/managing-instance-access
2. https://cloud.google.com/compute/docs/instances/managing-instance-access#enable_oslogin
3. https://cloud.google.com/sdk/gcloud/reference/compute/instances/remove-metadata
4. https://cloud.google.com/compute/docs/oslogin/setup-two-factor-authentication</t>
  </si>
  <si>
    <t>1.2 Ensure that Multi-Factor Authentication is 'Enabled' for All Non-Service Accounts (Manual)</t>
  </si>
  <si>
    <t>Setup multi-factor authentication for Google Cloud Platform accounts.
Default Value:
By default, multi-factor authentication is not set.</t>
  </si>
  <si>
    <t>Multi-factor authentication requires more than one mechanism to authenticate a user. This secures user logins from attackers exploiting stolen or weak credentials.</t>
  </si>
  <si>
    <t>Audit:
From Google Cloud Console For each Google Cloud Platform project, folder, or organization:
1. Identify non-service accounts.
2. Manually verify that multi-factor authentication for each account is set.</t>
  </si>
  <si>
    <t>Remediation:
From Google Cloud Console For each Google Cloud Platform project:
1. Identify non-service accounts.
2. Setup multi-factor authentication for each account.</t>
  </si>
  <si>
    <t>1. https://cloud.google.com/solutions/securing-gcp-account-u2f
2. https://support.google.com/accounts/answer/185839</t>
  </si>
  <si>
    <t>1.3 Ensure that Security Key Enforcement is Enabled for All Admin Accounts (Manual)</t>
  </si>
  <si>
    <t>Setup Security Key Enforcement for Google Cloud Platform admin accounts.
Impact:
If an organization administrator loses access to their security key, the user could lose access to their account. For this reason, it is important to set up backup security keys.
Default Value:
By default, Security Key Enforcement is not enabled for Organization Administrators.</t>
  </si>
  <si>
    <t>Google Cloud Platform users with Organization Administrator roles have the highest level of privilege in the organization. These accounts should be protected with the strongest form of two-factor authentication: Security Key Enforcement. Ensure that admins use Security Keys to log in instead of weaker second factors like SMS or one-time passwords (OTP). Security Keys are actual physical keys used to access Google Organization Administrator Accounts. They send an encrypted signature rather than a code, ensuring that logins cannot be phished.</t>
  </si>
  <si>
    <t>Audit:
1. Identify users with Organization Administrator privileges: gcloud organizations get-iam-policy ORGANIZATION_ID
Look for members granted the role "roles/resourcemanager.organizationAdmin".
2. Manually verify that Security Key Enforcement has been enabled for each account.</t>
  </si>
  <si>
    <t>Remediation:
1. Identify users with the Organization Administrator role.
2. Setup Security Key Enforcement for each account. Learn more at: https://cloud.google.com/security-key/</t>
  </si>
  <si>
    <t>1. https://cloud.google.com/security-key/
2. https://gsuite.google.com/learn-more/key_for_working_smarter_faster_and_more_securely.html</t>
  </si>
  <si>
    <t>2.1 Ensure That Cloud Audit Logging Is Configured Properly (Automated)</t>
  </si>
  <si>
    <t>It is recommended that Cloud Audit Logging is configured to track all admin activities and read, write access to user data.
Default Value:
Admin Activity logs are always enabled. They cannot be disabled. Data Access audit logs are disabled by default because they can be quite large.</t>
  </si>
  <si>
    <t>Cloud Audit Logging maintains two audit logs for each project, folder, and organization: Admin Activity and Data Access.
1. Admin Activity logs contain log entries for API calls or other administrative actions that modify the configuration or metadata of resources. Admin Activity audit logs are enabled for all services and cannot be configured.
2. Data Access audit logs record API calls that create, modify, or read user-provided data. These are disabled by default and should be enabled.
There are three kinds of Data Access audit log information:
o Admin read: Records operations that read metadata or configuration information. Admin Activity audit logs record writes of metadata and configuration information that cannot be disabled.
o Data read: Records operations that read user-provided data.
o Data write: Records operations that write user-provided data.
It is recommended to have an effective default audit config configured in such a way that:
1. logtype is set to DATA_READ (to log user activity tracking) and DATA_WRITES (to log changes/tampering to user data).
2. audit config is enabled for all the services supported by the Data Access audit logs feature.
3. Logs should be captured for all users, i.e., there are no exempted users in any of the audit config sections. This will ensure overriding the audit config will not contradict the requirement.
Impact:
There is no charge for Admin Activity audit logs. Enabling the Data Access audit logs might result in your project being charged for the additional logs usage.</t>
  </si>
  <si>
    <t>From Google Cloud Console
1. Go to Audit Logs by visiting https://console.cloud.google.com/iam-admin/audit.
2. Ensure that Admin Read, Data Write, and Data Read are enabled for all Google Cloud services and that no exemptions are allowed.
From Google Cloud CLI
1. List the Identity and Access Management (IAM) policies for the project, folder, or organization: gcloud organizations get-iam-policy ORGANIZATION_ID gcloud resource-manager folders get-iam-policy FOLDER_ID gcloud projects get-iam-policy PROJECT_ID
2. Policy should have a default auditConfigs section which has the logtype set to DATA_WRITES and DATA_READ for all services. Note that projects inherit settings from folders, which in turn inherit settings from the organization. When called, projects get-iam-policy, the result shows only the policies set in the project, not the policies inherited from the parent folder or organization. Nevertheless, if the parent folder has Cloud Audit Logging enabled, the project does as well.
Sample output for default audit configs may look like this: auditConfigs: - auditLogConfigs: - logType: ADMIN_READ - logType: DATA_WRITE - logType: DATA_READ service: allServices
3. Any of the auditConfigs sections should not have parameter "exemptedMembers:" set, which will ensure that Logging is enabled for all users and no user is exempted.
Additional Information:
• Log type DATA_READ is equally important to that of DATA_WRITE to track detailed user activities.
• BigQuery Data Access logs are handled differently from other data access logs. BigQuery logs are enabled by default and cannot be disabled. They do not count against logs allotment and cannot result in extra logs charges.</t>
  </si>
  <si>
    <t>From Google Cloud Console
1. Go to Audit Logs by visiting https://console.cloud.google.com/iam-admin/audit.
2. Follow the steps at https://cloud.google.com/logging/docs/audit/configure-data-access to enable audit logs for all Google Cloud services. Ensure that no exemptions are allowed.
From Google Cloud CLI
1. To read the project's IAM policy and store it in a file run a command: gcloud projects get-iam-policy PROJECT_ID &gt; /tmp/project_policy.yaml
Alternatively, the policy can be set at the organization or folder level. If setting the policy at the organization level, it is not necessary to also set it for each folder or project. gcloud organizations get-iam-policy ORGANIZATION_ID &gt; /tmp/org_policy.yaml gcloud resource-manager folders get-iam-policy FOLDER_ID &gt; /tmp/folder_policy.yaml
2. Edit policy in /tmp/policy.yaml, adding or changing only the audit logs configuration to: Note: Admin Activity Logs are enabled by default, and cannot be disabled. So they are not listed in these configuration changes. auditConfigs: - auditLogConfigs: - logType: DATA_WRITE - logType: DATA_READ service: allServices
Note: exemptedMembers: is not set as audit logging should be enabled for all the users
3. To write new IAM policy run command: gcloud organizations set-iam-policy ORGANIZATION_ID /tmp/org_policy.yaml gcloud resource-manager folders set-iam-policy FOLDER_ID /tmp/folder_policy.yaml gcloud projects set-iam-policy PROJECT_ID /tmp/project_policy.yaml
If the preceding command reports a conflict with another change, then repeat these steps, starting with the first step.</t>
  </si>
  <si>
    <t>1. https://cloud.google.com/logging/docs/audit/
2. https://cloud.google.com/logging/docs/audit/configure-data-access</t>
  </si>
  <si>
    <t>2.2 Ensure That Sinks Are Configured for All Log Entries (Automated)</t>
  </si>
  <si>
    <t>It is recommended to create a sink that will export copies of all the log entries. This can help aggregate logs from multiple projects and export them to a Security Information and Event Management (SIEM).
Default Value:
By default, there are no sinks configured.</t>
  </si>
  <si>
    <t>Log entries are held in Cloud Logging. To aggregate logs, export them to a SIEM. To keep them longer, it is recommended to set up a log sink. Exporting involves writing a filter that selects the log entries to export, and choosing a destination in Cloud Storage, BigQuery, or Cloud Pub/Sub. The filter and destination are held in an object called a sink. To ensure all log entries are exported to sinks, ensure that there is no filter configured for a sink. Sinks can be created in projects, organizations, folders, and billing accounts.
Impact:
There are no costs or limitations in Cloud Logging for exporting logs, but the export destinations charge for storing or transmitting the log data.</t>
  </si>
  <si>
    <t>From Google Cloud Console
1. Go to Logs Router by visiting https://console.cloud.google.com/logs/router.
2. For every sink, click the 3-dot button for Menu options and select View sink details.
3. Ensure there is at least one sink with an empty Inclusion filter.
4. Additionally, ensure that the resource configured as Destination exists.
From Google Cloud CLI
1. Ensure that a sink with an empty filter exists. List the sinks for the project, folder or organization. If sinks are configured at a folder or organization level, they do not need to be configured for each project: gcloud logging sinks list --folder=FOLDER_ID | --organization=ORGANIZATION_ID | --project=PROJECT_ID
The output should list at least one sink with an empty filter.
2. Additionally, ensure that the resource configured as Destination exists.
See https://cloud.google.com/sdk/gcloud/reference/beta/logging/sinks/list for more information.
Additional Information:
For Command-Line Audit and Remediation, the sink destination of type Cloud Storage Bucket is considered. However, the destination could be configured to Cloud Storage Bucket or BigQuery or Cloud Pub\Sub or Custom Destination. Command Line Interface commands would change accordingly.</t>
  </si>
  <si>
    <t>From Google Cloud Console
1. Go to Logs Router by visiting https://console.cloud.google.com/logs/router.
2. Click on the arrow symbol with CREATE SINK text.
3. Fill out the fields for Sink details.
4. Choose Cloud Logging bucket in the Select sink destination drop down menu.
5. Choose a log bucket in the next drop down menu.
6. If an inclusion filter is not provided for this sink, all ingested logs will be routed to the destination provided above. This may result in higher than expected resource usage.
7. Click Create Sink.
For more information, see https://cloud.google.com/logging/docs/export/configure_export_v2#dest-create.
From Google Cloud CLI To create a sink to export all log entries in a Google Cloud Storage bucket: gcloud logging sinks create &lt;sink-name&gt; storage.googleapis.com/DESTINATION_BUCKET_NAME
Sinks can be created for a folder or organization, which will include all projects. gcloud logging sinks create &lt;sink-name&gt; storage.googleapis.com/DESTINATION_BUCKET_NAME --include-children --folder=FOLDER_ID | --organization=ORGANIZATION_ID
Note:
1. A sink created by the command-line above will export logs in storage buckets. However, sinks can be configured to export logs into BigQuery, or Cloud Pub/Sub, or Custom Destination.
2. While creating a sink, the sink option --log-filter is not used to ensure the sink exports all log entries.
3. A sink can be created at a folder or organization level that collects the logs of all the projects underneath bypassing the option --include-children in the gcloud command.</t>
  </si>
  <si>
    <t>1. https://cloud.google.com/logging/docs/reference/tools/gcloud-logging
2. https://cloud.google.com/logging/quotas
3. https://cloud.google.com/logging/docs/routing/overview
4. https://cloud.google.com/logging/docs/export/using_exported_logs
5. https://cloud.google.com/logging/docs/export/configure_export_v2
6. https://cloud.google.com/logging/docs/export/aggregated_exports
7. https://cloud.google.com/sdk/gcloud/reference/beta/logging/sinks/list</t>
  </si>
  <si>
    <t>2.4 Ensure Log Metric Filter and Alerts Exist for Project Ownership Assignments/Changes (Automated)</t>
  </si>
  <si>
    <t>In order to prevent unnecessary project ownership assignments to users/service-accounts and further misuses of projects and resources, all roles/Owner assignments should be monitored.
Members (users/Service-Accounts) with a role assignment to primitive role roles/Owner are project owners.
The project owner has all the privileges on the project the role belongs to. These are summarized below:
• All viewer permissions on all GCP Services within the project
• Permissions for actions that modify the state of all GCP services within the project
• Manage roles and permissions for a project and all resources within the project
• Set up billing for a project
Granting the owner role to a member (user/Service-Account) will allow that member to modify the Identity and Access Management (IAM) policy. Therefore, grant the owner role only if the member has a legitimate purpose to manage the IAM policy. This is because the project IAM policy contains sensitive access control data. Having a minimal set of users allowed to manage IAM policy will simplify any auditing that may be necessary.</t>
  </si>
  <si>
    <t>Project ownership has the highest level of privileges on a project. To avoid misuse of project resources, the project ownership assignment/change actions mentioned above should be monitored and alerted to concerned recipients.
• Sending project ownership invites
• Acceptance/Rejection of project ownership invite by user
• Adding role\Owner` to a user/service-account
• Removing a user/Service account from `role\Owner`
Impact:
Enabling of logging may result in your project being charged for the additional logs usage.</t>
  </si>
  <si>
    <t>From Google Cloud Console Ensure that the prescribed log metric is present:
1. Go to Logging/Log-based Metrics by visiting https://console.cloud.google.com/logs/metrics.
2. In the User-defined Metrics section, ensure that at least one metric &lt;Log_Metric_Name&gt; is present with filter text: (protoPayload.serviceName="cloudresourcemanager.googleapis.com") AND (ProjectOwnership OR projectOwnerInvitee) OR (protoPayload.serviceData.policyDelta.bindingDeltas.action="REMOVE" AND protoPayload.serviceData.policyDelta.bindingDeltas.role="roles/owner") OR (protoPayload.serviceData.policyDelta.bindingDeltas.action="ADD" AND protoPayload.serviceData.policyDelta.bindingDeltas.role="roles/owner")
Ensure that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zero(0) for greater than zero(0) seconds means that the alert will trigger for any new owner change. Verify that the chosen alerting thresholds make sense for your organization.
5. Ensure that the appropriate notifications channels have been set up.
From Google Cloud CLI Ensure that the prescribed log metric is present:
1. List the log metrics: gcloud logging metrics list --format json
2. Ensure that the output contains at least one metric with filter set to: (protoPayload.serviceName="cloudresourcemanager.googleapis.com") AND (ProjectOwnership OR projectOwnerInvitee) OR (protoPayload.serviceData.policyDelta.bindingDeltas.action="REMOVE" AND protoPayload.serviceData.policyDelta.bindingDeltas.role="roles/owner") OR (protoPayload.serviceData.policyDelta.bindingDeltas.action="ADD" AND protoPayload.serviceData.policyDelta.bindingDeltas.role="roles/owner")
3. Note the value of the property metricDescriptor.type for the identified metric, in the format logging.googleapis.com/user/&lt;Log Metric Name&gt;.
Ensure that the prescribed alerting policy is present:
4. List the alerting policies: gcloud alpha monitoring policies list --format json
5. Ensure that the output contains an least one alert policy where: conditions.conditionThreshold.filter
is set to
metric.type=\"logging.googleapis.com/user/&lt;Log Metric Name&gt;\"
AND enabled is set to true
1. Project ownership assignments for a user cannot be done using the gcloud utility as assigning project ownership to a user requires sending, and the user accepting, an invitation.
2. Project Ownership assignment to a service account does not send any invites. SetIAMPolicy to role/owneris directly performed on service accounts.</t>
  </si>
  <si>
    <t>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(protoPayload.serviceName="cloudresourcemanager.googleapis.com") AND (ProjectOwnership OR projectOwnerInvitee) OR (protoPayload.serviceData.policyDelta.bindingDeltas.action="REMOVE" AND protoPayload.serviceData.policyDelta.bindingDeltas.role="roles/owner") OR (protoPayload.serviceData.policyDelta.bindingDeltas.action="ADD" AND protoPayload.serviceData.policyDelta.bindingDeltas.role="roles/owner")
4. Click Submit Filter. The logs display based on the filter text entered by the user.
5. In the Metric Editor menu on the right, fill out the name field. Set Units to 1 (default) and the Type to Counter. This ensures that the log metric counts the number of log entries matching the advanced logs query.
6. Click Create Metric.
Create the display prescribed Alert Policy:
1. Identify the newly created metric under the section User-defined Metrics at https://console.cloud.google.com/logs/metrics.
2. Click the 3-dot icon in the rightmost column for the desired metric and select Create alert from Metric. A new page opens.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a prescribed Log Metric:
• Use the command: gcloud beta logging metrics create
• Reference for Command Usage: https://cloud.google.com/sdk/gcloud/reference/beta/logging/metrics/create
Create prescribed Alert Policy
• Use the command: gcloud alpha monitoring policies create
• Reference for Command Usage: https://cloud.google.com/sdk/gcloud/reference/alpha/monitoring/policies/create</t>
  </si>
  <si>
    <t>1. https://cloud.google.com/logging/docs/logs-based-metrics/
2. https://cloud.google.com/monitoring/custom-metrics/
3. https://cloud.google.com/monitoring/alerts/
4. https://cloud.google.com/logging/docs/reference/tools/gcloud-logging</t>
  </si>
  <si>
    <t>2.5 Ensure That the Log Metric Filter and Alerts Exist for Audit Configuration Changes (Automated)</t>
  </si>
  <si>
    <t>Google Cloud Platform (GCP) services write audit log entries to the Admin Activity and Data Access logs to help answer the questions of, "who did what, where, and when?" within GCP projects.
Cloud audit logging records information includes the identity of the API caller, the time of the API call, the source IP address of the API caller, the request parameters, and the response elements returned by GCP services. Cloud audit logging provides a history of GCP API calls for an account, including API calls made via the console, SDKs, command-line tools, and other GCP services.</t>
  </si>
  <si>
    <t>Admin activity and data access logs produced by cloud audit logging enable security analysis, resource change tracking, and compliance auditing.
Configuring the metric filter and alerts for audit configuration changes ensures the recommended state of audit configuration is maintained so that all activities in the project are audit-able at any point in time.
Impact:
Enabling of logging may result in your project being charged for the additional logs usage.</t>
  </si>
  <si>
    <t>From Google Cloud Console Ensure the prescribed log metric is present:
1. Go to Logging/Logs-based Metrics by visiting https://console.cloud.google.com/logs/metrics.
2. In the User-defined Metrics section, ensure that at least one metric &lt;Log_Metric_Name&gt; is present with the filter text: protoPayload.methodName="SetIamPolicy" AND protoPayload.serviceData.policyDelta.auditConfigDeltas:*
Ensure that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0 for greater than zero(0) seconds, means that the alert will trigger for any new owner change. Verify that the chosen alerting thresholds make sense for the user's organization.
5. Ensure that appropriate notifications channels have been set up.
From Google Cloud CLI Ensure that the prescribed log metric is present:
1. List the log metrics: gcloud beta logging metrics list --format json
2. Ensure that the output contains at least one metric with the filter set to: protoPayload.methodName="SetIamPolicy" AND protoPayload.serviceData.policyDelta.auditConfigDeltas:*
3. Note the value of the property metricDescriptor.type for the identified metric, in the format logging.googleapis.com/user/&lt;Log Metric Name&gt;.
Ensure that the prescribed alerting policy is present:
4. List the alerting policies: gcloud alpha monitoring policies list --format json
5. Ensure that the output contains at least one alert policy where: conditions.conditionThreshold.filter
is set to metric.type=\"logging.googleapis.com/user/&lt;Log Metric Name&gt;\"
AND enabled is set to true</t>
  </si>
  <si>
    <t>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protoPayload.methodName="SetIamPolicy" AND protoPayload.serviceData.policyDelta.auditConfigDeltas:*
4. Click Submit Filter. Display logs appear based on the filter text entered by the user.
5. In the Metric Editor menu on the right, fill out the name field. Set Units to 1 (default) and Type to Counter. This will ensure that the log metric counts the number of log entries matching the user's advanced logs query.
6. Click Create Metric.
Create a prescribed Alert Policy:
1. Identify the new metric the user just created, under the section User-defined Metrics at https://console.cloud.google.com/logs/metrics.
2. Click the 3-dot icon in the rightmost column for the new metric and select Create alert from Metric. A new page opens.
3. Fill out the alert policy configuration and click Save. Choose the alerting threshold and configuration that makes sense for the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a prescribed Log Metric:
• Use the command: gcloud beta logging metrics create
• Reference for command usage: https://cloud.google.com/sdk/gcloud/reference/beta/logging/metrics/create
Create prescribed Alert Policy
• Use the command: gcloud alpha monitoring policies create
• Reference for command usage: https://cloud.google.com/sdk/gcloud/reference/alpha/monitoring/policies/create</t>
  </si>
  <si>
    <t>1. https://cloud.google.com/logging/docs/logs-based-metrics/
2. https://cloud.google.com/monitoring/custom-metrics/
3. https://cloud.google.com/monitoring/alerts/
4. https://cloud.google.com/logging/docs/reference/tools/gcloud-logging
5. https://cloud.google.com/logging/docs/audit/configure-data-access#getiampolicy-setiampolicy</t>
  </si>
  <si>
    <t>2.6 Ensure That the Log Metric Filter and Alerts Exist for Custom Role Changes (Automated)</t>
  </si>
  <si>
    <t>It is recommended that a metric filter and alarm be established for changes to Identity and Access Management (IAM) role creation, deletion and updating activities.</t>
  </si>
  <si>
    <t>Google Cloud IAM provides predefined roles that give granular access to specific Google Cloud Platform resources and prevent unwanted access to other resources. However, to cater to organization-specific needs, Cloud IAM also provides the ability to create custom roles. Project owners and administrators with the Organization Role Administrator role or the IAM Role Administrator role can create custom roles. Monitoring role creation, deletion and updating activities will help in identifying any over-privileged role at early stages.
Impact:
Enabling of logging may result in your project being charged for the additional logs usage.</t>
  </si>
  <si>
    <t>From Console: Ensure that the prescribed log metric is present:
1. Go to Logging/Logs-based Metrics by visiting https://console.cloud.google.com/logs/metrics.
2. In the User-defined Metrics section, ensure that at least one metric &lt;Log_Metric_Name&gt; is present with filter text: resource.type="iam_role" AND (protoPayload.methodName="google.iam.admin.v1.CreateRole" OR protoPayload.methodName="google.iam.admin.v1.DeleteRole" OR protoPayload.methodName="google.iam.admin.v1.UpdateRole")
Ensure that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zero(0) for greater than zero(0) seconds means that the alert will trigger for any new owner change. Verify that the chosen alerting thresholds make sense for the user's organization.
5. Ensure that the appropriate notifications channels have been set up.
From Google Cloud CLI Ensure that the prescribed log metric is present:
1. List the log metrics: gcloud logging metrics list --format json
2. Ensure that the output contains at least one metric with the filter set to: resource.type="iam_role" AND (protoPayload.methodName = "google.iam.admin.v1.CreateRole" OR protoPayload.methodName="google.iam.admin.v1.DeleteRole" OR protoPayload.methodName="google.iam.admin.v1.UpdateRole")
3. Note the value of the property metricDescriptor.type for the identified metric, in the format logging.googleapis.com/user/&lt;Log Metric Name&gt;.
Ensure that the prescribed alerting policy is present:
4. List the alerting policies: gcloud alpha monitoring policies list --format json
5. Ensure that the output contains an least one alert policy where: conditions.conditionThreshold.filter
is set to metric.type=\"logging.googleapis.com/user/&lt;Log Metric Name&gt;\"
AND enabled is set to true.</t>
  </si>
  <si>
    <t>From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resource.type="iam_role" AND (protoPayload.methodName = "google.iam.admin.v1.CreateRole" OR protoPayload.methodName="google.iam.admin.v1.DeleteRole" OR protoPayload.methodName="google.iam.admin.v1.UpdateRole")
4. Click Submit Filter. Display logs appear based on the filter text entered by the user.
5. In the Metric Editor menu on the right, fill out the name field. Set Units to 1 (default) and Type to Counter. This ensures that the log metric counts the number of log entries matching the advanced logs query.
6. Click Create Metric.
Create a prescribed Alert Policy:
1. Identify the new metric that was just created under the section User-defined Metrics at https://console.cloud.google.com/logs/metrics.
2. Click the 3-dot icon in the rightmost column for the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t>
  </si>
  <si>
    <t>1. https://cloud.google.com/logging/docs/logs-based-metrics/
2. https://cloud.google.com/monitoring/custom-metrics/
3. https://cloud.google.com/monitoring/alerts/
4. https://cloud.google.com/logging/docs/reference/tools/gcloud-logging
5. https://cloud.google.com/iam/docs/understanding-custom-roles</t>
  </si>
  <si>
    <t>2.7 Ensure That the Log Metric Filter and Alerts Exist for VPC Network Firewall Rule Changes (Automated)</t>
  </si>
  <si>
    <t>It is recommended that a metric filter and alarm be established for Virtual Private Cloud (VPC) Network Firewall rule changes.</t>
  </si>
  <si>
    <t>Monitoring for Create or Update Firewall rule events gives insight to network access changes and may reduce the time it takes to detect suspicious activity.
Impact:
Enabling of logging may result in your project being charged for the additional logs usage. These charges could be significant depending on the size of the organization.</t>
  </si>
  <si>
    <t>From Google Cloud Console Ensure that the prescribed log metric is present:
1. Go to Logging/Logs-based Metrics by visiting https://console.cloud.google.com/logs/metrics.
2. In the User-defined Metrics section, ensure at least one metric &lt;Log_Metric_Name&gt; is present with this filter text: resource.type="gce_firewall_rule" AND (protoPayload.methodName:"compute.firewalls.patch" OR protoPayload.methodName:"compute.firewalls.insert" OR protoPayload.methodName:"compute.firewalls.delete")
Ensure that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zero(0) for greater than zero(0) seconds means that the alert will trigger for any new owner change. Verify that the chosen alerting thresholds make sense for the user's organization.
5. Ensure that appropriate notification channels have been set up.
From Google Cloud CLI Ensure that the prescribed log metric is present:
1. List the log metrics: gcloud logging metrics list --format json
2. Ensure that the output contains at least one metric with the filter set to: resource.type="gce_firewall_rule" AND (protoPayload.methodName:"compute.firewalls.patch" OR protoPayload.methodName:"compute.firewalls.insert" OR protoPayload.methodName:"compute.firewalls.delete")
3. Note the value of the property metricDescriptor.type for the identified metric, in the format logging.googleapis.com/user/&lt;Log Metric Name&gt;.
Ensure that the prescribed alerting policy is present:
4. List the alerting policies: gcloud alpha monitoring policies list --format json
5. Ensure that the output contains an least one alert policy where: conditions.conditionThreshold.filter
is set to
metric.type=\"logging.googleapis.com/user/&lt;Log Metric Name&gt;\"
AND enabled is set to true</t>
  </si>
  <si>
    <t>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resource.type="gce_firewall_rule" AND (protoPayload.methodName:"compute.firewalls.patch" OR protoPayload.methodName:"compute.firewalls.insert" OR protoPayload.methodName:"compute.firewalls.delete")
4. Click Submit Filter. Display logs appear based on the filter text entered by the user.
5. In the Metric Editor menu on the right, fill out the name field. Set Units to 1 (default) and Type to Counter. This ensures that the log metric counts the number of log entries matching the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the prescribed Log Metric
• Use the command: gcloud logging metrics create
Create the prescribed alert policy:
• Use the command: gcloud alpha monitoring policies create</t>
  </si>
  <si>
    <t>1. https://cloud.google.com/logging/docs/logs-based-metrics/
2. https://cloud.google.com/monitoring/custom-metrics/
3. https://cloud.google.com/monitoring/alerts/
4. https://cloud.google.com/logging/docs/reference/tools/gcloud-logging
5. https://cloud.google.com/vpc/docs/firewalls</t>
  </si>
  <si>
    <t>2.8 Ensure That the Log Metric Filter and Alerts Exist for VPC Network Route Changes (Automated)</t>
  </si>
  <si>
    <t>It is recommended that a metric filter and alarm be established for Virtual Private Cloud (VPC) network route changes.</t>
  </si>
  <si>
    <t>Google Cloud Platform (GCP) routes define the paths network traffic takes from a VM instance to another destination. The other destination can be inside the organization VPC network (such as another VM) or outside of it. Every route consists of a destination and a next hop. Traffic whose destination IP is within the destination range is sent to the next hop for delivery.
Monitoring changes to route tables will help ensure that all VPC traffic flows through an expected path.
Impact:
Enabling of logging may result in your project being charged for the additional logs usage. These charges could be significant depending on the size of the organization.</t>
  </si>
  <si>
    <t>From Google Cloud Console Ensure that the prescribed Log metric is present:
1. Go to Logging/Logs-based Metrics by visiting https://console.cloud.google.com/logs/metrics.
2. In the User-defined Metrics section, ensure that at least one metric &lt;Log_Metric_Name&gt; is present with the filter text: resource.type="gce_route" AND (protoPayload.methodName:"compute.routes.delete" OR protoPayload.methodName:"compute.routes.insert")
Ensure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0 for greater than zero(0) seconds means that the alert will trigger for any new owner change. Verify that the chosen alert thresholds make sense for the user's organization.
5. Ensure that the appropriate notification channels have been set up.
From Google Cloud CLI Ensure the prescribed log metric is present:
1. List the log metrics: gcloud logging metrics list --format json
2. Ensure that the output contains at least one metric with the filter set to: resource.type="gce_route" AND (protoPayload.methodName:"compute.routes.delete" OR protoPayload.methodName:"compute.routes.insert")
3. Note the value of the property metricDescriptor.type for the identified metric, in the format logging.googleapis.com/user/&lt;Log Metric Name&gt;.
Ensure that the prescribed alerting policy is present:
4. List the alerting policies: gcloud alpha monitoring policies list --format json
5. Ensure that the output contains an least one alert policy where:
conditions.conditionThreshold.filter
is set to
metric.type=\"logging.googleapis.com/user/&lt;Log Metric Name&gt;\"
AND enabled is set to true</t>
  </si>
  <si>
    <t>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resource.type="gce_route" AND (protoPayload.methodName:"compute.routes.delete" OR protoPayload.methodName:"compute.routes.insert")
4. Click Submit Filter. Display logs appear based on the filter text entered by the user.
5. In the Metric Editor menu on the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the alert policy:
• Use the command: gcloud alpha monitoring policies create</t>
  </si>
  <si>
    <t>References:
1. https://cloud.google.com/logging/docs/logs-based-metrics/
2. https://cloud.google.com/monitoring/custom-metrics/
3. https://cloud.google.com/monitoring/alerts/
4. https://cloud.google.com/logging/docs/reference/tools/gcloud-logging
5. https://cloud.google.com/storage/docs/access-control/iam
6. https://cloud.google.com/sdk/gcloud/reference/beta/logging/metrics/create
7. https://cloud.google.com/sdk/gcloud/reference/alpha/monitoring/policies/create</t>
  </si>
  <si>
    <t>2.9 Ensure That the Log Metric Filter and Alerts Exist for VPC Network Changes (Automated)</t>
  </si>
  <si>
    <t>It is recommended that a metric filter and alarm be established for Virtual Private Cloud (VPC) network changes.</t>
  </si>
  <si>
    <t>It is possible to have more than one VPC within a project. In addition, it is also possible to create a peer connection between two VPCs enabling network traffic to route between VPCs.
Monitoring changes to a VPC will help ensure VPC traffic flow is not getting impacted.
Impact:
Enabling of logging may result in your project being charged for the additional logs usage. These charges could be significant depending on the size of the organization.</t>
  </si>
  <si>
    <t>From Google Cloud Console Ensure the prescribed log metric is present:
1. Go to Logging/Logs-based Metrics by visiting https://console.cloud.google.com/logs/metrics.
2. In the User-defined Metrics section, ensure at least one metric &lt;Log_Metric_Name&gt; is present with filter text: resource.type="gce_network" AND (protoPayload.methodName:"compute.networks.insert" OR protoPayload.methodName:"compute.networks.patch" OR protoPayload.methodName:"compute.networks.delete" OR protoPayload.methodName:"compute.networks.removePeering" OR protoPayload.methodName:"compute.networks.addPeering")
Ensure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0 for greater than 0 seconds means that the alert will trigger for any new owner change. Verify that the chosen alerting thresholds make sense for the user's organization.
5. Ensure that appropriate notification channels have been set up.
From Google Cloud CLI Ensure the log metric is present:
1. List the log metrics: gcloud logging metrics list --format json
2. Ensure that the output contains at least one metric with filter set to: resource.type="gce_network" AND protoPayload.methodName="beta.compute.networks.insert" OR protoPayload.methodName="beta.compute.networks.patch" OR protoPayload.methodName="v1.compute.networks.delete" OR protoPayload.methodName="v1.compute.networks.removePeering" OR protoPayload.methodName="v1.compute.networks.addPeering"
3. Note the value of the property metricDescriptor.type for the identified metric, in the format logging.googleapis.com/user/&lt;Log Metric Name&gt;.
Ensure the prescribed alerting policy is present:
4. List the alerting policies: gcloud alpha monitoring policies list --format json
5. Ensure that the output contains at least one alert policy where: conditions.conditionThreshold.filter
is set to
metric.type=\"logging.googleapis.com/user/&lt;Log Metric Name&gt;\"
AND enabled is set to true</t>
  </si>
  <si>
    <t>1. Go to Logging/Logs-based Metrics by visiting https://console.cloud.google.com/logs/metrics and click "CREATE METRIC".
2. Click the down arrow symbol on Filter Bar at the rightmost corner and select Convert to Advanced Filter.
3. Clear any text and add:
resource.type="gce_network" AND (protoPayload.methodName:"compute.networks.insert" OR protoPayload.methodName:"compute.networks.patch" OR protoPayload.methodName:"compute.networks.delete" OR protoPayload.methodName:"compute.networks.removePeering" OR protoPayload.methodName:"compute.networks.addPeering")
4. Click Submit Filter. Display logs appear based on the filter text entered by the user.
5. In the Metric Editor menu on the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0 for the most recent value will ensure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t>
  </si>
  <si>
    <t>1. https://cloud.google.com/logging/docs/logs-based-metrics/
2. https://cloud.google.com/monitoring/custom-metrics/
3. https://cloud.google.com/monitoring/alerts/
4. https://cloud.google.com/logging/docs/reference/tools/gcloud-logging
5. https://cloud.google.com/vpc/docs/overview</t>
  </si>
  <si>
    <t>2.10 Ensure That the Log Metric Filter and Alerts Exist for Cloud Storage IAM Permission Changes (Automated)</t>
  </si>
  <si>
    <t>It is recommended that a metric filter and alarm be established for Cloud Storage Bucket IAM changes.</t>
  </si>
  <si>
    <t>Monitoring changes to cloud storage bucket permissions may reduce the time needed to detect and correct permissions on sensitive cloud storage buckets and objects inside the bucket.
Impact:
Enabling of logging may result in your project being charged for the additional logs usage. These charges could be significant depending on the size of the organization.</t>
  </si>
  <si>
    <t>From Google Cloud Console Ensure the prescribed log metric is present:
1. For each project that contains cloud storage buckets, go to Logging/Logs-based Metrics by visiting https://console.cloud.google.com/logs/metrics.
2. In the User-defined Metrics section, ensure at least one metric &lt;Log_Metric_Name&gt; is present with the filter text: resource.type="gcs_bucket" AND protoPayload.methodName="storage.setIamPermissions"
Ensure that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0 for greater than 0 seconds means that the alert will trigger for any new owner change. Verify that the chosen alerting thresholds make sense for the user's organization.
5. Ensure that the appropriate notifications channels have been set up.
From Google Cloud CLI Ensure that the prescribed log metric is present:
1. List the log metrics: gcloud logging metrics list --format json
2. Ensure that the output contains at least one metric with the filter set to: resource.type=gcs_bucket AND protoPayload.methodName="storage.setIamPermissions"
3. Note the value of the property metricDescriptor.type for the identified metric, in the format logging.googleapis.com/user/&lt;Log Metric Name&gt;.
Ensure the prescribed alerting policy is present:
4. List the alerting policies: gcloud alpha monitoring policies list --format json
5. Ensure that the output contains an least one alert policy where: conditions.conditionThreshold.filter
is set to
metric.type=\"logging.googleapis.com/user/&lt;Log Metric Name&gt;\"
AND enabled is set to true</t>
  </si>
  <si>
    <t>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resource.type="gcs_bucket" AND protoPayload.methodName="storage.setIamPermissions"
4. Click Submit Filter. Display logs appear based on the filter text entered by the user.
5. In the Metric Editor menu on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the prescribed Log Metric:
• Use the command: gcloud beta logging metrics create
Create the prescribed alert policy:
• Use the command: gcloud alpha monitoring policies create</t>
  </si>
  <si>
    <t>1. https://cloud.google.com/logging/docs/logs-based-metrics/
2. https://cloud.google.com/monitoring/custom-metrics/
3. https://cloud.google.com/monitoring/alerts/
4. https://cloud.google.com/logging/docs/reference/tools/gcloud-logging
5. https://cloud.google.com/storage/docs/overview
6. https://cloud.google.com/storage/docs/access-control/iam-roles</t>
  </si>
  <si>
    <t>2.11 Ensure That the Log Metric Filter and Alerts Exist for SQL Instance Configuration Changes (Automated)</t>
  </si>
  <si>
    <t xml:space="preserve">It is recommended that a metric filter and alarm be established for SQL instance configuration changes.
</t>
  </si>
  <si>
    <t>Monitoring changes to SQL instance configuration changes may reduce the time needed to detect and correct misconfigurations done on the SQL server.
Below are a few of the configurable options which may the impact security posture of an SQL instance:
• Enable auto backups and high availability: Misconfiguration may adversely impact business continuity, disaster recovery, and high availability
• Authorize networks: Misconfiguration may increase exposure to untrusted networks
Impact:
Enabling of logging may result in your project being charged for the additional logs usage. These charges could be significant depending on the size of the organization.</t>
  </si>
  <si>
    <t>From Google Cloud Console Ensure the prescribed log metric is present:
1. For each project that contains Cloud SQL instances, go to Logging/Logs-based Metrics by visiting https://console.cloud.google.com/logs/metrics.
2. In the User-defined Metrics section, ensure that at least one metric &lt;Log_Metric_Name&gt; is present with the filter text: protoPayload.methodName="cloudsql.instances.update"
Ensure that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zero(0) for greater than zero(0) seconds means that the alert will trigger for any new owner change. Verify that the chosen alerting thresholds make sense for the user's organization.
5. Ensure that the appropriate notifications channels have been set up.
From Google Cloud CLI Ensure that the prescribed log metric is present:
1. List the log metrics: gcloud logging metrics list --format json
2. Ensure that the output contains at least one metric with the filter set to protoPayload.methodName="cloudsql.instances.update"
3. Note the value of the property metricDescriptor.type for the identified metric, in the format logging.googleapis.com/user/&lt;Log Metric Name&gt;.
Ensure that the prescribed alerting policy is present:
4. List the alerting policies: gcloud alpha monitoring policies list --format json
5. Ensure that the output contains at least one alert policy where: conditions.conditionThreshold.filter
is set to
metric.type=\"logging.googleapis.com/user/&lt;Log Metric Name&gt;\"
AND enabled is set to true
Additional Information:
Additional Info
• Only queries that reach a name server are logged. Cloud DNS resolvers cache responses, queries answered from caches, or direct queries to an external DNS resolver outside the VPC are not logged.</t>
  </si>
  <si>
    <t>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protoPayload.methodName="cloudsql.instances.update"
4. Click Submit Filter. Display logs appear based on the filter text entered by the user.
5. In the Metric Editor menu on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user's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
• Reference for command usage: https://cloud.google.com/sdk/gcloud/reference/alpha/monitoring/policies/create</t>
  </si>
  <si>
    <t>1. https://cloud.google.com/logging/docs/logs-based-metrics/
2. https://cloud.google.com/monitoring/custom-metrics/
3. https://cloud.google.com/monitoring/alerts/
4. https://cloud.google.com/logging/docs/reference/tools/gcloud-logging
5. https://cloud.google.com/storage/docs/overview
6. https://cloud.google.com/sql/docs/
7. https://cloud.google.com/sql/docs/mysql/
8. https://cloud.google.com/sql/docs/postgres/</t>
  </si>
  <si>
    <t>2.12 Ensure That Cloud DNS Logging Is Enabled for All VPC Networks (Automated)</t>
  </si>
  <si>
    <t>Cloud DNS logging records the queries from the name servers within your VPC to Stackdriver. Logged queries can come from Compute Engine VMs, GKE containers, or other GCP resources provisioned within the VPC.</t>
  </si>
  <si>
    <t>Security monitoring and forensics cannot depend solely on IP addresses from VPC flow logs, especially when considering the dynamic IP usage of cloud resources, HTTP virtual host routing, and other technology that can obscure the DNS name used by a client from the IP address. Monitoring of Cloud DNS logs provides visibility to DNS names requested by the clients within the VPC. These logs can be monitored for anomalous domain names, evaluated against threat intelligence, and
Note: For full capture of DNS, firewall must block egress UDP/53 (DNS) and TCP/443 (DNS over HTTPS) to prevent client from using external DNS name server for resolution.
Impact:
Enabling of Cloud DNS logging might result in your project being charged for the additional logs usage.</t>
  </si>
  <si>
    <t>From Google Cloud CLI
1. List all VPCs networks in a project: gcloud compute networks list --format="table[box,title='All VPC Networks'](name:label='VPC Network Name')"
2. List all DNS policies, logging enablement, and associated VPC networks: gcloud dns policies list --flatten="networks[]" --format="table[box,title='All DNS Policies By VPC Network'](name:label='Policy Name',enableLogging:label='Logging Enabled':align=center,networks.networkUrl.basename():label='VPC Network Name')"
Each VPC Network should be associated with a DNS policy with logging enabled.</t>
  </si>
  <si>
    <t>From Google Cloud CLI Add New DNS Policy With Logging Enabled For each VPC network that needs a DNS policy with logging enabled: gcloud dns policies create enable-dns-logging --enable-logging --description="Enable DNS Logging" --networks=VPC_NETWORK_NAME
The VPC_NETWORK_NAME can be one or more networks in comma-separated list
Enable Logging for Existing DNS Policy For each VPC network that has an existing DNS policy that needs logging enabled: gcloud dns policies update POLICY_NAME --enable-logging --networks=VPC_NETWORK_NAME
The VPC_NETWORK_NAME can be one or more networks in comma-separated list
Default Value:
Cloud DNS logging is disabled by default on each network.</t>
  </si>
  <si>
    <t>1. https://cloud.google.com/dns/docs/monitoring</t>
  </si>
  <si>
    <t>2.14 Ensure 'Access Transparency' is 'Enabled' (Manual)</t>
  </si>
  <si>
    <t xml:space="preserve">GCP Access Transparency provides audit logs for all actions that Google personnel take in your Google Cloud resources.
</t>
  </si>
  <si>
    <t>Controlling access to your information is one of the foundations of information security. Given that Google Employees do have access to your organizations' projects for support reasons, you should have logging in place to view who, when, and why your information is being accessed.
Impact:
To use Access Transparency your organization will need to have at one of the following support level: Premium, Enterprise, Platinum, or Gold. There will be subscription costs associated with support, as well as increased storage costs for storing the logs. You will also not be able to turn Access Transparency off yourself, and you will need to submit a service request to Google Cloud Support.</t>
  </si>
  <si>
    <t>From Google Cloud Console Determine if Access Transparency is Enabled
1. From the Google Cloud Home, click on the Navigation hamburger menu in the top left. Hover over the IAM &amp; Admin Menu. Select settings in the middle of the column that opens.
2. The status will be under the heading Access Transparency. Status should be Enabled
Additional Information:
To enable Access Transparency for your Google Cloud organization, your Google Cloud organization must have one of the following customer support levels: Premium, Enterprise, Platinum, or Gold.</t>
  </si>
  <si>
    <t>From Google Cloud Console Add privileges to enable Access Transparency
1. From the Google Cloud Home, within the project you wish to check, click on the Navigation hamburger menu in the top left. Hover over the 'IAM and Admin'. Select IAM in the top of the column that opens.
2. Click the blue button the says +add at the top of the screen.
3. In the principals field, select a user or group by typing in their associated email address.
4. Click on the role field to expand it. In the filter field enter Access Transparency Admin and select it.
5. Click save.
Verify that the Google Cloud project is associated with a billing account
1. From the Google Cloud Home, click on the Navigation hamburger menu in the top left. Select Billing.
2. If you see This project is not associated with a billing account you will need to enter billing information or switch to a project with a billing account.
Enable Access Transparency
1. From the Google Cloud Home, click on the Navigation hamburger menu in the top left. Hover over the IAM &amp; Admin Menu. Select settings in the middle of the column that opens.
2. Click the blue button labeled Enable Access Transparency for Organization
Default Value:
By default Access Transparency is not enabled.</t>
  </si>
  <si>
    <t>1. https://cloud.google.com/cloud-provider-access-management/access-transparency/docs/overview
2. https://cloud.google.com/cloud-provider-access-management/access-transparency/docs/enable
3. https://cloud.google.com/cloud-provider-access-management/access-transparency/docs/reading-logs
4. https://cloud.google.com/cloud-provider-access-management/access-transparency/docs/reading-logs#justification_reason_codes
5. https://cloud.google.com/cloud-provider-access-management/access-transparency/docs/supported-services</t>
  </si>
  <si>
    <t>Logging enabled on a HTTPS Load Balancer will show all network traffic and its destination.</t>
  </si>
  <si>
    <t>Logging will allow you to view HTTPS network traffic to your web applications.
Impact:
On high use systems with a high percentage sample rate, the logging file may grow to high capacity in a short amount of time. Ensure that the sample rate is set appropriately so that storage costs are not exorbitant.</t>
  </si>
  <si>
    <t>From Google Cloud Console
1. From Google Cloud home open the Navigation Menu in the top left.
2. Under the Networking heading select Network services.
3. Select the HTTPS load-balancer you wish to audit.
4. Select Edit then Backend Configuration.
5. Select Edit on the corresponding backend service.
6. Ensure that Enable Logging is selected. Also ensure that Sample Rate is set to an appropriate level for your needs.
From Google Cloud CLI
1. Run the following command gcloud compute backend-services describe &lt;serviceName&gt;
1. Ensure that enable-logging is enabled and sample rate is set to your desired level.</t>
  </si>
  <si>
    <t>From Google Cloud Console
1. From Google Cloud home open the Navigation Menu in the top left.
2. Under the Networking heading select Network services.
3. Select the HTTPS load-balancer you wish to audit.
4. Select Edit then Backend Configuration.
5. Select Edit on the corresponding backend service.
6. Click Enable Logging.
7. Set Sample Rate to a desired value. This is a percentage as a decimal point. 1.0 is 100%.
From Google Cloud CLI
1. Run the following command gcloud compute backend-services update &lt;serviceName&gt; --region=REGION --enable-logging --logging-sample-rate=&lt;percentageAsADecimal&gt;
Default Value:
By default logging for https load balancing is disabled. When logging is enabled it sets the default sample rate as 1.0 or 100%. Ensure this value fits the need of your organization to avoid high storage costs.</t>
  </si>
  <si>
    <t>1. https://cloud.google.com/load-balancing/
2. https://cloud.google.com/load-balancing/docs/https/https-logging-monitoring#gcloud:-global-mode
3. https://cloud.google.com/sdk/gcloud/reference/compute/backend-services/</t>
  </si>
  <si>
    <t>3.8 Ensure that VPC Flow Logs is Enabled for Every Subnet in a VPC Network (Automated)</t>
  </si>
  <si>
    <t>Flow Logs is a feature that enables users to capture information about the IP traffic going to and from network interfaces in the organization's VPC Subnets. Once a flow log is created, the user can view and retrieve its data in Stackdriver Logging. It is recommended that Flow Logs be enabled for every business-critical VPC subnet.</t>
  </si>
  <si>
    <t>VPC networks and subnetworks not reserved for internal HTTP(S) load balancing provide logically isolated and secure network partitions where GCP resources can be launched. When Flow Logs are enabled for a subnet, VMs within that subnet start reporting on all Transmission Control Protocol (TCP) and User Datagram Protocol (UDP) flows. Each VM samples the TCP and UDP flows it sees, inbound and outbound, whether the flow is to or from another VM, a host in the on-premises datacenter, a Google service, or a host on the Internet. If two GCP VMs are communicating, and both are in subnets that have VPC Flow Logs enabled, both VMs report the flows.
Flow Logs supports the following use cases:
• Network monitoring
• Understanding network usage and optimizing network traffic expenses
• Network forensics
• Real-time security analysis
Flow Logs provide visibility into network traffic for each VM inside the subnet and can be used to detect anomalous traffic or provide insight during security workflows.
The Flow Logs must be configured such that all network traffic is logged, the interval of logging is granular to provide detailed information on the connections, no logs are filtered, and metadata to facilitate investigations are included.
Note: Subnets reserved for use by internal HTTP(S) load balancers do not support VPC flow logs.
Impact:
Standard pricing for Stackdriver Logging, BigQuery, or Cloud Pub/Sub applies. VPC Flow Logs generation will be charged starting in GA as described in reference: https://cloud.google.com/vpc/</t>
  </si>
  <si>
    <t>From Google Cloud Console
1. Go to the VPC network GCP Console visiting https://console.cloud.google.com/networking/networks/list
2. From the list of network subnets, make sure for each subnet:
• Flow Logs is set to On
• Aggregation Interval is set to 5 sec
• Include metadata checkbox is checked
• Sample rate is set to 100%
Note: It is not possible to determine if a Log filter has been defined from the console. From Google Cloud CLI gcloud compute networks subnets list --format json | \ jq -r '(["Subnet","Purpose","Flow_Logs","Aggregation_Interval","Flow_Sampling","Metadata","Logs_Filtered"] | (., map(length*"-"))), (.[] | [ .name, .purpose, (if has("enableFlowLogs") and .enableFlowLogs == true then "Enabled" else "Disabled" end), (if has("logConfig") then .logConfig.aggregationInterval else "N/A" end), (if has("logConfig") then .logConfig.flowSampling else "N/A" end), (if has("logConfig") then .logConfig.metadata else "N/A" end), (if has("logConfig") then (.logConfig | has("filterExpr")) else "N/A" end) ] ) | @tsv' | \ column -t
The output of the above command will list:
• each subnet
• the subnet's purpose
• a Enabled or Disabled value if Flow Logs are enabled
• the value for Aggregation Interval or N/A if disabled, the value for Flow Sampling or N/A if disabled
• the value for Metadata or N/A if disabled
• 'true' or 'false' if a Logging Filter is configured or 'N/A' if disabled.
If the subnet's purpose is PRIVATE then Flow Logs should be Enabled. If Flow Logs is enabled then:
• Aggregation_Interval should be INTERVAL_5_SEC
• Flow_Sampling should be 1
• Metadata should be INCLUDE_ALL_METADATA
• Logs_Filtered should be false.</t>
  </si>
  <si>
    <t>From Google Cloud Console
1. Go to the VPC network GCP Console visiting https://console.cloud.google.com/networking/networks/list
2. Click the name of a subnet, The Subnet details page displays.
3. Click the EDIT button.
4. Set Flow Logs to On.
5. Expand the Configure Logs section.
6. Set Aggregation Interval to 5 SEC.
7. Check the box beside Include metadata.
8. Set Sample rate to 100.
9. Click Save.
Note: It is not possible to configure a Log filter from the console. From Google Cloud CLI To enable VPC Flow Logs for a network subnet, run the following command: gcloud compute networks subnets update [SUBNET_NAME] --region [REGION] --enable-flow-logs --logging-aggregation-interval=interval-5-sec --logging-flow-sampling=1 --logging-metadata=include-all
Default Value:
By default, Flow Logs is set to Off when a new VPC network subnet is created.</t>
  </si>
  <si>
    <t>1. https://cloud.google.com/vpc/docs/using-flow-logs#enabling_vpc_flow_logging
2. https://cloud.google.com/vpc/</t>
  </si>
  <si>
    <t>It is recommended that a metric filter and alarm be established for SQL instance configuration changes.</t>
  </si>
  <si>
    <t>From Google Cloud Console Ensure the prescribed log metric is present:
1. For each project that contains Cloud SQL instances, go to Logging/Logs-based Metrics by visiting https://console.cloud.google.com/logs/metrics.
2. In the User-defined Metrics section, ensure that at least one metric &lt;Log_Metric_Name&gt; is present with the filter text: protoPayload.methodName="cloudsql.instances.update"
Ensure that the prescribed alerting policy is present:
3. Go to Alerting by visiting https://console.cloud.google.com/monitoring/alerting.
4. Under the Policies section, ensure that at least one alert policy exists for the log metric above. Clicking on the policy should show that it is configured with a condition. For example, Violates when: Any logging.googleapis.com/user/&lt;Log Metric Name&gt; stream is above a
threshold of zero(0) for greater than zero(0) seconds means that the alert will trigger for any new owner change. Verify that the chosen alerting thresholds make sense for the user's organization.
5. Ensure that the appropriate notifications channels have been set up.
From Google Cloud CLI Ensure that the prescribed log metric is present:
1. List the log metrics: gcloud logging metrics list --format json
2. Ensure that the output contains at least one metric with the filter set to protoPayload.methodName="cloudsql.instances.update"
3. Note the value of the property metricDescriptor.type for the identified metric, in the format logging.googleapis.com/user/&lt;Log Metric Name&gt;.
Ensure that the prescribed alerting policy is present:
4. List the alerting policies: gcloud alpha monitoring policies list --format json
5. Ensure that the output contains at least one alert policy where: conditions.conditionThreshold.filter
is set to
metric.type=\"logging.googleapis.com/user/&lt;Log Metric Name&gt;\"
AND enabled is set to true</t>
  </si>
  <si>
    <t>6.2.1 Ensure ‘Log_error_verbosity’ Database Flag for Cloud SQL PostgreSQL Instance Is Set to ‘DEFAULT’ or Stricter (Automated)</t>
  </si>
  <si>
    <t>The log_error_verbosity flag controls the verbosity/details of messages logged. Valid values are:
• TERSE
• DEFAULT
• VERBOSE
TERSE excludes the logging of DETAIL, HINT, QUERY, and CONTEXT error information.
VERBOSE output includes the SQLSTATE error code, source code file name, function name, and line number that generated the error.
Ensure an appropriate value is set to 'DEFAULT' or stricter.</t>
  </si>
  <si>
    <t>Auditing helps in troubleshooting operational problems and also permits forensic analysis. If log_error_verbosity is not set to the correct value, too many details or too few details may be logged. This flag should be configured with a value of 'DEFAULT' or stricter.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</si>
  <si>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Go to Configuration card
4. Under Database flags, check the value of log_error_verbosity flag is set to 'DEFAULT' or stricter.
From Google Cloud CLI
1. Use the below command for every Cloud SQL PostgreSQL database instance to verify the value of log_error_verbosity gcloud sql instances list --format=json | jq '.settings.databaseFlags[] | select(.name=="log_error_verbosity")|.value'
Additional Information: WARNING: This patch modifies database flag values, which may require your instance to be restarted. Check the list of supported flags - https://cloud.google.com/sql/docs/postgres/flags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require restarting the Cloud SQL instance.</t>
  </si>
  <si>
    <t>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log_error_verbosity from the drop-down menu and set appropriate value.
6. Click Save to save your changes.
7. Confirm your changes under Flags on the Overview page.
From Google Cloud CLI
1. Configure the log_error_verbosity database flag for every Cloud SQL PosgreSQL database instance using the below command. gcloud sql instances patch &lt;INSTANCE_NAME&gt; --database-flags log_error_verbosity=&lt;TERSE|DEFAULT|VERBOSE&gt; Note: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log_error_verbosity is DEFAULT.</t>
  </si>
  <si>
    <t>1. https://cloud.google.com/sql/docs/postgres/flags
2. https://www.postgresql.org/docs/current/runtime-config-logging.html#RUNTIME-CONFIG-LOGGING-WHAT</t>
  </si>
  <si>
    <t>6.2.2 Ensure That the ‘Log_connections’ Database Flag for Cloud SQL PostgreSQL Instance Is Set to ‘On’ (Automated)</t>
  </si>
  <si>
    <t>Enabling the log_connections setting causes each attempted connection to the server to be logged, along with successful completion of client authentication. This parameter cannot be changed after the session starts.</t>
  </si>
  <si>
    <t>PostgreSQL does not log attempted connections by default. Enabling the log_connections setting will create log entries for each attempted connection as well as successful completion of client authentication which can be useful in troubleshooting issues and to determine any unusual connection attempts to the server.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</si>
  <si>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Go to the Configuration card.
4. Under Database flags, check the value of log_connections flag to determine if it is configured as expected.
From Google Cloud CLI
1. Ensure the below command returns on for every Cloud SQL PostgreSQL database instance: gcloud sql instances list --format=json | jq '.settings.databaseFlags[] | select(.name=="log_connections")|.value'
WARNING: This patch modifies database flag values, which may require your instance to be restarted. Check the list of supported flags - https://cloud.google.com/sql/docs/postgres/flags - to see if your instance will be restarted when this patch is submitted. Note: some database flag settings can affect instance availability or stability and remove the instance from the Cloud SQL SLA. For information about these flags, see the Operational Guidelines. Note: Configuring the above flag does not require restarting the Cloud SQL instance.</t>
  </si>
  <si>
    <t>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log_connections from the drop-down menu and set the value as on.
6. Click Save.
7. Confirm the changes under Flags on the Overview page.
From Google Cloud CLI
1. Configure the log_connections database flag for every Cloud SQL PosgreSQL database instance using the below command. gcloud sql instances patch &lt;INSTANCE_NAME&gt; --database-flags log_connections=on Note: This command will overwrite all previously set database flags. To keep those and add new ones, include the values for all flags to be set on the instance; any flag not specifically included is set to its default value. For flags that do not take a value, specify the flag name followed by an equals sign ("=").
Default Value:
By default log_connections is off.</t>
  </si>
  <si>
    <t>1. https://cloud.google.com/sql/docs/postgres/flags
2. https://www.postgresql.org/docs/9.6/runtime-config-logging.html#RUNTIME-CONFIG-LOGGING-WHAT</t>
  </si>
  <si>
    <t>6.2.3 Ensure That the ‘Log_disconnections’ Database Flag for Cloud SQL PostgreSQL Instance Is Set to ‘On’ (Automated)</t>
  </si>
  <si>
    <t>Enabling the log_disconnections setting logs the end of each session, including the session duration.</t>
  </si>
  <si>
    <t>PostgreSQL does not log session details such as duration and session end by default. Enabling the log_disconnections setting will create log entries at the end of each session which can be useful in troubleshooting issues and determine any unusual activity across a time period. The log_disconnections and log_connections work hand in hand and generally, the pair would be enabled/disabled together.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</si>
  <si>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Go to the Configuration card.
4. Under Database flags, check the value of log_disconnections flag is configured as expected.
From Google Cloud CLI
1. Ensure the below command returns on for every Cloud SQL PostgreSQL database instance: gcloud sql instances list --format=json | jq '.[].settings.databaseFlags[] | select(.name=="log_disconnections")|.value'
Additional Information: WARNING: This patch modifies database flag values, which may require your instance to be restarted. Check the list of supported flags - https://cloud.google.com/sql/docs/postgres/flags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require restarting the Cloud SQL instance.</t>
  </si>
  <si>
    <t>From Google Cloud Console
1. Go to the Cloud SQL Instances page in the Google Cloud Console by visiting https://console.cloud.google.com/sql/instances.
2. Select the PostgreSQL instance where the database flag needs to be enabled.
3. Click Edit.
4. Scroll down to the Flags section.
5. To set a flag that has not been set on the instance before, click Add item, choose the flag log_disconnections from the drop-down menu and set the value as on.
6. Click Save.
7. Confirm the changes under Flags on the Overview page.
From Google Cloud CLI
1. Configure the log_disconnections database flag for every Cloud SQL PosgreSQL database instance using the below command: gcloud sql instances patch &lt;INSTANCE_NAME&gt; --database-flags log_disconnections=on Note: This command will overwrite all previously set database flags. To keep those and add new ones, include the values for all flags to be set on the instance; any flag not specifically included is set to its default value. For flags that do not take a value, specify the flag name followed by an equals sign ("=").
Default Value:
By default log_disconnections is off.</t>
  </si>
  <si>
    <t>6.2.4 Ensure ‘Log_statement’ Database Flag for Cloud SQL PostgreSQL Instance Is Set Appropriately (Automated)</t>
  </si>
  <si>
    <t>The value of log_statement flag determined the SQL statements that are logged. Valid values are:
• none
• ddl
• mod
• all
The value ddl logs all data definition statements. The value mod logs all ddl statements, plus data-modifying statements.
The statements are logged after a basic parsing is done and statement type is determined, thus this does not logs statements with errors. When using extended query protocol, logging occurs after an Execute message is received and values of the Bind parameters are included.
A value of 'ddl' is recommended unless otherwise directed by your organization's logging policy.</t>
  </si>
  <si>
    <t>Auditing helps in forensic analysis. If log_statement is not set to the correct value, too many statements may be logged leading to issues in finding the relevant information from the logs, or too few statements may be logged with relevant information missing from the logs. Setting log_statement to align with your organization's security and logging policies facilitates later auditing and review of database activities.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</si>
  <si>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Go to Configuration card
4. Under Database flags, check the value of log_statement flag is set to appropriately.
From Google Cloud CLI
1. Use the below command for every Cloud SQL PostgreSQL database instance to verify the value of log_statement gcloud sql instances list --format=json | jq '.[].settings.databaseFlags[] | select(.name=="log_statement")|.value'
Additional Information: WARNING: This patch modifies database flag values, which may require your instance to be restarted. Check the list of supported flags - https://cloud.google.com/sql/docs/postgres/flags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require restarting the Cloud SQL instance.</t>
  </si>
  <si>
    <t>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log_statement from the drop-down menu and set appropriate value.
6. Click Save to save your changes.
7. Confirm your changes under Flags on the Overview page.
From Google Cloud CLI
1. Configure the log_statement database flag for every Cloud SQL PosgreSQL database instance using the below command. gcloud sql instances patch &lt;INSTANCE_NAME&gt; --database-flags log_statement=&lt;ddl|mod|all|none&gt; Note: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t>
  </si>
  <si>
    <t>6.2.5 Ensure that the ‘Log_min_messages’ Flag for a Cloud SQL PostgreSQL Instance is set at minimum to 'Warning' (Automated)</t>
  </si>
  <si>
    <t>The log_min_messages flag defines the minimum message severity level that is considered as an error statement. Messages for error statements are logged with the SQL statement. Valid values include DEBUG5, DEBUG4, DEBUG3, DEBUG2, DEBUG1, INFO, NOTICE, WARNING, ERROR, LOG, FATAL, and PANIC. Each severity level includes the subsequent levels mentioned above. ERROR is considered the best practice setting. Changes should only be made in accordance with the organization's logging policy.</t>
  </si>
  <si>
    <t>Auditing helps in troubleshooting operational problems and also permits forensic analysis. If log_min_messages is not set to the correct value, messages may not be classified as error messages appropriately. An organization will need to decide their own threshold for logging log_min_messages flag.
This recommendation is applicable to PostgreSQL database instances.
Impact:
Setting the threshold too low will might result in increased log storage size and length, making it difficult to find actual errors. Setting the threshold to 'Warning' will log messages for the most needed error messages. Higher severity levels may cause errors needed to troubleshoot to not be logged.
Note: To effectively turn off logging failing statements, set this parameter to PANIC.</t>
  </si>
  <si>
    <t>From Google Cloud Console
1. Go to the Cloud SQL Instances page in the Google Cloud Console by visiting https://console.cloud.google.com/sql/instances.
2. Select the instance to open its Instance Overview page.
3. Go to the Configuration card.
4. Under Database flags, check the value of log_min_messages flag is in accordance with the organization's logging policy.
From Google Cloud CLI
1. Use the below command for every Cloud SQL PostgreSQL database instance to verify that the value of log_min_messages is in accordance with the organization's logging policy. gcloud sql instances list --format=json | jq '.settings.databaseFlags[] | select(.name=="log_min_messages")|.value'
Additional Information: WARNING: This patch modifies database flag values, which may require your instance to be restarted. Check the list of supported flags - https://cloud.google.com/sql/docs/postgres/flags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require restarting the Cloud SQL instance.</t>
  </si>
  <si>
    <t>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log_min_messages from the drop-down menu and set appropriate value.
6. Click Save to save the changes.
7. Confirm the changes under Flags on the Overview page.
From Google Cloud CLI
1. Configure the log_min_messages database flag for every Cloud SQL PosgreSQL database instance using the below command. gcloud sql instances patch &lt;INSTANCE_NAME&gt; --database-flags log_min_messages=&lt;DEBUG5|DEBUG4|DEBUG3|DEBUG2|DEBUG1|INFO|NOTICE|WARNING|ERROR|LOG|FATAL|PANIC&gt;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
Default Value:
By default log_min_messages is ERROR.</t>
  </si>
  <si>
    <t>1. https://cloud.google.com/sql/docs/postgres/flags
2. https://www.postgresql.org/docs/9.6/runtime-config-logging.html#RUNTIME-CONFIG-LOGGING-WHEN</t>
  </si>
  <si>
    <t>6.2.6 Ensure ‘Log_min_error_statement’ Database Flag for Cloud SQL PostgreSQL Instance Is Set to ‘Error’ or Stricter (Automated)</t>
  </si>
  <si>
    <t>The log_min_error_statement flag defines the minimum message severity level that are considered as an error statement. Messages for error statements are logged with the SQL statement. Valid values include DEBUG5, DEBUG4, DEBUG3, DEBUG2, DEBUG1, INFO, NOTICE, WARNING, ERROR, LOG, FATAL, and PANIC. Each severity level includes the subsequent levels mentioned above. Ensure a value of ERROR or stricter is set.</t>
  </si>
  <si>
    <t>Auditing helps in troubleshooting operational problems and also permits forensic analysis. If log_min_error_statement is not set to the correct value, messages may not be classified as error messages appropriately. Considering general log messages as error messages would make is difficult to find actual errors and considering only stricter severity levels as error messages may skip actual errors to log their SQL statements. The log_min_error_statement flag should be set to ERROR or stricter.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</si>
  <si>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Go to Configuration card
4. Under Database flags, check the value of log_min_error_statement flag is configured as to ERROR or stricter.
From Google Cloud CLI
1. Use the below command for every Cloud SQL PostgreSQL database instance to verify the value of log_min_error_statement is set to ERROR or stricter. gcloud sql instances list --format=json | jq '.[].settings.databaseFlags[] | select(.name=="log_min_error_statement")|.value'
Additional Information: WARNING: This patch modifies database flag values, which may require your instance to be restarted. Check the list of supported flags - https://cloud.google.com/sql/docs/postgres/flags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require restarting the Cloud SQL instance.</t>
  </si>
  <si>
    <t>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log_min_error_statement from the drop-down menu and set appropriate value.
6. Click Save to save your changes.
7. Confirm your changes under Flags on the Overview page.
From Google Cloud CLI
1. Configure the log_min_error_statement database flag for every Cloud SQL PosgreSQL database instance using the below command. gcloud sql instances patch &lt;INSTANCE_NAME&gt; --database-flags log_min_error_statement=&lt;DEBUG5|DEBUG4|DEBUG3|DEBUG2|DEBUG1|INFO|NOTICE|WARNING|ERROR&gt; Note: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log_min_error_statement is ERROR.</t>
  </si>
  <si>
    <t>6.2.7 Ensure That the ‘Log_min_duration_statement’ Database Flag for Cloud SQL PostgreSQL Instance Is Set to ‘-1′ (Disabled) (Automated)</t>
  </si>
  <si>
    <t>The log_min_duration_statement flag defines the minimum amount of execution time of a statement in milliseconds where the total duration of the statement is logged. Ensure that log_min_duration_statement is disabled, i.e., a value of -1 is set.</t>
  </si>
  <si>
    <t>Logging SQL statements may include sensitive information that should not be recorded in logs.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t>
  </si>
  <si>
    <t>From Google Cloud Console
1. Go to the Cloud SQL Instances page in the Google Cloud Console by visiting https://console.cloud.google.com/sql/instances.
2. Select the instance to open its Instance Overview page.
3. Go to the Configuration card.
4. Under Database flags, check that the value of log_min_duration_statement flag is set to -1.
From Google Cloud CLI
1. Use the below command for every Cloud SQL PostgreSQL database instance to verify the value of log_min_duration_statement is set to -1. gcloud sql instances list --format=json| jq '.settings.databaseFlags[] | select(.name=="log_min_duration_statement")|.value'
WARNING: This patch modifies database flag values, which may require your instance to be restarted. Check the list of supported flags - https://cloud.google.com/sql/docs/postgres/flags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does not require restarting the Cloud SQL instance.</t>
  </si>
  <si>
    <t>From Google Cloud Console
1. Go to the Cloud SQL Instances page in the Google Cloud Console by visiting https://console.cloud.google.com/sql/instances.
2. Select the PostgreSQL instance where the database flag needs to be enabled.
3. Click Edit.
4. Scroll down to the Flags section.
5. To set a flag that has not been set on the instance before, click Add item, choose the flag log_min_duration_statement from the drop-down menu and set a value of -1.
6. Click Save.
7. Confirm the changes under Flags on the Overview page.
From Google Cloud CLI
1. List all Cloud SQL database instances using the following command: gcloud sql instances list
2. Configure the log_min_duration_statement flag for every Cloud SQL PosgreSQL database instance using the below command: gcloud sql instances patch &lt;INSTANCE_NAME&gt; --database-flags log_min_duration_statement=-1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
Default Value:
By default log_min_duration_statement is -1.</t>
  </si>
  <si>
    <t>6.2.8 Ensure That 'cloudsql.enable_pgaudit' Database Flag for each Cloud Sql Postgresql Instance Is Set to 'on' For Centralized Logging (Automated)</t>
  </si>
  <si>
    <t>Ensure cloudsql.enable_pgaudit database flag for Cloud SQL PostgreSQL instance is set to on to allow for centralized logging.</t>
  </si>
  <si>
    <t>As numerous other recommendations in this section consist of turning on flags for logging purposes, your organization will need a way to manage these logs. You may have a solution already in place. If you do not, consider installing and enabling the open source pgaudit extension within PostgreSQL and enabling its corresponding flag of cloudsql.enable_pgaudit. This flag and installing the extension enables database auditing in PostgreSQL through the open-source pgAudit extension. This extension provides detailed session and object logging to comply with government, financial, &amp; ISO standards and provides auditing capabilities to mitigate threats by monitoring security events on the instance. Enabling the flag and settings later in this recommendation will send these logs to Google Logs Explorer so that you can access them in a central location. to This recommendation is applicable only to PostgreSQL database instances.
Impact:
Enabling the pgAudit extension can lead to increased data storage requirements and to ensure durability of pgAudit log records in the event of unexpected storage issues, it is recommended to enable the Enable automatic storage increases setting on the instance. Enabling flags via the command line will also overwrite all existing flags, so you should apply all needed flags in the CLI command. Also flags may require a restart of the server to be implemented or will break existing functionality so update your servers at a time of low usage.</t>
  </si>
  <si>
    <t>Determining if the pgAudit Flag is set to 'on' From Google Cloud Console
1. Go to https://console.cloud.google.com/sql/instances.
2. Select the instance to open its Overview page.
3. Click Edit.
4. Scroll down and expand Flags.
5. Ensure that cloudsql.enable_pgaudit flag is set to on.
From Google Cloud CLI Run the command by providing &lt;INSTANCE_NAME&gt;. Ensure the value of the flag is on. gcloud sql instances describe &lt;INSTANCE_NAME&gt; --format="json" | jq '.settings|.|.databaseFlags[]|select(.name=="cloudsql.enable_pgaudit")|.value'
Determine if the pgAudit extension is installed
1. Connect to the the server running PostgreSQL or through a SQL client of your choice.
2. Via command line open the PostgreSQL shell by typing psql
3. Run the following command SELECT * FROM pg_extension;
4. If pgAudit is in this list. If so, it is installed.
Determine if Data Access Audit logs are enabled for your project and have sufficient privileges
1. From the homepage open the hamburger menu in the top left.
2. Scroll down to IAM &amp; Adminand hover over it.
3. In the menu that opens up, select Audit Logs
4. In the middle of the page, in the search box next to filter search for Cloud Composer API
5. Select it, and ensure that both 'Admin Read' and 'Data Read' are checked.
Determine if logs are being sent to Logs Explorer
1. From the Google Console home page, open the hamburger menu in the top left.
2. In the menu that pops open, scroll down to Logs Explorer under Operations.
3. In the query box, paste the following and search resource.type="cloudsql_database" logName="projects/&lt;your-project-name&gt;/logs/cloudaudit.googleapis.com%2Fdata_access" protoPayload.request.@type="type.googleapis.com/google.cloud.sql.audit.v1.PgAuditEntry"
4. If it returns any log sources, they are correctly setup.</t>
  </si>
  <si>
    <t>Initialize the pgAudit flag From Google Cloud Console
1. Go to https://console.cloud.google.com/sql/instances.
2. Select the instance to open its Overview page.
3. Click Edit.
4. Scroll down and expand Flags.
5. To set a flag that has not been set on the instance before, click Add item.
6. Enter cloudsql.enable_pgaudit for the flag name and set the flag to on.
7. Click Done.
8. Click Save to update the configuration.
9. Confirm your changes under Flags on the Overview page.
From Google Cloud CLI Run the below command by providing &lt;INSTANCE_NAME&gt; to enable cloudsql.enable_pgaudit flag. gcloud sql instances patch &lt;INSTANCE_NAME&gt; --database-flags cloudsql.enable_pgaudit=on
Note: RESTART is required to get this configuration in effect.
Creating the extension
1. Connect to the the server running PostgreSQL or through a SQL client of your choice.
2. If SSHing to the server in the command line open the PostgreSQL shell by typing psql
3. Run the following command as a superuser. CREATE EXTENSION pgaudit;
Updating the previously created pgaudit.log flag for your Logging Needs
From Google Cloud Console: Note: there are multiple options here. This command will enable logging for all databases on a server. Please see the customizing database audit logging reference for more flag options.
1. Go to https://console.cloud.google.com/sql/instances.
2. Select the instance to open its Overview page.
3. Click Edit.
4. Scroll down and expand Flags.
5. To set a flag that has not been set on the instance before, click Add item.
6. Enter pgaudit.log=all for the flag name and set the flag to on.
7. Click Done.
8. Click Save to update the configuration.
9. Confirm your changes under Flags on the Overview page.
From Command Line: Run the command gcloud sql instances patch &lt;INSTANCE_NAME&gt; --database-flags \ cloudsql.enable_pgaudit=on,pgaudit.log=all
Determine if logs are being sent to Logs Explorer
1. From the Google Console home page, open the hamburger menu in the top left.
2. In the menu that pops open, scroll down to Logs Explorer under Operations.
3. In the query box, paste the following and search
resource.type="cloudsql_database" logName="projects//logs/cloudaudit.googleapis.com%2Fdata_access" protoPayload.request.@type="type.googleapis.com/google.cloud.sql.audit.v1.PgAuditEntry" If it returns any log sources, they are correctly setup.
Default Value:
By default cloudsql.enable_pgaudit database flag is set to off and the extension is not enabled.</t>
  </si>
  <si>
    <t>1. https://cloud.google.com/sql/docs/postgres/flags#list-flags-postgres
2. https://cloud.google.com/sql/docs/postgres/pg-audit#enable-auditing-flag
3. https://cloud.google.com/sql/docs/postgres/pg-audit#customizing-database-audit-logging
4. https://cloud.google.com/logging/docs/audit/configure-data-access#config-console-enable</t>
  </si>
  <si>
    <t>From Google Cloud CLI
1. List all VPCs networks in a project: gcloud compute networks list --format="table[box,title='All VPC Networks'](name:label='VPC Network Name')"
2. List all DNS policies, logging enablement, and associated VPC networks: gcloud dns policies list --flatten="networks[]" --format="table[box,title='All DNS Policies By VPC Network'](name:label='Policy Name',enableLogging:label='Logging Enabled':align=center,networks.networkUrl.basename():label='VPC Network Name')"
Each VPC Network should be associated with a DNS policy with logging enabled.
Additional Information:
WARNING: This patch modifies database flag values, which may require your instance to be restarted. Check the list of supported flags - https://cloud.google.com/sql/docs/postgres/flags - to see if your instance will be restarted when this patch is submitted.
Note: Configuring the 'cloudsql.enable_pgaudit' database flag requires restarting the Cloud SQL PostgreSQL instance.</t>
  </si>
  <si>
    <t>6.7 Ensure That Cloud SQL Database Instances Are Configured With Automated Backups (Automated)</t>
  </si>
  <si>
    <t>It is recommended to have all SQL database instances set to enable automated backups.</t>
  </si>
  <si>
    <t>Backups provide a way to restore a Cloud SQL instance to recover lost data or recover from a problem with that instance. Automated backups need to be set for any instance that contains data that should be protected from loss or damage. This recommendation is applicable for SQL Server, PostgreSql, MySql generation 1 and MySql generation 2 instances.
Impact:
Automated Backups will increase required size of storage and costs associated with it.</t>
  </si>
  <si>
    <t>From Google Cloud Console
1. Go to the Cloud SQL Instances page in the Google Cloud Console by visiting https://console.cloud.google.com/sql/instances.
2. Click the instance name to open its instance details page.
3. Go to the Backups menu.
4. Ensure that Automated backups is set to Enabled and Backup time is mentioned.
From Google Cloud CLI
1. List all Cloud SQL database instances using the following command: gcloud sql instances list
2. Ensure that the below command returns True for every Cloud SQL database instance. gcloud sql instances describe &lt;INSTANCE_NAME&gt; --format="value('Enabled':settings.backupConfiguration.enabled)"</t>
  </si>
  <si>
    <t>From Google Cloud Console
1. Go to the Cloud SQL Instances page in the Google Cloud Console by visiting https://console.cloud.google.com/sql/instances.
2. Select the instance where the backups need to be configured.
3. Click Edit.
4. In the Backups section, check `Enable automated backups', and choose a backup window.
5. Click Save.
From Google Cloud CLI
1. List all Cloud SQL database instances using the following command: gcloud sql instances list
2. Enable Automated backups for every Cloud SQL database instance using the below command: gcloud sql instances patch &lt;INSTANCE_NAME&gt; --backup-start-time &lt;[HH:MM]&gt;
The backup-start-time parameter is specified in 24-hour time, in the UTC±00 time zone, and specifies the start of a 4-hour backup window. Backups can start any time during the backup window.
Default Value:
By default, automated backups are not configured for Cloud SQL instances. Data backup is not possible on any Cloud SQL instance unless Automated Backup is configured.</t>
  </si>
  <si>
    <t>1. https://cloud.google.com/sql/docs/mysql/backup-recovery/backups
2. https://cloud.google.com/sql/docs/postgres/backup-recovery/backing-up</t>
  </si>
  <si>
    <t>6.1.3 Ensure That the ‘Local_infile’ Database Flag for a Cloud SQL MySQL Instance Is Set to ‘Off’ (Automated)</t>
  </si>
  <si>
    <t>It is recommended to set the local_infile database flag for a Cloud SQL MySQL instance to off.</t>
  </si>
  <si>
    <t>The local_infile flag controls the server-side LOCAL capability for LOAD DATA statements. Depending on the local_infile setting, the server refuses or permits local data loading by clients that have LOCAL enabled on the client side.
To explicitly cause the server to refuse LOAD DATA LOCAL statements (regardless of how client programs and libraries are configured at build time or runtime), start mysqld with local_infile disabled. local_infile can also be set at runtime.
Due to security issues associated with the local_infile flag, it is recommended to disable it. This recommendation is applicable to MySQL database instances.
Impact:
Disabling local_infile makes the server refuse local data loading by clients that have LOCAL enabled on the client side.</t>
  </si>
  <si>
    <t>From Google Cloud Console
1. Go to the Cloud SQL Instances page in the Google Cloud Console by visiting https://console.cloud.google.com/sql/instances.
2. Select the instance to open its Instance Overview page
3. Ensure the database flag local_infile that has been set is listed under the Database flags section.
From Google Cloud CLI
1. List all Cloud SQL database instances: gcloud sql instances list
2. Ensure the below command returns off for every Cloud SQL MySQL database instance. gcloud sql instances describe INSTANCE_NAME --format=json | jq '.settings.databaseFlags[] | select(.name=="local_infile")|.value'</t>
  </si>
  <si>
    <t>From Google Cloud Console
1. Go to the Cloud SQL Instances page in the Google Cloud Console by visiting https://console.cloud.google.com/sql/instances.
2. Select the MySQL instance where the database flag needs to be enabled.
3. Click Edit.
4. Scroll down to the Flags section.
5. To set a flag that has not been set on the instance before, click Add item, choose the flag local_infile from the drop-down menu, and set its value to off.
6. Click Save.
7. Confirm the changes under Flags on the Overview page.
From Google Cloud CLI
1. List all Cloud SQL database instances using the following command: gcloud sql instances list
2. Configure the local_infile database flag for every Cloud SQL Mysql database instance using the below command: gcloud sql instances patch INSTANCE_NAME --database-flags local_infile=off Note : This command will overwrite all database flags that were previously set. To keep those and add new ones, include the values for all flags to be set on the instance; any flag not specifically included is set to its default value. For flags that do not take a value, specify the flag name followed by an equals sign ("=").
Default Value:
By default local_infile is on.</t>
  </si>
  <si>
    <t>1.12 Ensure API Keys Only Exist for Active Services (Automated)</t>
  </si>
  <si>
    <t>API Keys should only be used for services in cases where other authentication methods are unavailable. Unused keys with their permissions in tact may still exist within a project. Keys are insecure because they can be viewed publicly, such as from within a browser, or they can be accessed on a device where the key resides. It is recommended to use standard authentication flow instead.</t>
  </si>
  <si>
    <t>To avoid the security risk in using API keys, it is recommended to use standard authentication flow instead. Security risks involved in using API-Keys appear below:
• API keys are simple encrypted strings
• API keys do not identify the user or the application making the API request
• API keys are typically accessible to clients, making it easy to discover and steal an API key
Impact:
Deleting an API key will break dependent applications (if any).</t>
  </si>
  <si>
    <t>From Console:
1. From within the Project you wish to audit Go to APIs &amp; Services\Credentials.
2. In the section API Keys, no API key should be listed.
From Google Cloud Command Line
1. Run the following from within the project you wish to audit gcloud services api-keys list --filter.
2. There should be no keys listed at the project level.</t>
  </si>
  <si>
    <t>From Console:
1. Go to APIs &amp; Services\Credentials using
2. In the section API Keys, to delete API Keys: Click the Delete Bin Icon in front of every API Key Name.
From Google Cloud Command Line
1. Run the following from within the project you wish to audit gcloud services api-keys list --filter
2. **Pipe the results into ** gcloud alpha services api-keys delete
Default Value:
By default, API keys are not created for a project.</t>
  </si>
  <si>
    <t>1. https://cloud.google.com/docs/authentication/api-keys
2. https://cloud.google.com/sdk/gcloud/reference/services/api-keys/list
3. https://cloud.google.com/docs/authentication
4. https://cloud.google.com/sdk/gcloud/reference/alpha/services/api-keys/delete</t>
  </si>
  <si>
    <t>1.13 Ensure API Keys Are Restricted To Use by Only Specified Hosts and Apps (Manual)</t>
  </si>
  <si>
    <t>API Keys should only be used for services in cases where other authentication methods are unavailable. In this case, unrestricted keys are insecure because they can be viewed publicly, such as from within a browser, or they can be accessed on a device where the key resides. It is recommended to restrict API key usage to trusted hosts, HTTP referrers and apps. It is recommended to use the more secure standard authentication flow instead.
Default Value:
By default, Application Restrictions are set to None.</t>
  </si>
  <si>
    <t>Security risks involved in using API-Keys appear below:
• API keys are simple encrypted strings
• API keys do not identify the user or the application making the API request
• API keys are typically accessible to clients, making it easy to discover and steal an API key
In light of these potential risks, Google recommends using the standard authentication flow instead of API keys. However, there are limited cases where API keys are more appropriate. For example, if there is a mobile application that needs to use the Google Cloud Translation API, but doesn't otherwise need a backend server, API keys are the simplest way to authenticate to that API.
In order to reduce attack vectors, API-Keys can be restricted only to trusted hosts, HTTP referrers and applications.
Impact:
Setting Application Restrictions may break existing application functioning, if not done carefully.</t>
  </si>
  <si>
    <t>From Google Cloud Console
1. Go to APIs &amp; Services\Credentials using https://console.cloud.google.com/apis/credentials
2. In the section API Keys, Click the API Key Name. The API Key properties display on a new page.
3. For every API Key, ensure the section Key restrictions parameter Application restrictions is not set to None.
Or,
1. Ensure Application restrictions is set to HTTP referrers and the referrer is not set to wild-cards (* or *.[TLD] or *.[TLD]/*) allowing access to any/wide HTTP referrer(s)
Or,
1. Ensure Application restrictions is set to IP addresses and referrer is not set to any host (0.0.0.0 or 0.0.0.0/0 or ::0)
From Google Cloud Command Line
1. Run the following from within the project you wish to audit gcloud services api-keys list --filter="-restrictions:*" --format="table[box](displayName:label='Key With No Restrictions')</t>
  </si>
  <si>
    <t>From Google Cloud Console Leaving Keys in Place
1. Go to APIs &amp; Services\Credentials using https://console.cloud.google.com/apis/credentials
2. In the section API Keys, Click the API Key Name. The API Key properties display on a new page.
3. In the Key restrictions section, set the application restrictions to any of HTTP referrers, IP addresses, Android apps, iOS apps.
4. Click Save.
5. Repeat steps 2,3,4 for every unrestricted API key. Note: Do not set HTTP referrers to wild-cards (* or *.[TLD] or .[TLD]/) allowing access to any/wide HTTP referrer(s) Do not set IP addresses and referrer to any host (0.0.0.0 or 0.0.0.0/0 or ::0)
Removing Keys Another option is to remove the keys entirely.
1. Go to APIs &amp; Services\Credentials using https://console.cloud.google.com/apis/credentials
2. In the section API Keys, select the checkbox next to each key you wish to remove
3. Select Delete and confirm.</t>
  </si>
  <si>
    <t>1. https://cloud.google.com/docs/authentication/api-keys
2. https://cloud.google.com/sdk/gcloud/reference/services/api-keys/list
3. https://cloud.google.com/sdk/gcloud/reference/alpha/services/api-keys/update</t>
  </si>
  <si>
    <t>1.14 Ensure API Keys Are Restricted to Only APIs That Application Needs Access (Automated)</t>
  </si>
  <si>
    <t>API Keys should only be used for services in cases where other authentication methods are unavailable. API keys are always at risk because they can be viewed publicly, such as from within a browser, or they can be accessed on a device where the key resides. It is recommended to restrict API keys to use (call) only APIs required by an application.
Default Value:
By default, API restrictions are set to None.</t>
  </si>
  <si>
    <t>Security risks involved in using API-Keys are below:
• API keys are simple encrypted strings
• API keys do not identify the user or the application making the API request
• API keys are typically accessible to clients, making it easy to discover and steal an API key
In light of these potential risks, Google recommends using the standard authentication flow instead of API-Keys. However, there are limited cases where API keys are more appropriate. For example, if there is a mobile application that needs to use the Google Cloud Translation API, but doesn't otherwise need a backend server, API keys are the simplest way to authenticate to that API.
In order to reduce attack surfaces by providing least privileges, API-Keys can be restricted to use (call) only APIs required by an application.
Impact:
Setting API restrictions may break existing application functioning, if not done carefully.</t>
  </si>
  <si>
    <t>1. Go to APIs &amp; Services\Credentials using https://console.cloud.google.com/apis/credentials
2. In the section API Keys, Click the API Key Name. The API Key properties display on a new page.
3. For every API Key, ensure the section Key restrictions parameter API restrictions is not set to None.
Or, Ensure API restrictions is not set to Google Cloud APIs Note: Google Cloud APIs represents the API collection of all cloud services/APIs offered by Google cloud.
From Google Cloud CLI
1. List all API Keys. gcloud services api-keys list
Each key should have a line that says restrictions: followed by varying parameters and NOT have a line saying - service: cloudapis.googleapis.com as shown here restrictions: apiTargets: - service: cloudapis.googleapis.com</t>
  </si>
  <si>
    <t>From Console:
1. Go to APIs &amp; Services\Credentials using https://console.cloud.google.com/apis/credentials
2. In the section API Keys, Click the API Key Name. The API Key properties display on a new page.
3. In the Key restrictions section go to API restrictions.
4. Click the Select API drop-down to choose an API.
5. Click Save.
6. Repeat steps 2,3,4,5 for every unrestricted API key
Note: Do not set API restrictions to Google Cloud APIs, as this option allows access to all services offered by Google cloud.
From Google Cloud CLI
1. List all API keys. gcloud services api-keys list
2. Note the UID of the key to add restrictions to.
3. Run the update command with the appropriate flags to add the required restrictions. gcloud alpha services api-keys update &lt;UID&gt; &lt;restriction_flags&gt;
Note- Flags can be found by running gcloud alpha services api-keys update --help
or in this documentation https://cloud.google.com/sdk/gcloud/reference/alpha/services/api-keys/update</t>
  </si>
  <si>
    <t>1. https://cloud.google.com/docs/authentication/api-keys
2. https://cloud.google.com/apis/docs/overview</t>
  </si>
  <si>
    <t>1.15 Ensure API Keys Are Rotated Every 90 Days (Automated)</t>
  </si>
  <si>
    <t>API Keys should only be used for services in cases where other authentication methods are unavailable. If they are in use it is recommended to rotate API keys every 90 days.
Additional Information:
There is no option to automatically regenerate (rotate) API keys periodically.</t>
  </si>
  <si>
    <t>Security risks involved in using API-Keys are listed below:
• API keys are simple encrypted strings
• API keys do not identify the user or the application making the API request
• API keys are typically accessible to clients, making it easy to discover and steal an API key
Because of these potential risks, Google recommends using the standard authentication flow instead of API Keys. However, there are limited cases where API keys are more appropriate. For example, if there is a mobile application that needs to use the Google Cloud Translation API, but doesn't otherwise need a backend server, API keys are the simplest way to authenticate to that API.
Once a key is stolen, it has no expiration, meaning it may be used indefinitely unless the project owner revokes or regenerates the key. Rotating API keys will reduce the window of opportunity for an access key that is associated with a compromised or terminated account to be used.
API keys should be rotated to ensure that data cannot be accessed with an old key that might have been lost, cracked, or stolen.
Impact:
Regenerating Key may break existing client connectivity as the client will try to connect with older API keys they have stored on devices.</t>
  </si>
  <si>
    <t>From Google Cloud Console
1. Go to APIs &amp; Services\Credentials using https://console.cloud.google.com/apis/credentials
2. In the section API Keys, for every key ensure the creation date is less than 90 days.
From Google Cloud CLI To list keys, use the command gcloud services api-keys list
Ensure the date in createTime is within 90 days.</t>
  </si>
  <si>
    <t>From Google Cloud Console
1. Go to APIs &amp; Services\Credentials using https://console.cloud.google.com/apis/credentials
2. In the section API Keys, Click the API Key Name. The API Key properties display on a new page.
3. Click REGENERATE KEY to rotate API key.
4. Click Save.
5. Repeat steps 2,3,4 for every API key that has not been rotated in the last 90 days.
Note: Do not set HTTP referrers to wild-cards (* or *.[TLD] or .[TLD]/) allowing access to any/wide HTTP referrer(s) Do not set IP addresses and referrer to any host (0.0.0.0 or 0.0.0.0/0 or ::0)
From Google Cloud CLI There is not currently a way to regenerate and API key using gcloud commands. To 'regenerate' a key you will need to create a new one, duplicate the restrictions from the key being rotated, and delete the old key.
1. List existing keys. gcloud services api-keys list
2. Note the UID and restrictions of the key to regenerate.
3. Run this command to create a new API key. &lt;key_name&gt; is the display name of the new key. gcloud alpha services api-keys create --display-name="&lt;key_name&gt;"
Note the UID of the newly created key
4. Run the update command to add required restrictions.
Note - the restriction may vary for each key. Refer to this documentation for the appropriate flags. https://cloud.google.com/sdk/gcloud/reference/alpha/services/api-keys/update gcloud alpha services api-keys update &lt;UID of new key&gt;
5. Delete the old key. gcloud alpha services api-keys delete &lt;UID of old key&gt;</t>
  </si>
  <si>
    <t>1. https://developers.google.com/maps/api-security-best-practices#regenerate-apikey
2. https://cloud.google.com/sdk/gcloud/reference/alpha/services/api-keys</t>
  </si>
  <si>
    <t>1.16 Ensure Essential Contacts is Configured for Organization (Automated)</t>
  </si>
  <si>
    <t>It is recommended that Essential Contacts is configured to designate email addresses for Google Cloud services to notify of important technical or security information.
Default Value:
By default, there are no Essential Contacts configured.
In the absence of an Essential Contact, the following IAM roles are used to identify users to notify for the following categories:
• Legal: roles/billing.admin
• Security: roles/resourcemanager.organizationAdmin
• Suspension: roles/owner
• Technical: roles/owner
• Technical Incidents: roles/owner</t>
  </si>
  <si>
    <t>Many Google Cloud services, such as Cloud Billing, send out notifications to share important information with Google Cloud users. By default, these notifications are sent to members with certain Identity and Access Management (IAM) roles. With Essential Contacts, you can customize who receives notifications by providing your own list of contacts.
Impact:
There is no charge for Essential Contacts.</t>
  </si>
  <si>
    <t>From Google Cloud Console
1. Go to Essential Contacts by visiting https://console.cloud.google.com/iam-admin/essential-contacts
2. Make sure the organization appears in the resource selector at the top of the page. The resource selector tells you what project, folder, or organization you are currently managing contacts for.
3. Ensure that appropriate email addresses are configured for each of the following notification categories:
• Legal
• Security
• Suspension
• Technical
• Technical Incidents
Alternatively, appropriate email addresses can be configured for the All notification category to receive all possible important notifications.
From Google Cloud CLI
1. To list all configured organization Essential Contacts run a command: gcloud essential-contacts list --organization=&lt;ORGANIZATION_ID&gt;
2. Ensure at least one appropriate email address is configured for each of the following notification categories:
• LEGAL
• SECURITY
• SUSPENSION
• TECHNICAL
• TECHNICAL_INCIDENTS
Alternatively, appropriate email addresses can be configured for the ALL notification category to receive all possible important notifications.</t>
  </si>
  <si>
    <t>From Google Cloud Console
1. Go to Essential Contacts by visiting https://console.cloud.google.com/iam-admin/essential-contacts
2. Make sure the organization appears in the resource selector at the top of the page. The resource selector tells you what project, folder, or organization you are currently managing contacts for.
3. Click +Add contact
4. In the Email and Confirm Email fields, enter the email address of the contact.
5. From the Notification categories drop-down menu, select the notification categories that you want the contact to receive communications for.
6. Click Save
From Google Cloud CLI
1. To add an organization Essential Contacts run a command: gcloud essential-contacts create --email="&lt;EMAIL&gt;" \ --notification-categories="&lt;NOTIFICATION_CATEGORIES&gt;" \ --organization=&lt;ORGANIZATION_ID&gt;</t>
  </si>
  <si>
    <t>1. https://cloud.google.com/resource-manager/docs/managing-notification-contacts</t>
  </si>
  <si>
    <t>1.4 Ensure That There Are Only GCP-Managed Service Account Keys for Each Service Account (Automated)</t>
  </si>
  <si>
    <t>User managed service accounts should not have user-managed keys. 
Deleting user-managed Service Account Keys may break communication with the applications using the corresponding keys.
Default Value:
By default, there are no user-managed keys created for user-managed service accounts.
Additional Information:
A user-managed key cannot be created on GCP-Managed Service Accounts.</t>
  </si>
  <si>
    <t>Anyone who has access to the keys will be able to access resources through the service account. GCP-managed keys are used by Cloud Platform services such as App Engine and Compute Engine. These keys cannot be downloaded. Google will keep the keys and automatically rotate them on an approximately weekly basis. User-managed keys are created, downloadable, and managed by users. They expire 10 years from creation.
For user-managed keys, the user has to take ownership of key management activities which include:
• Key storage
• Key distribution
• Key revocation
• Key rotation
• Protecting the keys from unauthorized users
• Key recovery
Even with key owner precautions, keys can be easily leaked by common development malpractices like checking keys into the source code or leaving them in the Downloads directory, or accidentally leaving them on support blogs/channels.
It is recommended to prevent user-managed service account keys.</t>
  </si>
  <si>
    <t>Audit:
From Google Cloud Console
1. Go to the IAM page in the GCP Console using https://console.cloud.google.com/iam-admin/iam
2. In the left navigation pane, click Service accounts. All service accounts and their corresponding keys are listed.
3. Click the service accounts and check if keys exist.
From Google Cloud CLI List All the service accounts: gcloud iam service-accounts list
Identify user-managed service accounts as such account EMAIL ends with iam.gserviceaccount.com For each user-managed service account, list the keys managed by the user: gcloud iam service-accounts keys list --iam-account=&lt;Service Account&gt; --managed-by=user
No keys should be listed.
Prevention: You can disable service account key creation through the Disable service account key creation Organization policy by visiting https://console.cloud.google.com/iam-admin/orgpolicies/iam-disableServiceAccountKeyCreation. Learn more at: https://cloud.google.com/resource-manager/docs/organization-policy/restricting-service-accounts In addition, if you do not need to have service accounts in your project, you can also prevent the creation of service accounts through the Disable service account creation Organization policy: https://console.cloud.google.com/iam-admin/orgpolicies/iam-disableServiceAccountCreation.</t>
  </si>
  <si>
    <t>Remediation:
From Google Cloud Console
1. Go to the IAM page in the GCP Console using https://console.cloud.google.com/iam-admin/iam
2. In the left navigation pane, click Service accounts. All service accounts and their corresponding keys are listed.
3. Click the service account.
4. Click the edit and delete the keys.
From Google Cloud CLI To delete a user managed Service Account Key, gcloud iam service-accounts keys delete --iam-account=&lt;user-managed-service-account-EMAIL&gt; &lt;KEY-ID&gt;</t>
  </si>
  <si>
    <t>References:
1. https://cloud.google.com/iam/docs/understanding-service-accounts#managing_service_account_keys
2. https://cloud.google.com/resource-manager/docs/organization-policy/restricting-service-accounts</t>
  </si>
  <si>
    <t>1.7 Ensure User-Managed/External Keys for Service Accounts Are Rotated Every 90 Days or Fewer (Automated)</t>
  </si>
  <si>
    <t>Service Account keys consist of a key ID (Private_key_Id) and Private key, which are used to sign programmatic requests users make to Google cloud services accessible to that particular service account. It is recommended that all Service Account keys are regularly rotated.
Additional Information:
For user-managed Service Account key(s), key management is entirely the user's responsibility.</t>
  </si>
  <si>
    <t>Rotating Service Account keys will reduce the window of opportunity for an access key that is associated with a compromised or terminated account to be used. Service Account keys should be rotated to ensure that data cannot be accessed with an old key that might have been lost, cracked, or stolen.
Each service account is associated with a key pair managed by Google Cloud Platform (GCP). It is used for service-to-service authentication within GCP. Google rotates the keys daily.
GCP provides the option to create one or more user-managed (also called external key pairs) key pairs for use from outside GCP (for example, for use with Application Default Credentials). When a new key pair is created, the user is required to download the private key (which is not retained by Google). With external keys, users are responsible for keeping the private key secure and other management operations such as key rotation. External keys can be managed by the IAM API, gcloud command-line tool, or the Service Accounts page in the Google Cloud Platform Console. GCP facilitates up to 10 external service account keys per service account to facilitate key rotation.
Impact:
Rotating service account keys will break communication for dependent applications. Dependent applications need to be configured manually with the new key ID displayed in the Service account keys section and the private key downloaded by the user.</t>
  </si>
  <si>
    <t>From Google Cloud Console
1. Go to APIs &amp; Services\Credentials using https://console.cloud.google.com/apis/credentials
2. In the section Service Account Keys, for every External (user-managed) service account key listed ensure the creation date is within the past 90 days.
From Google Cloud CLI
1. List all Service accounts from a project. gcloud iam service-accounts list
2. For every service account list service account keys. gcloud iam service-accounts keys list --iam-account [Service_Account_Email_Id] --format=json
3. Ensure every service account key for a service account has a "validAfterTime" value within the past 90 days.</t>
  </si>
  <si>
    <t>From Google Cloud Console Delete any external (user-managed) Service Account Key older than 90 days:
1. Go to APIs &amp; Services\Credentials using https://console.cloud.google.com/apis/credentials
2. In the Section Service Account Keys, for every external (user-managed) service account key where creation date is greater than or equal to the past 90 days, click Delete Bin Icon to Delete Service Account key
Create a new external (user-managed) Service Account Key for a Service Account:
1. Go to APIs &amp; Services\Credentials using https://console.cloud.google.com/apis/credentials
2. Click Create Credentials and Select Service Account Key.
3. Choose the service account in the drop-down list for which an External (user-managed) Service Account key needs to be created.
4. Select the desired key type format among JSON or P12.
5. Click Create. It will download the private key. Keep it safe.
6. Click Close if prompted.
7. The site will redirect to the APIs &amp; Services\Credentials page. Make a note of the new ID displayed in the Service account keys section.
Default Value:
GCP does not provide an automation option for External (user-managed) Service key rotation.</t>
  </si>
  <si>
    <t>1. https://cloud.google.com/iam/docs/understanding-service-accounts#managing_service_account_keys
2. https://cloud.google.com/sdk/gcloud/reference/iam/service-accounts/keys/list
3. https://cloud.google.com/iam/docs/service-accounts</t>
  </si>
  <si>
    <t>4.8 Ensure Compute Instances Are Launched With Shielded VM Enabled (Automated)</t>
  </si>
  <si>
    <t>To defend against advanced threats and ensure that the boot loader and firmware on your VMs are signed and untampered, it is recommended that Compute instances are launched with Shielded VM enabled.</t>
  </si>
  <si>
    <t>Shielded VMs are virtual machines (VMs) on Google Cloud Platform hardened by a set of security controls that help defend against rootkits and bootkits.
Shielded VM offers verifiable integrity of your Compute Engine VM instances, so you can be confident your instances haven't been compromised by boot- or kernel-level malware or rootkits. Shielded VM's verifiable integrity is achieved through the use of Secure Boot, virtual trusted platform module (vTPM)-enabled Measured Boot, and integrity monitoring.
Shielded VM instances run firmware which is signed and verified using Google's Certificate Authority, ensuring that the instance's firmware is unmodified and establishing the root of trust for Secure Boot.
Integrity monitoring helps you understand and make decisions about the state of your VM instances and the Shielded VM vTPM enables Measured Boot by performing the measurements needed to create a known good boot baseline, called the integrity policy baseline. The integrity policy baseline is used for comparison with measurements from subsequent VM boots to determine if anything has changed.
Secure Boot helps ensure that the system only runs authentic software by verifying the digital signature of all boot components, and halting the boot process if signature verification fails.</t>
  </si>
  <si>
    <t>From Google Cloud Console
1. Go to the VM instances page by visiting: https://console.cloud.google.com/compute/instances.
2. Click on the instance name to see its VM instance details page.
3. Under the section Shielded VM, ensure that vTPM and Integrity Monitoring are on.
From Google Cloud CLI
1. For each instance in your project, get its metadata: gcloud compute instances list --format=json | jq -r '. | "vTPM: \(.[].shieldedInstanceConfig.enableVtpm) IntegrityMonitoring: \(.[].shieldedInstanceConfig.enableIntegrityMonitoring) Name: \(.[].name)"'
2. Ensure that there is a shieldedInstanceConfig configuration and that configuration has the enableIntegrityMonitoring and enableVtpm set to true. If the VM is not a Shield VM image, you will not see a shieldedInstanceConfig` in the output.
Additional Information:
If you do use custom or unsigned drivers on the instance, enabling Secure Boot will cause the machine to no longer boot. Turn on Secure Boot only on instances that have been verified to not have any custom drivers installed.</t>
  </si>
  <si>
    <t>To be able turn on Shielded VM on an instance, your instance must use an image with Shielded VM support. From Google Cloud Console
1. Go to the VM instances page by visiting: https://console.cloud.google.com/compute/instances.
2. Click on the instance name to see its VM instance details page.
3. Click STOP to stop the instance.
4. When the instance has stopped, click EDIT.
5. In the Shielded VM section, select Turn on vTPM and Turn on Integrity Monitoring.
6. Optionally, if you do not use any custom or unsigned drivers on the instance, also select Turn on Secure Boot.
7. Click the Save button to modify the instance and then click START to restart it.
From Google Cloud CLI You can only enable Shielded VM options on instances that have Shielded VM support. For a list of Shielded VM public images, run the gcloud compute images list command with the following flags: gcloud compute images list --project gce-uefi-images --no-standard-images
1. Stop the instance: gcloud compute instances stop &lt;INSTANCE_NAME&gt;
2. Update the instance: gcloud compute instances update &lt;INSTANCE_NAME&gt; --shielded-vtpm --shielded-vm-integrity-monitoring
3. Optionally, if you do not use any custom or unsigned drivers on the instance, also turn on secure boot. gcloud compute instances update &lt;INSTANCE_NAME&gt; --shielded-vm-secure-boot
4. Restart the instance: gcloud compute instances start &lt;INSTANCE_NAME&gt;
Prevention: You can ensure that all new VMs will be created with Shielded VM enabled by setting up an Organization Policy to for Shielded VM at https://console.cloud.google.com/iam-admin/orgpolicies/compute-requireShieldedVm. Learn more at: https://cloud.google.com/security/shielded-cloud/shielded-vm#organization-policy-constraint.
Default Value:
By default, Compute Instances do not have Shielded VM enabled.</t>
  </si>
  <si>
    <t>1. https://cloud.google.com/compute/docs/instances/modifying-shielded-vm
2. https://cloud.google.com/shielded-vm
3. https://cloud.google.com/security/shielded-cloud/shielded-vm#organization-policy-constraint</t>
  </si>
  <si>
    <t>CP</t>
  </si>
  <si>
    <t>סוג הנכס</t>
  </si>
  <si>
    <t xml:space="preserve"> תיאור מפורט</t>
  </si>
  <si>
    <t>תיאור בקרת ספק</t>
  </si>
  <si>
    <t>רמת בקרה</t>
  </si>
  <si>
    <t>הסבר</t>
  </si>
  <si>
    <t>אופן מימוש הבקרה</t>
  </si>
  <si>
    <t>קישורים יישימים</t>
  </si>
  <si>
    <t>סוג הבקרה</t>
  </si>
  <si>
    <t>Type of control</t>
  </si>
  <si>
    <t>Cloud Provider control</t>
  </si>
  <si>
    <t>Actively manage (inventory, track, and correct) all enterprise assets (end user devices, including portable and mobile network devices non computing/Internet of Things (IoT) devices and servers) connected to the infrastructure physically  virtually  remotely  those within cloud environments, to accurately know the totality of assets that need to be monitored and protected within the enterprise. This will also support identifying unauthorized and unmanaged assets to remove or remediate.</t>
  </si>
  <si>
    <t>כן</t>
  </si>
  <si>
    <t xml:space="preserve">אזהרה!!! </t>
  </si>
  <si>
    <t>שינוי מילים או מיקומי שדות ועדכון נוסחאות ישפיעו על תוצאות המחשבון</t>
  </si>
  <si>
    <t>â</t>
  </si>
  <si>
    <t>סיכום רמת רגישות מידע/מערכת שורשי</t>
  </si>
  <si>
    <t>תוצאת רמת הסיכון השורשית</t>
  </si>
  <si>
    <t>תוצאת רמת הסיכון השיורי</t>
  </si>
  <si>
    <t>כמות בקרות
 C</t>
  </si>
  <si>
    <t>כמות בקרות
 I</t>
  </si>
  <si>
    <t>כמות בקרות
 A</t>
  </si>
  <si>
    <t>מופעל</t>
  </si>
  <si>
    <t>סה"כ</t>
  </si>
  <si>
    <t>לא מופעל</t>
  </si>
  <si>
    <t>הכי נמוך</t>
  </si>
  <si>
    <t>חישוב הנזק השיורי</t>
  </si>
  <si>
    <t>קיים CONSTRAINT ברמה ה-LZ לחסימת חשיפת Cloud SQL לאינטרנט.
אחריות המשרד להקשיח את ה-Cloud SQL.</t>
  </si>
  <si>
    <t>ניתן ברמת ה-LZ הממשלתי.</t>
  </si>
  <si>
    <t>ב-GCP המשרדים אחראים על המשתמשים שלהם ועל ההרשאות והם האדמין של ה-Folder כולל ההרשאות, משתמשים, משאבים ועוד.
על המשרד לממש Separation of Duties עבור ה-Service Accounts שלו.</t>
  </si>
  <si>
    <t>באחריות המשרד.</t>
  </si>
  <si>
    <t>המשרד הוא האדמין לכל מה שקשור למערכת ה-KMS שלו כולל יצירת מפתחות, החלפתם, יצירת תעודות ומפתחות הצפנה.
באחריות המשרד.</t>
  </si>
  <si>
    <t>כחלק מיצירת פרויקט בתשתית GCP, נוצרים 3 באקטים של לוגים. Security
API
Custom
בבאקט אבטחת המידע בתשתית ה-LZ הממשלתי הלוגים נאספים בצורה אוטומטית ונשלח לניטור הממשלתי המרכזי (SIEM) ולא ניתן למחוק את הבאקט הזה במשך 400 יום (Bucket Lock).</t>
  </si>
  <si>
    <t>במידה וקורית תקלה בסביבת המשרד - על המשרד לאשר או למנוע מצוות התמיכה של גוגל מלגשת למשאבים המשרדיים.
באחריות המשרד.</t>
  </si>
  <si>
    <t>לדוגמא, אכיפת הצפנה על באקטים מופעלת באופן דיפולטיבי על ידי CONSTRAINT.
ניתן ברמת ה-LZ הממשלתי.</t>
  </si>
  <si>
    <t>באחריות המשרד להקשיח את שירות ה-CLOUD SQL בו מתבצע שימוש במשרד.</t>
  </si>
  <si>
    <t>קיים CONSTRAINT ברמת ה-LZ הממשלתי המונע פתיחת PUBLIC IP .
קיים מנגנון המופעל ברמת ה-LZ הממשלתי הנקרא PAP (PUBLIC ACCESS PREVENTION) 
יציאה לאינטרנט תתבצע אך ורק דרך ה-GLB (עבור תעבורת HTTPS) המשויך למשרד על ידי ה-LZ הממשלתי או דרך פתרון ה-CP + PROXY או דרך ה-NLB עבור תעבורת TCP UDP.
באחריות המשרד להקשיח את שירות ה-CLOUD SQL בו מתבצע שימוש במשרד.</t>
  </si>
  <si>
    <t>ה-LZ הממשלתי חוסם שימוש ב-RESTRICTED TLS VERSIONS (למשל TLS 1.1 נחסם באופן דיפולטיבי)</t>
  </si>
  <si>
    <t>לא ניתן לבצע SSH בעקבות הקשחה של כתובות IP חסומות לעולם ב-LZ הממשלתי.
עדיין מומלץ, באחריות המשרד, להקשיח בנוסף את ההקשחה  ב-VPC FIREWALL וב-CHECKPOINT.</t>
  </si>
  <si>
    <t>באחריות המשרד לקנפג את ה-APP ENGINE שלו.
ברמת ה-GLB, ה-LZ הממשלתי מאפשרים רק HTTPS , וקיים ניטור על המשרדים במידה ותוגדר אפליקציה בפורט 80 - תתבצע פנייה יזומה ליה"ב.</t>
  </si>
  <si>
    <t>באחריות המשרד לקנפג את ה-CLOUD SQL DATABASE שלו ולהטמיע את התעודה שבשליטתו על ידי ה-CERTIFICATE MANAGER.</t>
  </si>
  <si>
    <t>באחריות המשרד לקנפג את ה-KMS שבאחריותו לשחלוף מפתחות.</t>
  </si>
  <si>
    <t>באחריות המשרד לקנפג את ה-DATAPROC שבאחריותו.</t>
  </si>
  <si>
    <t>באחריות המשרד לקנפג את SECRET MANAGER שבאחריותו ולממש באמצעותו שימוש ב-SECRETS באופן מאובטח.</t>
  </si>
  <si>
    <t>באחריות המשרד להשתמש במפתחות CSEK במכונות הקריטיות להם.
ניתן להשתמש בשירות TPM של גוגל (BINARY AUTORIZATION).</t>
  </si>
  <si>
    <t>באחריות המשרד להפעיל את ההצפנה עבור המידע בשימוש (DATA IN USE).</t>
  </si>
  <si>
    <t>באחריות המשרד להקשיח את ה-BIG QUERY המשרדי לשימוש בהצפנה עם מפתחות לקוח.</t>
  </si>
  <si>
    <t>באחריות המשרד להקשיח את ה-BIG QUERY המשרדי.</t>
  </si>
  <si>
    <t>ניתן ברמת ה-LZ הממשלתי.
מניעת יצירת DEFAULT NETWORK בעת יצירת PROJECT חדש.</t>
  </si>
  <si>
    <t>באחריות המשרד לוודא כי לא קיימות רשתות LEGACY באחריותו. לא רלוונטי כל כך.</t>
  </si>
  <si>
    <t>לא ניתן באמצעות ה-LZ הממשלתי. לבחון האם נדרש למימוש ברמה המשרדית בהנחה שעובדים עם ה-DNS של GOOGLE ויחד עם CISCO UMBERLLA שקיים בתשתית ה-LZ הממשלתית.</t>
  </si>
  <si>
    <t>בקרה זו לא מיושמת ב-LZ הממשלתי בהמלצת גוגל.
בתשתית המשרדית קיים CP משרדי שהוא אחראי עליו, לכל CP כזה קיימים 4 כרטיסי תקשורת (NICS) שלא יוכלו לתפקד כמו שצריך אם תיחסם IP FORWARDING.</t>
  </si>
  <si>
    <t>לא ניתן לגשת ב-RDP בעקבות הקשחה של כתובות IP חסומות לעולם ב-LZ הממשלתי.
בנוסף קיימת הקשחה של חסימת RDP בהנחיית יה"ב ב-CP המשרדי.
עדיין מומלץ, באחריות המשרד, להקשיח בנוסף את ההקשחה  ב-VPC FIREWALL וב-CHECKPOINT.</t>
  </si>
  <si>
    <t>מתקבל ברמת ה-LZ הממשלתי.
על מנת שלא תתאפשר מתקפת PRIVILEGE ESCALATION , יש למנוע מהגדרה של SERVICE ACCOUNTS הדיפולטיבי שהוא עם הרשאות EDITOR.</t>
  </si>
  <si>
    <t>קיימת הגבלה לשימוש בסוגי ה-API המותרים ברמת ה-LZ הממשלתי.</t>
  </si>
  <si>
    <t>קיים ברמת ה-LZ הממשלתי</t>
  </si>
  <si>
    <t>נחסמת כתובת IP חיצונית ברמת ה-LZ הממשלתית. באחריות המשרד להקשיח את ה-CLOUD SQL המשרדי.</t>
  </si>
  <si>
    <t>ה-CP המשרדי מונע חיבור SSH ברמת ה-LZ הממשלתי אך על המשרד להקשיח את ההקשחה המפורטת בכל מקרה.</t>
  </si>
  <si>
    <t>באחריות המשרד להקשיח את ה-SERVICE ACCOUNTS שהוא יוצר ולא לאפשר הרשאות ADMIN.</t>
  </si>
  <si>
    <t>המשרד אחראי על ניהול הזהויות שלו ועליו להגדיר את ה-IDENTITY AWARE PROXY עבור הזהויות המשרדיות שלו אם נדרש.</t>
  </si>
  <si>
    <t>כל מערכת הפעלה מחייבת OSLOGIN ברמת ה-LZ הממשלתי.</t>
  </si>
  <si>
    <t>יצירת ACCESS KEYS ל-SERVICE  ACCOUNTS וייצוא שלו, נחסמת על ידי ה-LZ הממשלתי.</t>
  </si>
  <si>
    <t>מופעל MFA על כל המשתמשים ברמת ה-LZ הממשלתי.</t>
  </si>
  <si>
    <t>באחריות כל משרד ל-FOLDER שלו.</t>
  </si>
  <si>
    <t>ניתן באמצעות ה-LZ הממשלתי.</t>
  </si>
  <si>
    <t>באחריות המשרד לממש עבור ה-PROJECTS שלו מול ה-SOC הממשלתי.</t>
  </si>
  <si>
    <t>באחריות המשרד לקנפג את זה על מנת שצוות התמיכה של גוגל ופעולותיו ינוטרו ב-AUDIT LOGS.</t>
  </si>
  <si>
    <t>ניתן כחלק מה-LZ הממשלתי.
גם ה-GLB וגם ה-CLOUD ARMOR המשרדיים (איזור אדום, אחריות משותפת)</t>
  </si>
  <si>
    <t>לא מופעל באופן דיפולטיבי על ידי ה-LZ הממשלתי. שירות בתשלום גבוה.</t>
  </si>
  <si>
    <t>באחריות המשרד לקנפג את ה-CLOUD SQL המשרדי.</t>
  </si>
  <si>
    <t>באחריות המשרד לנהל את ה-API KEYS המשרדיים.</t>
  </si>
  <si>
    <t>פרטי המערכת</t>
  </si>
  <si>
    <t>ניהול סיכונים</t>
  </si>
  <si>
    <t>אסטרטגיה</t>
  </si>
  <si>
    <t>ניהול פיננסי</t>
  </si>
  <si>
    <t>מדיניות כלכלת ענן ממומשת במלואה</t>
  </si>
  <si>
    <t>קיים מערכות ניטור פנימיות</t>
  </si>
  <si>
    <t>מדיניות כלכלת ענן נמצאת בשלבי יישום</t>
  </si>
  <si>
    <t>קיים ניטור צד ג' ( ספק חיצוני)</t>
  </si>
  <si>
    <t>לא קיים תקציב ייעודי, אך מוקצה תקציב בעת הצורך, באופן נקודתי</t>
  </si>
  <si>
    <t>מדיניות כלכלת הענן נמצאת בשלבי למידה</t>
  </si>
  <si>
    <t>אין היכרות עם מדיניות כלכלת הענן</t>
  </si>
  <si>
    <t>אחר</t>
  </si>
  <si>
    <t>האם הנהלת הארגון מודעת לתהליך המעבר לענן?</t>
  </si>
  <si>
    <t>האם הוגדרה אסטאטגיה ארגונית למעבר לענן?</t>
  </si>
  <si>
    <t>האם ממונה התמ"ק עבר הכשרות לתחום הענן?</t>
  </si>
  <si>
    <t>האם לארגון יש תשתיות לניטור ותפעול בתחום אבטחת מידע לסביבת הענן?</t>
  </si>
  <si>
    <t>כשירות ארגונית לגופי תמ"ק</t>
  </si>
  <si>
    <t>ממונה תמ"ק</t>
  </si>
  <si>
    <t>שם הגוף המונחה</t>
  </si>
  <si>
    <t>שם פרויקט</t>
  </si>
  <si>
    <t>הגדרות סיווג אופי המידע במערכת (בסיווג בלמ"ס)</t>
  </si>
  <si>
    <t>מידע בלמ"ס</t>
  </si>
  <si>
    <t>שמור צהוב</t>
  </si>
  <si>
    <t>שמור אדום</t>
  </si>
  <si>
    <t>סודי</t>
  </si>
  <si>
    <t>סיווג המידע</t>
  </si>
  <si>
    <t>מידע, אשר אם יגיעו לידי גורם שאיננו מוסמך לכך, לא ייגרם נזק ביטחוני</t>
  </si>
  <si>
    <t>תוצאת סיווג ואופי המידע</t>
  </si>
  <si>
    <t xml:space="preserve">הערכת סיווג ואופי המידע          </t>
  </si>
  <si>
    <t>מאפייני מערכת</t>
  </si>
  <si>
    <t>מאפייני מידע</t>
  </si>
  <si>
    <t>אופן המגרציה לענן</t>
  </si>
  <si>
    <t>rehost</t>
  </si>
  <si>
    <t>refactor</t>
  </si>
  <si>
    <t>replatform</t>
  </si>
  <si>
    <t>סביבות במערכת</t>
  </si>
  <si>
    <t>זמינות המערכת (SLA) דרושה</t>
  </si>
  <si>
    <t>מידת הפגיעה בשירותי זמן אמת (Real Time Services) כתוצאה מפגיעה במערכת</t>
  </si>
  <si>
    <t>מה מידת ההשפעה של פגיעה במערכת על גישה\הפעילות השוטפת של מערכות אחרות בארגון</t>
  </si>
  <si>
    <t>מה היא תצורת השרידות של המערכת</t>
  </si>
  <si>
    <t>מה מידת ההשפעה של פגיעה במערכת על ניהול התשתיות הטכנולוגיות בחברה (ניטור, ממשק ניהול, API, רשת,גיבויים וכו)</t>
  </si>
  <si>
    <t>הסתמכות המערכת על ממשקי התקשרות חיצונית (תיבת מייל, CHAT BOT, וואצאפ\SMS נכנס, טעינה ועיבוד קבצים)</t>
  </si>
  <si>
    <t>בהתאם להגדרות התו"ל</t>
  </si>
  <si>
    <t>מהם תהליכי ההזדהות למערכת (עבור משתמשים)</t>
  </si>
  <si>
    <t>אופן הגישה למערכת (עבור משתמשים)</t>
  </si>
  <si>
    <t xml:space="preserve">תצורת הגישה </t>
  </si>
  <si>
    <t>כמות משתמשים פנימיים</t>
  </si>
  <si>
    <t>כמות משתמשים ספק חיצוני</t>
  </si>
  <si>
    <t>כמות משתמשים ציבוריים</t>
  </si>
  <si>
    <t>אופן הגישה למערכת (עבור ניהול המערכת)</t>
  </si>
  <si>
    <t>משתמשים והזדהות</t>
  </si>
  <si>
    <t>משאבי כ"א בתחום הענן</t>
  </si>
  <si>
    <t xml:space="preserve"> מדיניות, שיטות, נהלים ותהליכים</t>
  </si>
  <si>
    <t>ממשקים</t>
  </si>
  <si>
    <t>אופן היישום בענן</t>
  </si>
  <si>
    <t>תדירות הקישור לממשקים</t>
  </si>
  <si>
    <t>פרוטוקולים בשימוש הממשק</t>
  </si>
  <si>
    <t>ארכיטקטורה</t>
  </si>
  <si>
    <t xml:space="preserve">האם קיים אינטגרטור אשר מנהל בפועל את השימוש הענן? </t>
  </si>
  <si>
    <t>האם המערכת תשתמש  ביותר מסביבה עננית אחת?</t>
  </si>
  <si>
    <t>האם הספק רשום במאגר הספקים וחברות שרשרת האספקה "מערכת יובל"</t>
  </si>
  <si>
    <t>האם מוגדר כספק מהותי</t>
  </si>
  <si>
    <t>ספק א'</t>
  </si>
  <si>
    <t>תפקיד הספק</t>
  </si>
  <si>
    <t>שם הספק</t>
  </si>
  <si>
    <t>האם הארגון משתמש באינטגרטור מוסמך על ידי הספק להקמת המערכת?</t>
  </si>
  <si>
    <t>מאפייני הספקים</t>
  </si>
  <si>
    <t>האם הספקים רשומים במאגר הספקים וחברות שרשרת האספקה "מערכת יובל"</t>
  </si>
  <si>
    <t>האם יש לספקים ביטוח סייבר אשר כולל בין היתר שיפוי לנזקים עבור צד ג'</t>
  </si>
  <si>
    <t>האם הספקים עברו תהליכי בדיקות מהימנות לספק ולעובדים בפרויקט?</t>
  </si>
  <si>
    <t>תלות בספק</t>
  </si>
  <si>
    <t>האם הספקים עומדים בהסמכות ISO 27K</t>
  </si>
  <si>
    <t>מספר הספקים בפרויקט</t>
  </si>
  <si>
    <t>ספק ב'</t>
  </si>
  <si>
    <t>משך האחסון המקסימלי של מידע בענן?</t>
  </si>
  <si>
    <t>האם המידע יוצפן בתנועה?</t>
  </si>
  <si>
    <t>האם המידע במערכת יוצפן במנוחה?</t>
  </si>
  <si>
    <t xml:space="preserve">האם המערכת משלבת שירותים מרובדי נימבוס </t>
  </si>
  <si>
    <t>רובד 1</t>
  </si>
  <si>
    <t>רובד 5</t>
  </si>
  <si>
    <t>לא בנימבוס</t>
  </si>
  <si>
    <t>האם מתקיימים ממשקי API מול מערכות מחוץ לשדרת המידע</t>
  </si>
  <si>
    <t>סוג איזור הנחיתה</t>
  </si>
  <si>
    <t>LZ ממשלתי</t>
  </si>
  <si>
    <t>עצמאי</t>
  </si>
  <si>
    <t>האם המידע יעובד בישראל</t>
  </si>
  <si>
    <t>האם המידע ישמר בישראל?</t>
  </si>
  <si>
    <t>מה אופן השימוש המתוכנן בנתונים בענן?</t>
  </si>
  <si>
    <t xml:space="preserve">סוג הגישה למערכת </t>
  </si>
  <si>
    <t>נזק כלכלי לארגון כתוצאה מפגיעה בספק</t>
  </si>
  <si>
    <t>רמת הנזק הצפוי לאגון מהספק</t>
  </si>
  <si>
    <t>מידת הפגיעה ברציפות העסקית מפגיעה בספק</t>
  </si>
  <si>
    <t>רמת רגישות המידע הנגיש לספק</t>
  </si>
  <si>
    <t>סבירות להתממשות אירוע כתוצאה מההתקשרות</t>
  </si>
  <si>
    <t>מערכות הגנה</t>
  </si>
  <si>
    <t>האם תוטמע מערכת חומת אש אפליקטיבית Web Application Firwall (WAF)</t>
  </si>
  <si>
    <t>האם תוטמע מערכת לזיהוי ושיקום מתקדמת XDR</t>
  </si>
  <si>
    <t>האם תוטמע מערכת אבטחת צופן ייעודית (HSM)</t>
  </si>
  <si>
    <t>האם תוטמע מערכת ניהול בקרת תצורת אבטחת ענן (CSPM)</t>
  </si>
  <si>
    <t>האם תוטמע מערכת ניהול התראות אבטחה מרכזית (SIEM)</t>
  </si>
  <si>
    <t>האם תוטמע מערכת ניהול זהויות מרכזית (IDP)</t>
  </si>
  <si>
    <t>הגנת סביבות פיתוח</t>
  </si>
  <si>
    <t>הגנת רשת</t>
  </si>
  <si>
    <t>האם תוטמע מערכת האצת תוכן (CDN)</t>
  </si>
  <si>
    <t>האם תוטמע מערכת אבטחת אינטרנט של דברים (IOT)</t>
  </si>
  <si>
    <t>האם תוטמע מערכת גילוי משטחת תקיפה חיצוני (EASM)</t>
  </si>
  <si>
    <t>ניהול זהויות</t>
  </si>
  <si>
    <t>האם תוטמע מערכת ניהול חשיפות תוכנה (Automated patch management)</t>
  </si>
  <si>
    <t>פוגענים ונוזקות</t>
  </si>
  <si>
    <t>הגנת סביבת ענן</t>
  </si>
  <si>
    <t>האם תוטמע מערכת ציד מודיעין עסקי (Threat Intelligence)</t>
  </si>
  <si>
    <t>ניטור ותגובה</t>
  </si>
  <si>
    <t>האם תוטמע מערכת תגובה לאירועים באופן אוטומטי (SOAR)</t>
  </si>
  <si>
    <t>אבטחת מידע</t>
  </si>
  <si>
    <t>האם תוטמע מערכת למניעת איבוד מידע (DLP)</t>
  </si>
  <si>
    <t>האם תוטמע מערכת לשמירה על פרטיות מידע (Data Privecy)</t>
  </si>
  <si>
    <t>האם תוטמע מערכת סוכן אבטחה של גישה לענן (CASB)</t>
  </si>
  <si>
    <t>האם תוטמע מערכת אבטחת ממשקים (API Gateway)</t>
  </si>
  <si>
    <t>ציון מקסימלי</t>
  </si>
  <si>
    <t>ציון</t>
  </si>
  <si>
    <t>תשובה 1</t>
  </si>
  <si>
    <t>תשובה 2</t>
  </si>
  <si>
    <t>תשובה 3</t>
  </si>
  <si>
    <t>תשובה 4</t>
  </si>
  <si>
    <t>בין 2-5</t>
  </si>
  <si>
    <t xml:space="preserve">מערכת אחת </t>
  </si>
  <si>
    <t>כמות מערכות בארגון עלו לענן?</t>
  </si>
  <si>
    <t>דומיין</t>
  </si>
  <si>
    <t>כשירות ארגונית</t>
  </si>
  <si>
    <t>פרופיל מערכת</t>
  </si>
  <si>
    <t>שרשרת אספקה</t>
  </si>
  <si>
    <t>אחוז אי העמידה בתקן</t>
  </si>
  <si>
    <t>משקל</t>
  </si>
  <si>
    <t>אחסון לתווך זמן קצר (ימים בודדים)</t>
  </si>
  <si>
    <t>אחסון לצורך עיבוד בלבד (עד יום)</t>
  </si>
  <si>
    <t>אחסון לתווך בינוני (מספר שבועות עד 6 חודשים)</t>
  </si>
  <si>
    <t>אחסון ארוך תווך מעל 6 חודשים</t>
  </si>
  <si>
    <t>סביבות פיתוח</t>
  </si>
  <si>
    <t>סביבת פיתוח או בדיקות</t>
  </si>
  <si>
    <t>סביבת בדיקות וסביבת ייצור</t>
  </si>
  <si>
    <t>סביבת ייצור בלבד</t>
  </si>
  <si>
    <t>פלטינה 99.999% - פחות מ 6 דקות השבתה בשנה</t>
  </si>
  <si>
    <t>זהב 99.99% - עד 1 שעת השבתה בשנה</t>
  </si>
  <si>
    <t>כסף 99.9% - עד 9 שעות השבתה בשנה</t>
  </si>
  <si>
    <t>זמינות Best Effort</t>
  </si>
  <si>
    <t xml:space="preserve">פגיעה ניכרת לאספקת שירות אסטרטגי בביקוש גבוהה </t>
  </si>
  <si>
    <t xml:space="preserve">חריגה של עד מספר שעות לאספקת שירות אסטרטגי </t>
  </si>
  <si>
    <t>חריגה של 1-3 יממות באספקת שירות לא אסטרטגי</t>
  </si>
  <si>
    <t>השפעה נמוכה מאוד על שירות לא אסטרטגי</t>
  </si>
  <si>
    <t>פגיעה מהותית ביכולת הגישה\הפעילות שוטפת של מערכות פנימיות קריטיות</t>
  </si>
  <si>
    <t>פגיעה חלקית ביכולת הגישה\הפעילות השוטפת של מערכות פנימיות קריטיות</t>
  </si>
  <si>
    <t>פגיעה מצומצמת בפעילות השוטפת של מערכות פנימיות</t>
  </si>
  <si>
    <t>ללא פגיעה או השפעה על פעילות של מערכות פנימיות</t>
  </si>
  <si>
    <t>פגיעה עקיפה לתהליך קריטי בארגון</t>
  </si>
  <si>
    <t>פגיעה עקיפה לתהליך קבלת החלטות בנוגע לתהליך פיזי בארגון</t>
  </si>
  <si>
    <t>ללא השפעה או פגיעה בתהליך פיזי בארגון</t>
  </si>
  <si>
    <t xml:space="preserve">פגיעה ישירה בתהליך ראשי פיזי (קינטי) קריטי לארגון </t>
  </si>
  <si>
    <t xml:space="preserve">שרידות מלאה אוטומטית (גיבוי חם) </t>
  </si>
  <si>
    <t xml:space="preserve">שרידות מלאה ידנית </t>
  </si>
  <si>
    <t xml:space="preserve">שרידות חלקית אוטומטית </t>
  </si>
  <si>
    <t xml:space="preserve">שרידות חלקית ידנית </t>
  </si>
  <si>
    <t xml:space="preserve">פגיעה רוחבית למערכת ניהול תשתיות קריטיות </t>
  </si>
  <si>
    <t>פגיעה מצומצמת למערכת ניהול תשתיות קריטיות</t>
  </si>
  <si>
    <t>פגיעה חלקית בפונקציונליות של מערכת בודדת לניהול תשתיות לא קריטיות</t>
  </si>
  <si>
    <t>ללא השפעה על פעילות מערכות ניהול תשתיות</t>
  </si>
  <si>
    <t>אפליקציה ייעודית ברשת הארגון</t>
  </si>
  <si>
    <t>WEB מתוך הארגון בלבד</t>
  </si>
  <si>
    <t>מובייל או אפליקציה מהאינטרנט או מהארגון</t>
  </si>
  <si>
    <t>Web או מובייל או אפליקציה מהאינטרנט</t>
  </si>
  <si>
    <t>בין 5-50 משתמשים</t>
  </si>
  <si>
    <t>מעל 100 משתמשים</t>
  </si>
  <si>
    <t>בין 50-100 משתמשים</t>
  </si>
  <si>
    <t>בודדים עד 5 משתמשים</t>
  </si>
  <si>
    <t xml:space="preserve"> לא קיימת הזדהות</t>
  </si>
  <si>
    <t xml:space="preserve"> שם משתמש וסיסמא</t>
  </si>
  <si>
    <t>התחברות SSO ציבורית\צד ג'</t>
  </si>
  <si>
    <t>הזדהות רב שלבית ארגונית</t>
  </si>
  <si>
    <t>המערכת נגישה מסגמנט ייעודי ברשת הפנים ארגונית</t>
  </si>
  <si>
    <t>המערכת נגישה פנים ארגונית בלבד</t>
  </si>
  <si>
    <t>המערכת נגישה פנים ארגונית או באמצעות VPN</t>
  </si>
  <si>
    <t>המערכת נגישה במרשת האינטרנט עולמית ללא VPN</t>
  </si>
  <si>
    <t>גישה אינטרנטית WEB</t>
  </si>
  <si>
    <t>גישה בפורמט בסיס נתונים</t>
  </si>
  <si>
    <t xml:space="preserve">גישה API </t>
  </si>
  <si>
    <t>גישה מבודלת על ידי מערכת אבטחה</t>
  </si>
  <si>
    <t>שם משתמש וסיסמא - נותן שירות חיצוני ע"ג רשת האינטרנט</t>
  </si>
  <si>
    <t>הזדהות רב שלבית חיצוני - נותן שירות חיצוני ע"ג רשת האינטרנט</t>
  </si>
  <si>
    <t>התחברות SSO ארגונית - ניהול פנימי לארגון</t>
  </si>
  <si>
    <t>מערכת ייעודית לניהול מתוך הארגון בלבד או הזדהות רב שלבית ארגונית - ניהול פנימי לארגון</t>
  </si>
  <si>
    <t xml:space="preserve"> לא קיימים משתמשים מסוג זה</t>
  </si>
  <si>
    <t>1-2 ממשקים פנימים</t>
  </si>
  <si>
    <t>2-10 ממשקים</t>
  </si>
  <si>
    <t>מעל 10 ממשקים</t>
  </si>
  <si>
    <t>רב פעמית (עד 20 פעם ביום)</t>
  </si>
  <si>
    <t>מרובה (20-50 פעם ביום)</t>
  </si>
  <si>
    <t>קבוע (מעל 50 פעם ביום)</t>
  </si>
  <si>
    <t>פרוטוקול פומבי מוצפן</t>
  </si>
  <si>
    <t>פרוטוקול ייעודי לא מוצפן</t>
  </si>
  <si>
    <t>פרוטוקול גלוי לא מוצפן</t>
  </si>
  <si>
    <t>כלל פעילות המערכת מבוססת על העברת תוכן מממשקי התקשרות חיצוניים</t>
  </si>
  <si>
    <t>חלק ניכר מפעילות המערכת מתבסס על העברת תוכן מממשקי התקשרות חיצוניים</t>
  </si>
  <si>
    <t>חלק משני מפונקציונליות לא קריטית של המערכת מבוסס על העברת תוכן ממשקי התקשרות חיצוניים</t>
  </si>
  <si>
    <t>retire או tetain</t>
  </si>
  <si>
    <t>פרטו לגבי פרופילים אופייניים של המשתמשים במערכת</t>
  </si>
  <si>
    <t>פנימיים</t>
  </si>
  <si>
    <t>חיצוניים</t>
  </si>
  <si>
    <t>אורחים</t>
  </si>
  <si>
    <t>מנהלים פנימיים בלבד</t>
  </si>
  <si>
    <t>ייעוץ</t>
  </si>
  <si>
    <t>פיתוח</t>
  </si>
  <si>
    <t>הקמה</t>
  </si>
  <si>
    <t>אינטגרציה</t>
  </si>
  <si>
    <t>ללא תלות</t>
  </si>
  <si>
    <t>תלות נמוכה</t>
  </si>
  <si>
    <t>תלות בינונית</t>
  </si>
  <si>
    <t>תלות גבוהה</t>
  </si>
  <si>
    <t>ללא נזק</t>
  </si>
  <si>
    <t>עשרות אלפי שקלים</t>
  </si>
  <si>
    <t>מאות אלפי שקלים</t>
  </si>
  <si>
    <t>מעל מליון</t>
  </si>
  <si>
    <t xml:space="preserve">נמוך </t>
  </si>
  <si>
    <t>גבוהה</t>
  </si>
  <si>
    <t>התאוששות מאירוע אצל הספק תיקח מספר שעות</t>
  </si>
  <si>
    <t>התאוששות מאירוע אצל הספק תיקח מספר ימים</t>
  </si>
  <si>
    <t>התאוששות מאירוע אצל הספק תיקח מספר שבועות</t>
  </si>
  <si>
    <t>ללא מידע</t>
  </si>
  <si>
    <t>מידע בעל רגישות נמוכה</t>
  </si>
  <si>
    <t>מידע בעל רגישות בינונית</t>
  </si>
  <si>
    <t>מידע בעל רגישות עסקית כגון פטנטים וסודות מסחריים</t>
  </si>
  <si>
    <t>תלות נמוכה בסייבר</t>
  </si>
  <si>
    <t>תלות בינונית בסייבר בהתקשרות עם הספק</t>
  </si>
  <si>
    <t>ספק בעל תלות גבוהה בסייבר</t>
  </si>
  <si>
    <t>האם הוגדר SLA עם הספק לטיפול בפערי אבטחת מידע</t>
  </si>
  <si>
    <t>טיפול מיידי</t>
  </si>
  <si>
    <t>הוגדר טיפול תוך תוך שעות עד ימים בודדים</t>
  </si>
  <si>
    <t>הוגדר טיפול של עד 30 יום</t>
  </si>
  <si>
    <t>הוגדר Best Effort</t>
  </si>
  <si>
    <t>4 ומעלה</t>
  </si>
  <si>
    <t>ספק אחד</t>
  </si>
  <si>
    <t>שני ספקים</t>
  </si>
  <si>
    <t>שלושה ספקים</t>
  </si>
  <si>
    <t>שם המערכת</t>
  </si>
  <si>
    <t>blank</t>
  </si>
  <si>
    <t>lower</t>
  </si>
  <si>
    <t>upper</t>
  </si>
  <si>
    <t>M1</t>
  </si>
  <si>
    <t>M2</t>
  </si>
  <si>
    <t>סיכון</t>
  </si>
  <si>
    <t>סף רגישות כולל</t>
  </si>
  <si>
    <t>M3</t>
  </si>
  <si>
    <t>M4</t>
  </si>
  <si>
    <t xml:space="preserve"> </t>
  </si>
  <si>
    <t>הגדרות הסיווג הביטחוני</t>
  </si>
  <si>
    <t>מערכת ומידע שלחשיפתם או לפגיעה בהם עשויה להיות השפעה שלילית מוגבלת על תפקוד הארגון או תדמיתו</t>
  </si>
  <si>
    <t>מערכת ומידע שחשיפתם או הפגיעה בהם תגרום להשפעה שלילית גבוהה לארגון או לממשלה</t>
  </si>
  <si>
    <t>פגיעה בתקציב הארגון</t>
  </si>
  <si>
    <t>פגיעה בביטחון/ בטיחות/ שלום הציבור או עובדי הארגון</t>
  </si>
  <si>
    <t>פגיעה כלכלית בארגון</t>
  </si>
  <si>
    <t>ללא פגיעה כלכלית בארגון</t>
  </si>
  <si>
    <t>כיסוי תקשורתי שלילי משמעותי ברמה בינלאומית עד כדי עצירת פעילות הארגון (יתכן והאירוע מצריך מתן הסברים ובירורים על ידי גורמי רגולציה חיצוניים)</t>
  </si>
  <si>
    <t>מסלול אדום מעל 70%</t>
  </si>
  <si>
    <t>נזק לתדמית הארגון בעיני הציבור</t>
  </si>
  <si>
    <t>פגיעה בייעדי מתן שירות לציבור \ ללקוחות</t>
  </si>
  <si>
    <t>האם תוטמע מערכת ניהול אבטחת קונטיינרים</t>
  </si>
  <si>
    <t>האם תוטמע מערכת חומת אש Firewall (כולל IDS\IPS)</t>
  </si>
  <si>
    <t>האם תוטמע מערכת אבטחת בסיסי נתונים</t>
  </si>
  <si>
    <t>מערכת ניטור הרשאות ענן (CIEM)</t>
  </si>
  <si>
    <t>האם תוטמע מערכת לזיהוי מידע רגיש (Discovery And Classification)</t>
  </si>
  <si>
    <t>מערכת ניהול מפתחות וסודות  (KMS)</t>
  </si>
  <si>
    <t>האם הוגדרה מדיניות כלכלת ענן בארגון בדגש אבטחת הסייבר?</t>
  </si>
  <si>
    <t>חשיפה משפטית/ רגולטורית / משילות</t>
  </si>
  <si>
    <t>כמות ממשקים לפנים הארגון</t>
  </si>
  <si>
    <t>האם מבוצע תהליך זיכוי - הלבנה השחרה בממשקים</t>
  </si>
  <si>
    <t>אישור מנחה</t>
  </si>
  <si>
    <t>תרשים זרימה תהליכי</t>
  </si>
  <si>
    <t>נכס מידע תשתיתי רוחבי</t>
  </si>
  <si>
    <t>האם המידע או המערכת מוגדרים כתמ"ק (מערכת שבגללה הגוף הוגדר תמ"ק)</t>
  </si>
  <si>
    <t>חלקי</t>
  </si>
  <si>
    <t>לא מבוצע תהליך הלבנה\השחרה</t>
  </si>
  <si>
    <t>כן באופן מלא</t>
  </si>
  <si>
    <t>סוג תשתית הענן</t>
  </si>
  <si>
    <t>Iaas</t>
  </si>
  <si>
    <t xml:space="preserve">   פוטנציאל לפגיעה בגוף או בנפש או פגיעה כלכלית בהתאם לתבחיני תמ"ק ?</t>
  </si>
  <si>
    <t xml:space="preserve">   פוטנציאל פגיעה באופן רוחבי\ נרחב במספר גופים</t>
  </si>
  <si>
    <t>סיווג המידע במערכת</t>
  </si>
  <si>
    <t xml:space="preserve">מידע, אשר אם יגיעו לידי גורם שאיננו מוסמך לכך, עלול לסייע בפגוע בביטחון מדינת ישראל </t>
  </si>
  <si>
    <t>פגיעה של עד 0.5% מהתקציב התפעולי השנתי של הארגון או המשרד הממשלתי</t>
  </si>
  <si>
    <t>פגיעה מצומצמת עד 2% מהתקציב התפעולי השנתי של הארגון או המשרד הממשלתי</t>
  </si>
  <si>
    <t>פגיעה משמעותית של מעל 2% מהתקציב התפעולי השנתי של הארגון או המשרד הממשלתי</t>
  </si>
  <si>
    <t>האם תוטמע מערכת הלבנת קבצים (CDR + Sandbox)</t>
  </si>
  <si>
    <t>נא לצרף טופולוגית ענן + ON PREM (כולל ממשקים)</t>
  </si>
  <si>
    <t>נא לצרף תרשים זרימה תהליכי</t>
  </si>
  <si>
    <t>Q2.1</t>
  </si>
  <si>
    <t>Q2.2</t>
  </si>
  <si>
    <t>Q2.3</t>
  </si>
  <si>
    <t>Q2.4</t>
  </si>
  <si>
    <t>Q2.5</t>
  </si>
  <si>
    <t>Q2.6</t>
  </si>
  <si>
    <t>Q2.7</t>
  </si>
  <si>
    <t>Q2.8</t>
  </si>
  <si>
    <t>Q2.9</t>
  </si>
  <si>
    <t>Q2.10</t>
  </si>
  <si>
    <t>Q2.11</t>
  </si>
  <si>
    <t>Q2.12</t>
  </si>
  <si>
    <t>Q2.13</t>
  </si>
  <si>
    <t>Q2.14</t>
  </si>
  <si>
    <t>Q2.15</t>
  </si>
  <si>
    <t>Q2.16</t>
  </si>
  <si>
    <t>Q2.17</t>
  </si>
  <si>
    <t>Q2.18</t>
  </si>
  <si>
    <t>Q2.19</t>
  </si>
  <si>
    <t>Q2.20</t>
  </si>
  <si>
    <t>Q2.21</t>
  </si>
  <si>
    <t>Q2.22</t>
  </si>
  <si>
    <t>Q2.23</t>
  </si>
  <si>
    <t>Q2.24</t>
  </si>
  <si>
    <t>Q2.25</t>
  </si>
  <si>
    <t>Q2.26</t>
  </si>
  <si>
    <t>Q2.28</t>
  </si>
  <si>
    <t>Q2.29</t>
  </si>
  <si>
    <t>Q2.30</t>
  </si>
  <si>
    <t>Q2.31</t>
  </si>
  <si>
    <t>Q2.32</t>
  </si>
  <si>
    <t>Q2.33</t>
  </si>
  <si>
    <t>Q2.34</t>
  </si>
  <si>
    <t>Q2.35</t>
  </si>
  <si>
    <t>Q2.36</t>
  </si>
  <si>
    <t>Q2.37</t>
  </si>
  <si>
    <t>Q2.38</t>
  </si>
  <si>
    <t>Q2.39</t>
  </si>
  <si>
    <t>Q2.40</t>
  </si>
  <si>
    <t>Q2.41</t>
  </si>
  <si>
    <t>Q3.1</t>
  </si>
  <si>
    <t>Q3.2</t>
  </si>
  <si>
    <t>Q3.3</t>
  </si>
  <si>
    <t>Q4.1</t>
  </si>
  <si>
    <t>Q4.2</t>
  </si>
  <si>
    <t>Q4.3</t>
  </si>
  <si>
    <t>Q4.4</t>
  </si>
  <si>
    <t>Q4.5</t>
  </si>
  <si>
    <t>Q4.6</t>
  </si>
  <si>
    <t>Q4.7</t>
  </si>
  <si>
    <t>Q4.8</t>
  </si>
  <si>
    <t>Q4.9</t>
  </si>
  <si>
    <t>חשיפה משפטית לקובלנה פלילית, אפשרות לעצירת פעילות הארגון או המשרד הממשלתי</t>
  </si>
  <si>
    <r>
      <t>ללא</t>
    </r>
    <r>
      <rPr>
        <sz val="10"/>
        <color rgb="FF000000"/>
        <rFont val="Times New Roman"/>
        <family val="1"/>
      </rPr>
      <t xml:space="preserve"> </t>
    </r>
    <r>
      <rPr>
        <sz val="10"/>
        <color rgb="FF000000"/>
        <rFont val="Assistant"/>
        <charset val="177"/>
      </rPr>
      <t>פגיעה במתן שירות לציבור או הללקוחות / לא רלוונטי</t>
    </r>
  </si>
  <si>
    <r>
      <t>פגיעה</t>
    </r>
    <r>
      <rPr>
        <sz val="10"/>
        <color rgb="FF000000"/>
        <rFont val="Times New Roman"/>
        <family val="1"/>
      </rPr>
      <t xml:space="preserve"> </t>
    </r>
    <r>
      <rPr>
        <sz val="10"/>
        <color rgb="FF000000"/>
        <rFont val="Assistant"/>
        <charset val="177"/>
      </rPr>
      <t>נקודתית במתן שירות לציבור / ללקחות תוך עמידה ביעדים</t>
    </r>
  </si>
  <si>
    <r>
      <t>פגיעה</t>
    </r>
    <r>
      <rPr>
        <sz val="10"/>
        <color rgb="FF000000"/>
        <rFont val="Times New Roman"/>
        <family val="1"/>
      </rPr>
      <t xml:space="preserve"> </t>
    </r>
    <r>
      <rPr>
        <sz val="10"/>
        <color rgb="FF000000"/>
        <rFont val="Assistant"/>
        <charset val="177"/>
      </rPr>
      <t>נרחבת במתן שירותים לציבור / ללקוחות תוך עמידה ביעדים</t>
    </r>
    <r>
      <rPr>
        <sz val="8"/>
        <color rgb="FF000000"/>
        <rFont val="Times New Roman"/>
        <family val="1"/>
      </rPr>
      <t>   </t>
    </r>
  </si>
  <si>
    <r>
      <t>פגיעה</t>
    </r>
    <r>
      <rPr>
        <sz val="10"/>
        <color rgb="FF000000"/>
        <rFont val="Times New Roman"/>
        <family val="1"/>
      </rPr>
      <t xml:space="preserve"> </t>
    </r>
    <r>
      <rPr>
        <sz val="10"/>
        <color rgb="FF000000"/>
        <rFont val="Assistant"/>
        <charset val="177"/>
      </rPr>
      <t>נרחבת במתן שירותים לציבור / ללקוחות לתקופת זמן ממושכת וחריגה מייעדי השירות</t>
    </r>
  </si>
  <si>
    <t>השפעה על נכס מידע תשתיתי לא אסטרטגי בודד</t>
  </si>
  <si>
    <t xml:space="preserve">השפעה על מספר נכסים לא אסטרטגיים או על נכס אסטרטגי בודד </t>
  </si>
  <si>
    <t>השפעה על מספר נכסים אסטרטגיים עד כדי הפסקת פעילות הארגון או המשרד הממשלתי</t>
  </si>
  <si>
    <t>CloudGuard Intelligence</t>
  </si>
  <si>
    <t>Horizon NDR: Network Detection and Response</t>
  </si>
  <si>
    <t>Radware Alteon VA – Application Delivery Controller (BYOL)</t>
  </si>
  <si>
    <t>Radware Alteon VA ADC Deliver – 1Gbps</t>
  </si>
  <si>
    <t>Radware Alteon VA ADC Perform – 1Gbps</t>
  </si>
  <si>
    <t>Radware Alteon VA ADC Perform – 200Mbps</t>
  </si>
  <si>
    <t>Radware Alteon VA ADC Secure – 1Gbps</t>
  </si>
  <si>
    <t>Radware Alteon VA ADC Secure – 200Mbps</t>
  </si>
  <si>
    <t>Radware Alteon VA ADC Deliver – 200Mbps</t>
  </si>
  <si>
    <t>Radware Cloud WAF</t>
  </si>
  <si>
    <t>Bynet - ServiceNow CSM including App Engine</t>
  </si>
  <si>
    <t>Bynet ServiceNow App Engine Low Code Development Platform</t>
  </si>
  <si>
    <t>Bynet -ServiceNow ITOM Professional platform</t>
  </si>
  <si>
    <t>Bynet ServiceNow Agile Development inc
 Project / Portfolio Management</t>
  </si>
  <si>
    <t>Bynet ServiceNow ITSM bundled with AppEngine</t>
  </si>
  <si>
    <t>Bynet -ServiceNow Software Asset Management</t>
  </si>
  <si>
    <t>Bynet ServiceNow ITSM</t>
  </si>
  <si>
    <t>Bynet ServiceNow ITSM (per Business Stakeholder)</t>
  </si>
  <si>
    <t>Bynet ServiceNow HR Service Delivery - Enterprise</t>
  </si>
  <si>
    <t>Bynet ServiceNow Enterprise Asset Management</t>
  </si>
  <si>
    <t>Bynet ServiceNow Integration Hub</t>
  </si>
  <si>
    <t>Commvault Backup &amp; Recovery</t>
  </si>
  <si>
    <t>Commvault Cloud Access Node for Microsoft 365 BYOL</t>
  </si>
  <si>
    <t>Commvault Cloud Access Node ARM BYOL</t>
  </si>
  <si>
    <t>Commvault Cloud Access Node BYOL</t>
  </si>
  <si>
    <t>Palantir Foundry</t>
  </si>
  <si>
    <t>Redis Enterprise Cloud Flexible - Pay as You Go</t>
  </si>
  <si>
    <t>Starburst Enterprise for EKS PayGo</t>
  </si>
  <si>
    <t>Orca Cloud Security Platform- Orca security Platform (AWS)</t>
  </si>
  <si>
    <t>Ramdor.NET</t>
  </si>
  <si>
    <t>Dynatrace (Contracts)</t>
  </si>
  <si>
    <t>Dynatrace (Pay-As-You-Go with 15-day Free Trial)</t>
  </si>
  <si>
    <t>Torque Infrastructure Automation &amp; DevOps Platform</t>
  </si>
  <si>
    <t>Mend.io (Formerly WhiteSource)</t>
  </si>
  <si>
    <t>Noname Security</t>
  </si>
  <si>
    <t>Upsolver SQLake</t>
  </si>
  <si>
    <t>PlainID Authorization Platform</t>
  </si>
  <si>
    <t>Qlik Sense Enterprise - BYOL</t>
  </si>
  <si>
    <t>Qlik Nprinting - BYOL</t>
  </si>
  <si>
    <t>Qlik GeoAnalytics - BYOL</t>
  </si>
  <si>
    <t>Qlik (formerly Attunity) Replicate - BYOL</t>
  </si>
  <si>
    <t>Qlik Replicate, Compose, and EM - BYOL</t>
  </si>
  <si>
    <t>Qlik Catalog - BYOL</t>
  </si>
  <si>
    <t>iConductCloud</t>
  </si>
  <si>
    <t>Panorama Necto</t>
  </si>
  <si>
    <t>OutSystems Platform</t>
  </si>
  <si>
    <t>Coralogix- Observability platform</t>
  </si>
  <si>
    <t>F5 XC SaaS - F5 Distributed Cloud WAAP</t>
  </si>
  <si>
    <t xml:space="preserve">Reblaze - AWS WAF, DDOS, Bot Mitigation (SaaS Contract) </t>
  </si>
  <si>
    <t>GLASSBOX DIGIATAL EXPERIENCE ANALYTICS PLATFORM</t>
  </si>
  <si>
    <t>Red Hat® OpenShift® by Matrix</t>
  </si>
  <si>
    <t>ActionBase</t>
  </si>
  <si>
    <t>Nemala+</t>
  </si>
  <si>
    <t>Self service infrastructure and DevOps automation platform</t>
  </si>
  <si>
    <t>Fortinet FortiWeb Cloud WAF-as-a-Service</t>
  </si>
  <si>
    <t>Fortinet FortiWeb Cloud WAF-as-a-Service Annual Contract</t>
  </si>
  <si>
    <t>CipherTrust Manager Community Edition</t>
  </si>
  <si>
    <t>Radware Bot Manager</t>
  </si>
  <si>
    <t>Lightrun: Developer Observability Platform (Professional Tier)</t>
  </si>
  <si>
    <t>Nutanix Cloud Clusters (NC2)</t>
  </si>
  <si>
    <t>Veeam Data Platform</t>
  </si>
  <si>
    <t>FortiAnalyzer Centralized Logging/Reporting (10 managed devices)</t>
  </si>
  <si>
    <t>FortiAnalyzer Centralized Logging/Reporting (100 managed devices)</t>
  </si>
  <si>
    <t>FortiAnalyzer Centralized Logging/Reporting (2 managed devices)</t>
  </si>
  <si>
    <t>FortiAnalyzer Centralized Logging/Reporting (30 managed devices)</t>
  </si>
  <si>
    <t>FortiAnalyzer Centralized Logging/Reporting (500 managed devices)</t>
  </si>
  <si>
    <t>Fortinet FortiADC-VM Application Delivery Controller (PAYG, 100Mbps)</t>
  </si>
  <si>
    <t>Fortinet FortiADC-VM Application Delivery Controller (PAYG, 10Gbps)</t>
  </si>
  <si>
    <t>הFortinet FortiADC-VM Application Delivery Controller (PAYG, 1Gbps)</t>
  </si>
  <si>
    <t>Fortinet FortiADC-VM Application Delivery Controller (PAYG, 500Mbps)</t>
  </si>
  <si>
    <t>Fortinet FortiADC-VM Application Delivery Controller (PAYG, 5Gbps)</t>
  </si>
  <si>
    <t>Fortinet FortiWeb Web Application Firewall WAF VM</t>
  </si>
  <si>
    <t>SnapLogic</t>
  </si>
  <si>
    <t>GAZPACHO MOBILE</t>
  </si>
  <si>
    <t>Bynet Gate Scanner API powered by SASA</t>
  </si>
  <si>
    <t>Bynet GateScanner Mail Gateway powered by SASA</t>
  </si>
  <si>
    <t>Bynet GateScanner Security Dome powered by SASA</t>
  </si>
  <si>
    <t>Hardened repackage FADDOM with support by Bynet</t>
  </si>
  <si>
    <t xml:space="preserve">Rivery Complete SaaS ELT &amp; Workflow Orchestration </t>
  </si>
  <si>
    <t>InterSystems FHIR Server</t>
  </si>
  <si>
    <t>InterSystems FHIR Transformation Service</t>
  </si>
  <si>
    <t>InterSystems IRIS</t>
  </si>
  <si>
    <t>InterSystems IRIS for Health</t>
  </si>
  <si>
    <t>Pexip Infinity A La Carte</t>
  </si>
  <si>
    <t xml:space="preserve"> Starburst Enterprise- Distributed SQL Query Engine</t>
  </si>
  <si>
    <t>Orca Cloud Security Platform- Orca security (GCP)</t>
  </si>
  <si>
    <t>SAP Cloud by Matrix</t>
  </si>
  <si>
    <t>CipherTrust Manager</t>
  </si>
  <si>
    <t>Reblaze SaaS Solution</t>
  </si>
  <si>
    <t>Fortinet FortiADC Application Delivery Controller PAYG 100Mbps</t>
  </si>
  <si>
    <t>Fortinet FortiADC Application Delivery Controller PAYG 10Gbps</t>
  </si>
  <si>
    <t>Fortinet FortiADC Application Delivery Controller PAYG 500Mbps</t>
  </si>
  <si>
    <t>Fortinet FortiADC Application Delivery Controller PAYG 5Gbps</t>
  </si>
  <si>
    <t>FortiWeb Web Application Firewall (PAYG)</t>
  </si>
  <si>
    <t>Rivery - SaaS ELT</t>
  </si>
  <si>
    <t>שירות מובנה מרובד 1 (Native solution)</t>
  </si>
  <si>
    <t>מוצר קיים של הארגון</t>
  </si>
  <si>
    <t>רכש ייעודי</t>
  </si>
  <si>
    <t>תוצאת סטאטוס מערכת (מסלול אדום \ ירוק)</t>
  </si>
  <si>
    <t>Column30</t>
  </si>
  <si>
    <t>CP CIS Safeguard</t>
  </si>
  <si>
    <t>CP Control Safeguard</t>
  </si>
  <si>
    <t>2.3.1 Ensure that encryption at rest is enabled for RDS Instances (Automated)</t>
  </si>
  <si>
    <t>מספר בקרה ספק ענן CIS</t>
  </si>
  <si>
    <t>.</t>
  </si>
  <si>
    <t>באחריות המשרד להקשיח את ה-Cloud SQL שלו</t>
  </si>
  <si>
    <t>לא ניתן לבצע RDP בעקבות הקשחה של כתובות IP חסומות לעולם ב-LZ הממשלתי.</t>
  </si>
  <si>
    <t>יש לממש בקרה זו ברמת ה-GOOGLE WORKSPACE ולא בסביבת ה-GCP עצמה. המשרד אחראי על כל נושא GOOGLE IDP.</t>
  </si>
  <si>
    <t>מדובר בשירות יקר יחסית ובאחריות המשרד.</t>
  </si>
  <si>
    <t>2.16 Ensure Logging is enabled for HTTP(S) Load Balancer (Automated)</t>
  </si>
  <si>
    <t>ההנהלה מודעת לתהליך הארגון של המעבר לענן, אך לא הוצגה בפניה תוכנית העבודה למעבר לענן</t>
  </si>
  <si>
    <t>האם הארגון הריחיב את מתודולוגיית לניהול סיכוני סייבר בענן?</t>
  </si>
  <si>
    <t>האם תוטמע מערכת זיכוי קוד פיתוח בשלב הפיתוח ההטמעה CICD (בסגנון Snyk, jfrog)</t>
  </si>
  <si>
    <t>תהליכים ארגוניים נוספים לענן</t>
  </si>
  <si>
    <t>סוג ספק הענן</t>
  </si>
  <si>
    <t>ספק ענן גדול (Azure, GCP, AWS)</t>
  </si>
  <si>
    <t xml:space="preserve">ספק ענן אחר </t>
  </si>
  <si>
    <t>ספק ענן במסגרת פרויקט נימבוס</t>
  </si>
  <si>
    <t>הוצגה להנהלה תוכנית העבודה הארגוית של המעבר לענן</t>
  </si>
  <si>
    <t>זוהי המערכת הראשונה</t>
  </si>
  <si>
    <t>מעל 5</t>
  </si>
  <si>
    <t>Azure</t>
  </si>
  <si>
    <t>Oracle</t>
  </si>
  <si>
    <t>IBM</t>
  </si>
  <si>
    <t>Alibaba</t>
  </si>
  <si>
    <t>רובד 1 + 5</t>
  </si>
  <si>
    <t xml:space="preserve">   האם המידע נוגע לעניינים פנימיים של הגוף המונחה?</t>
  </si>
  <si>
    <t>השפעת חשיפה או פגיעה במידע/במערכת על התנהלות הגוף המונחה או הציבור</t>
  </si>
  <si>
    <t>מידע הנוגע לענייניה הפנימיים של הגוף המונחה, המיועד לשימוש פנימי בארגון או בין מספר משרדים, שאין לפרסמו לכלל הציבור ואינו מכיל מידע פרטי.</t>
  </si>
  <si>
    <t>מידע המיועד לשימוש פנימי בארגון אשר חלות עליו הגבלות על פי חוק (לדוגמה, סודיות מסחרית), תקנות (לדוגמה, תקנות חובת המכרזים) רגולציה ייעודית או הסכם או מידע פרטי שאינו מידע בעל רגישות מיוחדת.</t>
  </si>
  <si>
    <t>מידע פרטי בעל רגישות מיוחדת או מידע שהחוק או התקנות או רגולציה או הארגון קבעו שהסיווג עבורו גבוה במיוחד.</t>
  </si>
  <si>
    <t>כמות ממשקים חיצוניים (ביון הארגון לארגונים אחרים והחוצה)</t>
  </si>
  <si>
    <t>הערות הגוף המונחה</t>
  </si>
  <si>
    <t>ההנהלה לא מוערבת בתהליך הארגון של המעבר לענן</t>
  </si>
  <si>
    <t>לא קיימת מתודולוגיית ניהול סיכונים בארגון</t>
  </si>
  <si>
    <t>קיימת מתודלוגיה לניהול סיכונים בארגון, בשלבי בדיקה ראשוניים</t>
  </si>
  <si>
    <t>כן, קיימת מתודלוגיה לניהול סיכונים בארגון שנבחנה בפועל</t>
  </si>
  <si>
    <t>כן, קיימת מתודלוגיה לניהול סיכונים בארגון שנבחנה ויש צוות ייעודי לניהול הסיכונים</t>
  </si>
  <si>
    <t>האם לארגון הוגדר תקציב ייעודי להעלאת מערכת לענן הכוללת את התחומים הבאים: עלות כוח אדם, ארכיטקטורת הפרויקט, היבטי אבטחה, עלות שירותי הענן ושימוש בו?</t>
  </si>
  <si>
    <t>קיים תקציב ייעודי למעבר\הקמת המערכת לענן</t>
  </si>
  <si>
    <t>אין הקצאת תקציבים כלל לצורך מעבר\הקמת המערכת בענן</t>
  </si>
  <si>
    <t>לא קיים מערכת לניטור סביבת המערכת בענן</t>
  </si>
  <si>
    <t>קיים ניטור בארגון כולל חיבור לסוק</t>
  </si>
  <si>
    <t>הנגשת המידע להצגה בלבד</t>
  </si>
  <si>
    <t>עדכון ואחסון המידע (או גיבוי המידע) בשילוב לימוד מכונה ML</t>
  </si>
  <si>
    <t>עדכון ואחסון המידע (או גיבוי המידע) בשילוב עיבוד המידע בזמן אמת או לימוד מכונה</t>
  </si>
  <si>
    <t>מה הוא סוג הנתונים במערכת?</t>
  </si>
  <si>
    <t>מידת השפעת פגיעה במערכת על תהליכים פיזיים OT (ניהול בניין, ניהול תהליך משני, ניהול תהליך ראשי)</t>
  </si>
  <si>
    <t>עשרות</t>
  </si>
  <si>
    <t>מאות</t>
  </si>
  <si>
    <t>אלפים ומעלה</t>
  </si>
  <si>
    <t>לא רלוונטי / ללא ממשקים פנימיים</t>
  </si>
  <si>
    <t>לא רלוונטי / לא נדרש</t>
  </si>
  <si>
    <t>לא רלוונטי / פרוטוקול ייעודי מוצפן</t>
  </si>
  <si>
    <t>לא רלוונטי / לא קיים</t>
  </si>
  <si>
    <t>לא רלוונטי / המערכת לא מתבססת על העברת תוכן ממשקי התקשרות חיצוניים</t>
  </si>
  <si>
    <t>פיתוח (נתוני דמה)</t>
  </si>
  <si>
    <t>פיתוח או בדיקות (נתוני דמה)</t>
  </si>
  <si>
    <t>פיתוח או בדיקות (נתוני אמת)</t>
  </si>
  <si>
    <t>בדיקות או ייצור (נתוני אמת)</t>
  </si>
  <si>
    <t>הנגשת מידע ואפשרות לעדכון (עם יכולת אחסון מידע או גיבוי המידע)</t>
  </si>
  <si>
    <t>משולב בארץ ובחו"ל</t>
  </si>
  <si>
    <t>היכן ינוהלו מפתחות ההצפנה?</t>
  </si>
  <si>
    <t>בענן על ידי שירות ענן אוטומטי</t>
  </si>
  <si>
    <t>בענן על ידי גוף התמ"ק</t>
  </si>
  <si>
    <t>בשירות מנוהל חיצוני על ידי גוף התמ"ק</t>
  </si>
  <si>
    <t>באופן מקומי ברשת גוף התמ"ק על ידי גוף התמ"ק</t>
  </si>
  <si>
    <r>
      <t>פגיעה נרחבת במתן שירותים לציבור / ללקוחות תוך עמידה ביעדים</t>
    </r>
    <r>
      <rPr>
        <sz val="8"/>
        <color rgb="FF000000"/>
        <rFont val="Assistant"/>
        <charset val="177"/>
      </rPr>
      <t>   </t>
    </r>
  </si>
  <si>
    <t>סוג המערכת</t>
  </si>
  <si>
    <t>הגנת מידע</t>
  </si>
  <si>
    <t>נדרש להקין ולתחזוק תהליך ניהול אבטחת מידע</t>
  </si>
  <si>
    <t>הקמה ותחזוקה של מיפוי נתונים</t>
  </si>
  <si>
    <t>הגדר בקרת גישה לנתונים</t>
  </si>
  <si>
    <t>יש להגדיר אכיפת Data Ritention</t>
  </si>
  <si>
    <t>יש לוודא השמדת מידע מאובטחת בסיום תקופת ה Ritention</t>
  </si>
  <si>
    <t>הצפנת נתונים במכשירי משתמש קצה</t>
  </si>
  <si>
    <t>הקמה ותחזוקה של תוכנית סיווג נתונים</t>
  </si>
  <si>
    <t>הגדרת אופן זרימת נתונים</t>
  </si>
  <si>
    <t>הצפנת נתונים על מדיה נשלפת</t>
  </si>
  <si>
    <t>הצפנת נתונים רגישים בתנועה</t>
  </si>
  <si>
    <t>הצפנת נתונים רגישים במנוחה</t>
  </si>
  <si>
    <t>פלח עיבוד נתונים ואחסון בהתבסס על רגישות המידע</t>
  </si>
  <si>
    <t>יש להתמיע מערכת למניעת אובדן נתונים DLP</t>
  </si>
  <si>
    <t>נדרש לתעד גישה לנתונים רגישים</t>
  </si>
  <si>
    <t>תצורה מאובטחת של נכסים ותוכנה ארגוניים</t>
  </si>
  <si>
    <t>הקמה ותחזוקה של תהליך תצורה מאובטח</t>
  </si>
  <si>
    <t>הקמה ותחזוקה של תהליך תצורה מאובטח עבור תשתית רשת</t>
  </si>
  <si>
    <t>הגדר נעילת  אוטומטית בהתחברות לנכסים ארגוניים</t>
  </si>
  <si>
    <t>יש להתמיע מערכת חומת אש ולנהל אותה</t>
  </si>
  <si>
    <t>יישום וניהול חומת אש עבור שרתים ומשתמש קצה</t>
  </si>
  <si>
    <t>ניהול מאובטח של נכסים ותוכנה ארגוניים</t>
  </si>
  <si>
    <t>נהל חשבונות ברירת מחדל בנכסים ותוכנה ארגוניים</t>
  </si>
  <si>
    <t>הסר או השבת שירותים מיותרים בנכסים ותוכנות ארגוניות</t>
  </si>
  <si>
    <t>הגדר שרתי DNS מהימנים בנכסי ארגונים</t>
  </si>
  <si>
    <t>יש להגדיר אכיפה של נעילת מכשיר אוטומטית על מכשירי משתמש קצה ניידים</t>
  </si>
  <si>
    <t>אכיפת יכולת מחיקה מרחוק במכשירי משתמש קצה ניידים</t>
  </si>
  <si>
    <t>הפרד סביבות עבודה ארגוניות במכשירי משתמש קצה ניידים</t>
  </si>
  <si>
    <t>ניהול חשבון</t>
  </si>
  <si>
    <t>הקמה ותחזוקה של מיפוי חשבונות וזהויות</t>
  </si>
  <si>
    <t>השתמש בסיסמאות ייחודיות</t>
  </si>
  <si>
    <t>השבת חשבונות רדומים</t>
  </si>
  <si>
    <t>הגבל את הרשאות מנהל לחשבונות מנהל ייעודיים</t>
  </si>
  <si>
    <t>הקמה ותחזוקה של מיפוי של חשבונות שירות</t>
  </si>
  <si>
    <t>הגדר ניהול מרכזי לחשבונות וזהויות עבור הארגון</t>
  </si>
  <si>
    <t>ניהול בקרת גישה</t>
  </si>
  <si>
    <t>הקמת תהליך הענקת גישה</t>
  </si>
  <si>
    <t>קבע תהליך ביטול גישה</t>
  </si>
  <si>
    <t>דרוש MFA עבור יישומים חשופים חיצונית</t>
  </si>
  <si>
    <t>דרוש MFA עבור גישה מרחוק לרשת</t>
  </si>
  <si>
    <t>דרוש MFA עבור גישה מנהלתית</t>
  </si>
  <si>
    <t>הקמה ותחזוקה של מיפוי של מערכות אימות והרשאה</t>
  </si>
  <si>
    <t>הגדר בקרת גישה מרכזת בארגון</t>
  </si>
  <si>
    <t>הגדר ותחזק בקרת גישה מבוססת תפקידים RBAC</t>
  </si>
  <si>
    <t>ניהול פגיעות מתמשך</t>
  </si>
  <si>
    <t>הקמה ותחזוקה של תהליך ניהול פגיעות</t>
  </si>
  <si>
    <t>הקמה ותחזוקה של תהליך תיקון פגיעויות וחולשות</t>
  </si>
  <si>
    <t>בצע ניהול תיקוני מערכת הפעלה אוטומטית</t>
  </si>
  <si>
    <t>בצע ניהול אוטומטי של תיקוני יישומים</t>
  </si>
  <si>
    <t>בצע סריקות פגיעות אוטומטיות של נכסים ארגוניים פנימיים</t>
  </si>
  <si>
    <t>בצע סריקות פגיעות אוטומטיות של נכסים ארגוניים חשופים חיצונית</t>
  </si>
  <si>
    <t>הגדרת תיקון פגיעויות שזוהו</t>
  </si>
  <si>
    <t>ניהול ניטור אירועים</t>
  </si>
  <si>
    <t>הקמה ותחזוקה של תהליך ניהול אירועים והתראות</t>
  </si>
  <si>
    <t>איסוף אירועים והתראות</t>
  </si>
  <si>
    <t>ודא אחסון מאובטח של אירועים והתראות</t>
  </si>
  <si>
    <t>הגדר סנכרון הזמן תקין לכלל האירועים וההתראות</t>
  </si>
  <si>
    <t>אסוף אירועים והתראות מפורטים</t>
  </si>
  <si>
    <t>אסוף אירועים והתראות שאילתות DNS</t>
  </si>
  <si>
    <t>אסוף אירועים והתראות של בקשות כתובת אתר</t>
  </si>
  <si>
    <t>אסוף אירועים והתראות בשורת הפקודה</t>
  </si>
  <si>
    <t>נהל אירועים והתראות באופן מרוכז</t>
  </si>
  <si>
    <t>שמור אירועים והתראות</t>
  </si>
  <si>
    <t>בצע סקירות אירועים והתראות</t>
  </si>
  <si>
    <t>איסוף אירועים והתראות ספקי שירות</t>
  </si>
  <si>
    <t>הגנות דואר אלקטרוני ודפדפן אינטרנט</t>
  </si>
  <si>
    <t>ודא שימוש רק בדפדפנים ובלקוחות דוא"ל הנתמכים במלואם</t>
  </si>
  <si>
    <t>השתמש בשירותי סינון DNS</t>
  </si>
  <si>
    <t>שמירה ואכיפה של מסנני כתובות אתרים מבוססי רשת</t>
  </si>
  <si>
    <t>הגבל הרחבות דפדפן ולקוח דוא"ל מיותרות או לא מורשות</t>
  </si>
  <si>
    <t>הטמעת DMARC</t>
  </si>
  <si>
    <t>חסום סוגי קבצים מיותרים</t>
  </si>
  <si>
    <t>פרוס ותחזק הגנות נגד תוכנות זדוניות לשרת דוא"ל</t>
  </si>
  <si>
    <t>הגנה מפני תוכנות זדוניות</t>
  </si>
  <si>
    <t>פרוס ותחזק תוכנה נגד תוכנות זדוניות</t>
  </si>
  <si>
    <t>הגדר עדכוני חתימה אוטומטיים נגד תוכנות זדוניות</t>
  </si>
  <si>
    <t>השבת הפעלה אוטומטית והפעלה אוטומטית עבור מדיה נשלפת</t>
  </si>
  <si>
    <t>הגדר סריקה אוטומטית נגד תוכנות זדוניות של מדיה נשלפת</t>
  </si>
  <si>
    <t>אפשר תכונות נגד ניצול</t>
  </si>
  <si>
    <t>ניהול מרכזי של תוכנות נגד תוכנות זדוניות</t>
  </si>
  <si>
    <t>השתמש בתוכנת אנטי-זדונית מבוססת התנהגות</t>
  </si>
  <si>
    <t>שחזור מידע</t>
  </si>
  <si>
    <t>הקמה ותחזוקה של תהליך שחזור נתונים</t>
  </si>
  <si>
    <t>בצע גיבויים אוטומטיים</t>
  </si>
  <si>
    <t>הגן על נתוני שחזור</t>
  </si>
  <si>
    <t>הקמה ותחזוקה של מופע מבודד o</t>
  </si>
  <si>
    <t>בדוק שחזור נתונים</t>
  </si>
  <si>
    <t>ניהול תשתיות רשת</t>
  </si>
  <si>
    <t>ודא שתשתית הרשת מעודכנת</t>
  </si>
  <si>
    <t>הקמה ותחזוקה של ארכיטקטורת רשת מאובטחת</t>
  </si>
  <si>
    <t>ניהול מאובטח של תשתית רשת</t>
  </si>
  <si>
    <t>הקמה ותחזוקה של דיאגרמות אדריכלות</t>
  </si>
  <si>
    <t>ריכוז אימות, הרשאה וביקורת רשת (AAA)</t>
  </si>
  <si>
    <t>שימוש בפרוטוקולי ניהול ותקשורת מאובטחים ברשת</t>
  </si>
  <si>
    <t>ודא שמכשירים מרוחקים משתמשים ב-VPN ומתחברים לתשתית AAA של ארגון</t>
  </si>
  <si>
    <t>הקמה ותחזוקה של משאבי מחשוב ייעודיים לכל העבודה הניהולית</t>
  </si>
  <si>
    <t>ניטור רשת והגנה</t>
  </si>
  <si>
    <t>ריכוז התרעות על אירועי אבטחה</t>
  </si>
  <si>
    <t>פרוס פתרון לזיהוי פריצה מבוסס מארח</t>
  </si>
  <si>
    <t>פרוס פתרון לזיהוי חדירת רשת</t>
  </si>
  <si>
    <t>בצע סינון תנועה בין סגמנטי רשת</t>
  </si>
  <si>
    <t>ניהול בקרת גישה לנכסים מרוחקים</t>
  </si>
  <si>
    <t>אסוף יומני זרימת תנועה ברשת</t>
  </si>
  <si>
    <t>פרוס פתרון למניעת חדירות מבוסס מארח</t>
  </si>
  <si>
    <t>פרוס פתרון למניעת חדירת רשת</t>
  </si>
  <si>
    <t>פרוס בקרת גישה ברמת יציאה</t>
  </si>
  <si>
    <t>בצע סינון שכבת יישומים</t>
  </si>
  <si>
    <t>כוונן את ספי ההתראה על אירועי אבטחה</t>
  </si>
  <si>
    <t>הכשרת מודעות ומיומנויות אבטחה</t>
  </si>
  <si>
    <t>הקמה ותחזוקה של תוכנית מודעות לאבטחה</t>
  </si>
  <si>
    <t>הכשר את חברי כוח העבודה לזהות התקפות הנדסה חברתית</t>
  </si>
  <si>
    <t>הדרכת חברי כוח העבודה על שיטות עבודה מומלצות לאימות</t>
  </si>
  <si>
    <t>הדרכת כוח העבודה על שיטות עבודה מומלצות לטיפול בנתונים</t>
  </si>
  <si>
    <t>הדרכת חברי כוח העבודה על גורמים לחשיפה לא מכוונת של נתונים</t>
  </si>
  <si>
    <t>הדרכת חברי כוח העבודה בזיהוי ודיווח על אירועי אבטחה</t>
  </si>
  <si>
    <t>הדרכת כוח העבודה כיצד לזהות ולדווח אם חסרים עדכוני אבטחה בנכסים הארגוניים שלהם</t>
  </si>
  <si>
    <t>הדרכת כוח העבודה על הסכנות של התחברות והעברת נתונים ארגוניים ברשתות לא מאובטחות</t>
  </si>
  <si>
    <t>ערכו הכשרת מודעות ואבטחה ספציפית לתפקידים</t>
  </si>
  <si>
    <t>ניהול ספקי שירותים</t>
  </si>
  <si>
    <t>הקמה ותחזוקה של מיפוי של נותני שירותים</t>
  </si>
  <si>
    <t>קבע ותחזק מדיניות ניהול ספק שירות</t>
  </si>
  <si>
    <t>סיווג ספקי שירות</t>
  </si>
  <si>
    <t>ודא שחוזי ספקי שירות כוללים דרישות אבטחה</t>
  </si>
  <si>
    <t>הערכת נותני שירות</t>
  </si>
  <si>
    <t>מעקב אחר ספקי שירות</t>
  </si>
  <si>
    <t>ספקי שירות ביטול מאובטח</t>
  </si>
  <si>
    <t>אבטחת תוכנת יישומים</t>
  </si>
  <si>
    <t>הקמה ותחזוקה של תהליך פיתוח אפליקציות מאובטח</t>
  </si>
  <si>
    <t>הקמה ותחזוקה של תהליך לקבלת וטיפול בפרצות תוכנה</t>
  </si>
  <si>
    <t>בצע ניתוח סיבת שורש על פרצות אבטחה</t>
  </si>
  <si>
    <t>הקמה וניהול מיפוי של רכיבי תוכנה של צד שלישי</t>
  </si>
  <si>
    <t>השתמש ברכיבי תוכנה מעודכנים ומהימנים של צד שלישי</t>
  </si>
  <si>
    <t>הקמה ותחזוקה של מערכת דירוג חומרה ותהליך עבור פרצות יישומים</t>
  </si>
  <si>
    <t>השתמש בתבניות תצורת התקשות סטנדרטיות עבור תשתית יישומים</t>
  </si>
  <si>
    <t>מערכות ייצור נפרדות ולא ייצור</t>
  </si>
  <si>
    <t>הדרכת מפתחים במושגי אבטחת יישומים וקידוד מאובטח</t>
  </si>
  <si>
    <t>יישם עקרונות עיצוב מאובטח בארכיטקטורות יישומים</t>
  </si>
  <si>
    <t>נצל מודולים או שירותים בדוקים עבור רכיבי אבטחת יישומים</t>
  </si>
  <si>
    <t>יישום בדיקות אבטחה ברמת קוד</t>
  </si>
  <si>
    <t>ביצוע בדיקות חדירה של יישומים</t>
  </si>
  <si>
    <t>ביצוע דוגמנות איומים</t>
  </si>
  <si>
    <t>ניהול תגובה לאירועים</t>
  </si>
  <si>
    <t>ייעוד כוח אדם לניהול טיפול בתקריות</t>
  </si>
  <si>
    <t>צור ותחזק מידע ליצירת קשר לדיווח על אירועי אבטחה</t>
  </si>
  <si>
    <t>הקמה ותחזוקה של תהליך ארגוני לדיווח על תקריות</t>
  </si>
  <si>
    <t>הקמה ותחזוקה של תהליך תגובה לאירועים</t>
  </si>
  <si>
    <t>הקצאת תפקידי מפתח ואחריות</t>
  </si>
  <si>
    <t>הגדר מנגנונים לתקשורת במהלך תגובה לאירועים</t>
  </si>
  <si>
    <t>בצע תרגילי תגובה שגרתיים לאירועים</t>
  </si>
  <si>
    <t>ערוך ביקורות לאחר התקרית</t>
  </si>
  <si>
    <t>קבע ותחזוק ספי אירועי אבטחה</t>
  </si>
  <si>
    <t>בדיקת חדירה</t>
  </si>
  <si>
    <t>הקמה ותחזוקה של תוכנית בדיקות חדירה</t>
  </si>
  <si>
    <t>ביצוע בדיקות חדירות חיצוניות תקופתיות</t>
  </si>
  <si>
    <t>ממיפוי בדיקת חדירה מתקנת</t>
  </si>
  <si>
    <t>אימות אמצעי אבטחה</t>
  </si>
  <si>
    <t>ביצוע בדיקות חדירות פנימיות תקופתיות</t>
  </si>
  <si>
    <t>בלמס</t>
  </si>
  <si>
    <t>האם תוטמע מערכת הגנה על סביבת עבודה בענן (CWPP)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</si>
</sst>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43" formatCode="_ * #,##0.00_ ;_ * \-#,##0.00_ ;_ * &quot;-&quot;??_ ;_ @_ "/>
  </numFmts>
  <fonts count="85">
    <font>
      <sz val="11"/>
      <color theme="1"/>
      <name val="Arial"/>
      <family val="2"/>
      <charset val="177"/>
      <scheme val="minor"/>
    </font>
    <font>
      <sz val="11"/>
      <color theme="1"/>
      <name val="Assistant"/>
      <charset val="177"/>
    </font>
    <font>
      <b/>
      <sz val="11"/>
      <color theme="1"/>
      <name val="Assistant"/>
      <charset val="177"/>
    </font>
    <font>
      <sz val="12"/>
      <color theme="1"/>
      <name val="Assistant"/>
      <charset val="177"/>
    </font>
    <font>
      <b/>
      <sz val="12"/>
      <color theme="1"/>
      <name val="Assistant"/>
      <charset val="177"/>
    </font>
    <font>
      <sz val="16"/>
      <color rgb="FFE36C0A"/>
      <name val="Assistant"/>
      <charset val="177"/>
    </font>
    <font>
      <sz val="11"/>
      <color rgb="FFE36C0A"/>
      <name val="Assistant"/>
      <charset val="177"/>
    </font>
    <font>
      <sz val="8"/>
      <color theme="1"/>
      <name val="Assistant"/>
      <charset val="177"/>
    </font>
    <font>
      <b/>
      <sz val="11"/>
      <color rgb="FFE36C0A"/>
      <name val="Assistant"/>
      <charset val="177"/>
    </font>
    <font>
      <b/>
      <sz val="12"/>
      <color rgb="FFE36C0A"/>
      <name val="Assistant"/>
      <charset val="177"/>
    </font>
    <font>
      <b/>
      <sz val="16"/>
      <color rgb="FFE36C0A"/>
      <name val="Assistant"/>
      <charset val="177"/>
    </font>
    <font>
      <sz val="8"/>
      <name val="Arial"/>
      <family val="2"/>
      <charset val="177"/>
      <scheme val="minor"/>
    </font>
    <font>
      <sz val="9"/>
      <color theme="1"/>
      <name val="Assistant"/>
      <charset val="177"/>
    </font>
    <font>
      <sz val="9"/>
      <color rgb="FFE36C0A"/>
      <name val="Assistant"/>
      <charset val="177"/>
    </font>
    <font>
      <b/>
      <sz val="11"/>
      <name val="Assistant"/>
      <charset val="177"/>
    </font>
    <font>
      <b/>
      <sz val="14"/>
      <color theme="1"/>
      <name val="Assistant"/>
      <charset val="177"/>
    </font>
    <font>
      <b/>
      <sz val="10"/>
      <color theme="1"/>
      <name val="Assistant"/>
      <charset val="177"/>
    </font>
    <font>
      <b/>
      <sz val="11"/>
      <color rgb="FF000000"/>
      <name val="Assistant"/>
      <charset val="177"/>
    </font>
    <font>
      <sz val="10"/>
      <name val="Assistant"/>
      <charset val="177"/>
    </font>
    <font>
      <b/>
      <sz val="10"/>
      <color rgb="FF000000"/>
      <name val="Assistant"/>
      <charset val="177"/>
    </font>
    <font>
      <sz val="10"/>
      <color theme="1"/>
      <name val="Assistant"/>
      <charset val="177"/>
    </font>
    <font>
      <b/>
      <sz val="8"/>
      <color theme="1"/>
      <name val="Assistant"/>
      <charset val="177"/>
    </font>
    <font>
      <sz val="11"/>
      <color theme="1"/>
      <name val="Arial"/>
      <family val="2"/>
      <scheme val="minor"/>
    </font>
    <font>
      <sz val="14"/>
      <name val="Assistant"/>
      <charset val="177"/>
    </font>
    <font>
      <b/>
      <sz val="9"/>
      <color theme="1"/>
      <name val="Assistant"/>
      <charset val="177"/>
    </font>
    <font>
      <b/>
      <sz val="16"/>
      <color theme="1"/>
      <name val="Assistant"/>
      <charset val="177"/>
    </font>
    <font>
      <sz val="22"/>
      <color theme="1"/>
      <name val="Calibri"/>
      <family val="2"/>
      <charset val="177"/>
    </font>
    <font>
      <sz val="18"/>
      <color theme="1"/>
      <name val="Assistant"/>
      <charset val="177"/>
    </font>
    <font>
      <b/>
      <sz val="11"/>
      <color rgb="FFE36C0A"/>
      <name val="Arial"/>
      <family val="2"/>
      <scheme val="minor"/>
    </font>
    <font>
      <sz val="10"/>
      <color rgb="FF000000"/>
      <name val="Assistant"/>
      <charset val="177"/>
    </font>
    <font>
      <sz val="10"/>
      <color rgb="FF000000"/>
      <name val="Times New Roman"/>
      <family val="1"/>
    </font>
    <font>
      <sz val="8"/>
      <color rgb="FF000000"/>
      <name val="Times New Roman"/>
      <family val="1"/>
    </font>
    <font>
      <sz val="18"/>
      <color rgb="FFFF0000"/>
      <name val="Arial"/>
      <family val="2"/>
      <scheme val="minor"/>
    </font>
    <font>
      <b/>
      <u/>
      <sz val="11"/>
      <color theme="1"/>
      <name val="Arial"/>
      <family val="2"/>
      <scheme val="minor"/>
    </font>
    <font>
      <sz val="12"/>
      <color theme="1"/>
      <name val="Arial"/>
      <family val="2"/>
      <scheme val="minor"/>
    </font>
    <font>
      <sz val="11"/>
      <color rgb="FF006100"/>
      <name val="Arial"/>
      <family val="2"/>
      <scheme val="minor"/>
    </font>
    <font>
      <sz val="10"/>
      <name val="Verdana"/>
      <family val="2"/>
    </font>
    <font>
      <sz val="11"/>
      <color rgb="FF9C6500"/>
      <name val="Arial"/>
      <family val="2"/>
      <scheme val="minor"/>
    </font>
    <font>
      <sz val="11"/>
      <color theme="1"/>
      <name val="Arial"/>
      <family val="2"/>
    </font>
    <font>
      <b/>
      <sz val="12"/>
      <color theme="0"/>
      <name val="Arial"/>
      <family val="2"/>
    </font>
    <font>
      <sz val="12"/>
      <color theme="1"/>
      <name val="Arial"/>
      <family val="2"/>
    </font>
    <font>
      <b/>
      <sz val="12"/>
      <color theme="1"/>
      <name val="Arial"/>
      <family val="2"/>
    </font>
    <font>
      <sz val="10"/>
      <color rgb="FF71A850"/>
      <name val="Arial"/>
      <family val="2"/>
    </font>
    <font>
      <sz val="10"/>
      <color rgb="FFDB8A06"/>
      <name val="Arial"/>
      <family val="2"/>
    </font>
    <font>
      <sz val="10"/>
      <color rgb="FF00A3AD"/>
      <name val="Arial"/>
      <family val="2"/>
    </font>
    <font>
      <sz val="10"/>
      <color theme="1"/>
      <name val="Arial"/>
      <family val="2"/>
    </font>
    <font>
      <sz val="12"/>
      <name val="Arial"/>
      <family val="2"/>
    </font>
    <font>
      <sz val="12"/>
      <color rgb="FFFF5630"/>
      <name val="Arial"/>
      <family val="2"/>
    </font>
    <font>
      <b/>
      <sz val="12"/>
      <color rgb="FF39B54A"/>
      <name val="Arial"/>
      <family val="2"/>
    </font>
    <font>
      <b/>
      <sz val="11"/>
      <color theme="0"/>
      <name val="Arial"/>
      <family val="2"/>
    </font>
    <font>
      <b/>
      <sz val="10"/>
      <color theme="0"/>
      <name val="Arial"/>
      <family val="2"/>
    </font>
    <font>
      <b/>
      <i/>
      <sz val="12"/>
      <color theme="0"/>
      <name val="Arial"/>
      <family val="2"/>
    </font>
    <font>
      <vertAlign val="superscript"/>
      <sz val="12"/>
      <color theme="1"/>
      <name val="Arial"/>
      <family val="2"/>
    </font>
    <font>
      <sz val="11"/>
      <color theme="1"/>
      <name val="Arial"/>
      <family val="2"/>
      <charset val="177"/>
      <scheme val="minor"/>
    </font>
    <font>
      <b/>
      <sz val="11"/>
      <color theme="0"/>
      <name val="Arial"/>
      <family val="2"/>
      <charset val="177"/>
      <scheme val="minor"/>
    </font>
    <font>
      <sz val="11"/>
      <color theme="0"/>
      <name val="Arial"/>
      <family val="2"/>
    </font>
    <font>
      <sz val="11"/>
      <color rgb="FF000000"/>
      <name val="Assistant"/>
      <charset val="177"/>
    </font>
    <font>
      <b/>
      <sz val="14"/>
      <color rgb="FFE36C0A"/>
      <name val="Assistant"/>
      <charset val="177"/>
    </font>
    <font>
      <sz val="10"/>
      <name val="Arial"/>
      <family val="2"/>
    </font>
    <font>
      <b/>
      <sz val="11"/>
      <color theme="1"/>
      <name val="Arial"/>
      <family val="2"/>
    </font>
    <font>
      <sz val="11"/>
      <name val="Arial"/>
      <family val="2"/>
    </font>
    <font>
      <b/>
      <sz val="12"/>
      <name val="Arial"/>
      <family val="2"/>
    </font>
    <font>
      <b/>
      <sz val="10"/>
      <name val="Arial"/>
      <family val="2"/>
    </font>
    <font>
      <b/>
      <sz val="20"/>
      <color rgb="FFFF5050"/>
      <name val="Arial"/>
      <family val="2"/>
      <scheme val="minor"/>
    </font>
    <font>
      <sz val="16"/>
      <color theme="1"/>
      <name val="Wingdings"/>
      <charset val="2"/>
    </font>
    <font>
      <b/>
      <sz val="9"/>
      <color rgb="FFE36C0A"/>
      <name val="Assistant"/>
      <charset val="177"/>
    </font>
    <font>
      <b/>
      <sz val="20"/>
      <color theme="1"/>
      <name val="Assistant"/>
      <charset val="177"/>
    </font>
    <font>
      <b/>
      <sz val="11"/>
      <color theme="0"/>
      <name val="Assistant"/>
      <charset val="177"/>
    </font>
    <font>
      <sz val="10"/>
      <color rgb="FFE36C0A"/>
      <name val="Assistant"/>
      <charset val="177"/>
    </font>
    <font>
      <b/>
      <sz val="10"/>
      <color rgb="FFE36C0A"/>
      <name val="Assistant"/>
      <charset val="177"/>
    </font>
    <font>
      <b/>
      <u/>
      <sz val="12"/>
      <color theme="1"/>
      <name val="Assistant"/>
      <charset val="177"/>
    </font>
    <font>
      <b/>
      <sz val="10"/>
      <color theme="5" tint="-0.249977111117893"/>
      <name val="Assistant"/>
      <charset val="177"/>
    </font>
    <font>
      <b/>
      <sz val="12"/>
      <color theme="5" tint="-0.249977111117893"/>
      <name val="Assistant"/>
      <charset val="177"/>
    </font>
    <font>
      <sz val="11"/>
      <name val="Arial"/>
      <family val="2"/>
      <charset val="177"/>
      <scheme val="minor"/>
    </font>
    <font>
      <b/>
      <sz val="11"/>
      <color theme="5" tint="-0.249977111117893"/>
      <name val="Assistant"/>
      <charset val="177"/>
    </font>
    <font>
      <b/>
      <u/>
      <sz val="16"/>
      <color theme="5" tint="-0.249977111117893"/>
      <name val="Assistant"/>
      <charset val="177"/>
    </font>
    <font>
      <b/>
      <sz val="11"/>
      <color rgb="FFFF5050"/>
      <name val="Assistant"/>
      <charset val="177"/>
    </font>
    <font>
      <sz val="11"/>
      <color rgb="FF000000"/>
      <name val="Arial"/>
      <family val="2"/>
    </font>
    <font>
      <sz val="11"/>
      <name val="Arial"/>
      <family val="2"/>
      <charset val="177"/>
    </font>
    <font>
      <sz val="12"/>
      <name val="Assistant"/>
      <charset val="177"/>
    </font>
    <font>
      <b/>
      <sz val="9"/>
      <color rgb="FFFF5050"/>
      <name val="Assistant"/>
      <charset val="177"/>
    </font>
    <font>
      <sz val="9"/>
      <color indexed="81"/>
      <name val="Tahoma"/>
      <family val="2"/>
    </font>
    <font>
      <b/>
      <sz val="9"/>
      <color indexed="81"/>
      <name val="Tahoma"/>
      <family val="2"/>
    </font>
    <font>
      <sz val="8"/>
      <color rgb="FF000000"/>
      <name val="Assistant"/>
      <charset val="177"/>
    </font>
    <font>
      <b/>
      <sz val="11"/>
      <color theme="0"/>
      <name val="Arial"/>
      <family val="2"/>
      <scheme val="minor"/>
    </font>
  </fonts>
  <fills count="38">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rgb="FFFE9700"/>
        <bgColor indexed="64"/>
      </patternFill>
    </fill>
    <fill>
      <patternFill patternType="solid">
        <fgColor rgb="FFFF6161"/>
        <bgColor indexed="64"/>
      </patternFill>
    </fill>
    <fill>
      <patternFill patternType="solid">
        <fgColor rgb="FFC6D9F1"/>
        <bgColor indexed="64"/>
      </patternFill>
    </fill>
    <fill>
      <patternFill patternType="solid">
        <fgColor rgb="FFC2D69B"/>
        <bgColor indexed="64"/>
      </patternFill>
    </fill>
    <fill>
      <patternFill patternType="solid">
        <fgColor rgb="FFFFF2CC"/>
        <bgColor indexed="64"/>
      </patternFill>
    </fill>
    <fill>
      <patternFill patternType="solid">
        <fgColor theme="7"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rgb="FFFFE699"/>
        <bgColor indexed="64"/>
      </patternFill>
    </fill>
    <fill>
      <patternFill patternType="solid">
        <fgColor rgb="FFF68282"/>
        <bgColor indexed="64"/>
      </patternFill>
    </fill>
    <fill>
      <patternFill patternType="solid">
        <fgColor rgb="FF9BC2E6"/>
        <bgColor indexed="64"/>
      </patternFill>
    </fill>
    <fill>
      <patternFill patternType="solid">
        <fgColor rgb="FFA9D08E"/>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C6EFCE"/>
      </patternFill>
    </fill>
    <fill>
      <patternFill patternType="solid">
        <fgColor rgb="FFFFEB9C"/>
      </patternFill>
    </fill>
    <fill>
      <patternFill patternType="solid">
        <fgColor rgb="FFFF0000"/>
        <bgColor indexed="64"/>
      </patternFill>
    </fill>
    <fill>
      <patternFill patternType="solid">
        <fgColor rgb="FF003B5C"/>
        <bgColor indexed="64"/>
      </patternFill>
    </fill>
    <fill>
      <patternFill patternType="solid">
        <fgColor rgb="FF7030A0"/>
        <bgColor indexed="64"/>
      </patternFill>
    </fill>
    <fill>
      <patternFill patternType="solid">
        <fgColor theme="9" tint="-0.249977111117893"/>
        <bgColor indexed="64"/>
      </patternFill>
    </fill>
    <fill>
      <patternFill patternType="solid">
        <fgColor rgb="FF00B0F0"/>
        <bgColor indexed="64"/>
      </patternFill>
    </fill>
    <fill>
      <patternFill patternType="solid">
        <fgColor theme="0"/>
        <bgColor rgb="FF000000"/>
      </patternFill>
    </fill>
    <fill>
      <patternFill patternType="solid">
        <fgColor theme="4" tint="-0.249977111117893"/>
        <bgColor indexed="64"/>
      </patternFill>
    </fill>
    <fill>
      <patternFill patternType="solid">
        <fgColor theme="7"/>
        <bgColor indexed="64"/>
      </patternFill>
    </fill>
    <fill>
      <patternFill patternType="solid">
        <fgColor theme="2" tint="-0.249977111117893"/>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1"/>
        <bgColor indexed="64"/>
      </patternFill>
    </fill>
    <fill>
      <patternFill patternType="solid">
        <fgColor theme="7" tint="0.39997558519241921"/>
        <bgColor indexed="64"/>
      </patternFill>
    </fill>
    <fill>
      <patternFill patternType="solid">
        <fgColor rgb="FFC00000"/>
        <bgColor indexed="64"/>
      </patternFill>
    </fill>
    <fill>
      <patternFill patternType="solid">
        <fgColor theme="0"/>
        <bgColor theme="4" tint="0.79998168889431442"/>
      </patternFill>
    </fill>
    <fill>
      <patternFill patternType="solid">
        <fgColor theme="3" tint="0.79998168889431442"/>
        <bgColor indexed="64"/>
      </patternFill>
    </fill>
    <fill>
      <patternFill patternType="solid">
        <fgColor rgb="FFFFFF00"/>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top/>
      <bottom style="thin">
        <color indexed="64"/>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bottom/>
      <diagonal/>
    </border>
    <border>
      <left style="medium">
        <color indexed="64"/>
      </left>
      <right/>
      <top style="thin">
        <color indexed="64"/>
      </top>
      <bottom style="medium">
        <color indexed="64"/>
      </bottom>
      <diagonal/>
    </border>
    <border>
      <left style="thin">
        <color indexed="64"/>
      </left>
      <right style="thin">
        <color indexed="64"/>
      </right>
      <top/>
      <bottom style="thin">
        <color rgb="FF000000"/>
      </bottom>
      <diagonal/>
    </border>
    <border>
      <left/>
      <right/>
      <top/>
      <bottom style="thin">
        <color rgb="FF000000"/>
      </bottom>
      <diagonal/>
    </border>
  </borders>
  <cellStyleXfs count="9">
    <xf numFmtId="0" fontId="0" fillId="0" borderId="0"/>
    <xf numFmtId="0" fontId="34" fillId="0" borderId="0"/>
    <xf numFmtId="0" fontId="35" fillId="18" borderId="0" applyNumberFormat="0" applyBorder="0" applyAlignment="0" applyProtection="0"/>
    <xf numFmtId="0" fontId="22" fillId="0" borderId="0"/>
    <xf numFmtId="0" fontId="36" fillId="0" borderId="0"/>
    <xf numFmtId="0" fontId="37" fillId="19" borderId="0" applyNumberFormat="0" applyBorder="0" applyAlignment="0" applyProtection="0"/>
    <xf numFmtId="44" fontId="53" fillId="0" borderId="0" applyFont="0" applyFill="0" applyBorder="0" applyAlignment="0" applyProtection="0"/>
    <xf numFmtId="43" fontId="53" fillId="0" borderId="0" applyFont="0" applyFill="0" applyBorder="0" applyAlignment="0" applyProtection="0"/>
    <xf numFmtId="9" fontId="53" fillId="0" borderId="0" applyFont="0" applyFill="0" applyBorder="0" applyAlignment="0" applyProtection="0"/>
  </cellStyleXfs>
  <cellXfs count="606">
    <xf numFmtId="0" fontId="0" fillId="0" borderId="0" xfId="0"/>
    <xf numFmtId="0" fontId="1" fillId="2" borderId="0" xfId="0" applyFont="1" applyFill="1"/>
    <xf numFmtId="0" fontId="1" fillId="2" borderId="0" xfId="0" applyFont="1" applyFill="1" applyAlignment="1">
      <alignment horizontal="center"/>
    </xf>
    <xf numFmtId="0" fontId="3" fillId="2" borderId="0" xfId="0" applyFont="1" applyFill="1"/>
    <xf numFmtId="0" fontId="3" fillId="2" borderId="0" xfId="0" applyFont="1" applyFill="1" applyAlignment="1">
      <alignment horizontal="center" vertical="center"/>
    </xf>
    <xf numFmtId="0" fontId="2" fillId="2" borderId="13" xfId="0" applyFont="1" applyFill="1" applyBorder="1" applyAlignment="1">
      <alignment horizontal="center" vertical="center" wrapText="1" readingOrder="2"/>
    </xf>
    <xf numFmtId="0" fontId="1" fillId="2" borderId="0" xfId="0" applyFont="1" applyFill="1" applyAlignment="1">
      <alignment horizontal="center" vertical="center"/>
    </xf>
    <xf numFmtId="0" fontId="3" fillId="3" borderId="0" xfId="0" applyFont="1" applyFill="1"/>
    <xf numFmtId="0" fontId="3" fillId="3" borderId="0" xfId="0" applyFont="1" applyFill="1" applyAlignment="1">
      <alignment horizontal="center" vertical="center"/>
    </xf>
    <xf numFmtId="0" fontId="2" fillId="2" borderId="20" xfId="0" applyFont="1" applyFill="1" applyBorder="1" applyAlignment="1">
      <alignment horizontal="center" vertical="center"/>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0" fontId="8" fillId="2" borderId="20" xfId="0" applyFont="1" applyFill="1" applyBorder="1" applyAlignment="1">
      <alignment horizontal="center" vertical="center" readingOrder="2"/>
    </xf>
    <xf numFmtId="0" fontId="4" fillId="2" borderId="10" xfId="0" applyFont="1" applyFill="1" applyBorder="1" applyAlignment="1">
      <alignment horizontal="center" vertical="center"/>
    </xf>
    <xf numFmtId="0" fontId="10" fillId="2" borderId="0" xfId="0" applyFont="1" applyFill="1" applyAlignment="1">
      <alignment vertical="center" readingOrder="2"/>
    </xf>
    <xf numFmtId="0" fontId="10" fillId="2" borderId="9" xfId="0" applyFont="1" applyFill="1" applyBorder="1" applyAlignment="1">
      <alignment horizontal="center" vertical="center" readingOrder="2"/>
    </xf>
    <xf numFmtId="0" fontId="6" fillId="2" borderId="9" xfId="0" applyFont="1" applyFill="1" applyBorder="1" applyAlignment="1">
      <alignment horizontal="center" vertical="center" readingOrder="2"/>
    </xf>
    <xf numFmtId="0" fontId="2" fillId="2" borderId="21" xfId="0" applyFont="1" applyFill="1" applyBorder="1" applyAlignment="1">
      <alignment horizontal="center" vertical="center" wrapText="1"/>
    </xf>
    <xf numFmtId="0" fontId="1" fillId="2" borderId="4" xfId="0" applyFont="1" applyFill="1" applyBorder="1" applyAlignment="1">
      <alignment horizontal="right" vertical="center" wrapText="1"/>
    </xf>
    <xf numFmtId="0" fontId="2" fillId="2" borderId="22" xfId="0" applyFont="1" applyFill="1" applyBorder="1" applyAlignment="1">
      <alignment horizontal="center" vertical="center" wrapText="1"/>
    </xf>
    <xf numFmtId="0" fontId="1" fillId="2" borderId="23" xfId="0" applyFont="1" applyFill="1" applyBorder="1" applyAlignment="1">
      <alignment horizontal="right"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1" fillId="2" borderId="24" xfId="0" applyFont="1" applyFill="1" applyBorder="1" applyAlignment="1">
      <alignment vertical="center" readingOrder="2"/>
    </xf>
    <xf numFmtId="0" fontId="1" fillId="2" borderId="3" xfId="0" applyFont="1" applyFill="1" applyBorder="1" applyAlignment="1">
      <alignment vertical="center" readingOrder="2"/>
    </xf>
    <xf numFmtId="0" fontId="1" fillId="2" borderId="25" xfId="0" applyFont="1" applyFill="1" applyBorder="1" applyAlignment="1">
      <alignment vertical="center" readingOrder="2"/>
    </xf>
    <xf numFmtId="0" fontId="8" fillId="2" borderId="0" xfId="0" applyFont="1" applyFill="1" applyAlignment="1">
      <alignment horizontal="center" vertical="center" readingOrder="2"/>
    </xf>
    <xf numFmtId="0" fontId="1" fillId="2" borderId="0" xfId="0" applyFont="1" applyFill="1" applyAlignment="1">
      <alignment vertical="center" readingOrder="2"/>
    </xf>
    <xf numFmtId="0" fontId="1" fillId="3" borderId="0" xfId="0" applyFont="1" applyFill="1"/>
    <xf numFmtId="0" fontId="1" fillId="3" borderId="0" xfId="0" applyFont="1" applyFill="1" applyAlignment="1">
      <alignment horizontal="center"/>
    </xf>
    <xf numFmtId="0" fontId="1" fillId="3" borderId="0" xfId="0" applyFont="1" applyFill="1" applyAlignment="1">
      <alignment wrapText="1"/>
    </xf>
    <xf numFmtId="0" fontId="10" fillId="3" borderId="0" xfId="0" applyFont="1" applyFill="1" applyAlignment="1">
      <alignment vertical="center" readingOrder="2"/>
    </xf>
    <xf numFmtId="0" fontId="7" fillId="3" borderId="0" xfId="0" applyFont="1" applyFill="1" applyAlignment="1">
      <alignment horizontal="center"/>
    </xf>
    <xf numFmtId="0" fontId="8" fillId="2" borderId="29" xfId="0" applyFont="1" applyFill="1" applyBorder="1" applyAlignment="1">
      <alignment horizontal="center" vertical="center" readingOrder="2"/>
    </xf>
    <xf numFmtId="0" fontId="1" fillId="2" borderId="0" xfId="0" applyFont="1" applyFill="1" applyAlignment="1">
      <alignment horizontal="center" vertical="center" wrapText="1" readingOrder="1"/>
    </xf>
    <xf numFmtId="0" fontId="12" fillId="2" borderId="0" xfId="0" applyFont="1" applyFill="1" applyAlignment="1">
      <alignment horizontal="center" vertical="center" wrapText="1" readingOrder="1"/>
    </xf>
    <xf numFmtId="0" fontId="18" fillId="9" borderId="1" xfId="0" applyFont="1" applyFill="1" applyBorder="1" applyAlignment="1">
      <alignment horizontal="center" vertical="center" readingOrder="2"/>
    </xf>
    <xf numFmtId="0" fontId="18" fillId="10" borderId="1" xfId="0" applyFont="1" applyFill="1" applyBorder="1" applyAlignment="1">
      <alignment horizontal="center" vertical="center" readingOrder="2"/>
    </xf>
    <xf numFmtId="0" fontId="18" fillId="9" borderId="13" xfId="0" applyFont="1" applyFill="1" applyBorder="1" applyAlignment="1">
      <alignment horizontal="center" vertical="center" readingOrder="2"/>
    </xf>
    <xf numFmtId="0" fontId="18" fillId="10" borderId="13" xfId="0" applyFont="1" applyFill="1" applyBorder="1" applyAlignment="1">
      <alignment horizontal="center" vertical="center" readingOrder="2"/>
    </xf>
    <xf numFmtId="0" fontId="18" fillId="9" borderId="11" xfId="0" applyFont="1" applyFill="1" applyBorder="1" applyAlignment="1">
      <alignment horizontal="center" vertical="center" readingOrder="2"/>
    </xf>
    <xf numFmtId="0" fontId="18" fillId="10" borderId="11" xfId="0" applyFont="1" applyFill="1" applyBorder="1" applyAlignment="1">
      <alignment horizontal="center" vertical="center" readingOrder="2"/>
    </xf>
    <xf numFmtId="0" fontId="1" fillId="3" borderId="0" xfId="0" applyFont="1" applyFill="1" applyAlignment="1">
      <alignment vertical="center"/>
    </xf>
    <xf numFmtId="0" fontId="1" fillId="2" borderId="1" xfId="0" applyFont="1" applyFill="1" applyBorder="1" applyAlignment="1">
      <alignment horizontal="center" vertical="center"/>
    </xf>
    <xf numFmtId="0" fontId="2" fillId="11" borderId="21" xfId="0" applyFont="1" applyFill="1" applyBorder="1" applyAlignment="1">
      <alignment horizontal="center" vertical="center"/>
    </xf>
    <xf numFmtId="0" fontId="2" fillId="12" borderId="21" xfId="0" applyFont="1" applyFill="1" applyBorder="1" applyAlignment="1">
      <alignment horizontal="center" vertical="center"/>
    </xf>
    <xf numFmtId="0" fontId="2" fillId="10" borderId="21" xfId="0" applyFont="1" applyFill="1" applyBorder="1" applyAlignment="1">
      <alignment horizontal="center" vertical="center"/>
    </xf>
    <xf numFmtId="0" fontId="2" fillId="5" borderId="22" xfId="0" applyFont="1" applyFill="1" applyBorder="1" applyAlignment="1">
      <alignment horizontal="center" vertical="center"/>
    </xf>
    <xf numFmtId="0" fontId="2" fillId="11" borderId="21" xfId="0" applyFont="1" applyFill="1" applyBorder="1" applyAlignment="1">
      <alignment horizontal="center" vertical="center" wrapText="1"/>
    </xf>
    <xf numFmtId="0" fontId="2" fillId="14" borderId="21" xfId="0" applyFont="1" applyFill="1" applyBorder="1" applyAlignment="1">
      <alignment horizontal="center" vertical="center" wrapText="1"/>
    </xf>
    <xf numFmtId="0" fontId="2" fillId="12" borderId="21" xfId="0" applyFont="1" applyFill="1" applyBorder="1" applyAlignment="1">
      <alignment horizontal="center" vertical="center" wrapText="1"/>
    </xf>
    <xf numFmtId="0" fontId="2" fillId="13" borderId="22" xfId="0" applyFont="1" applyFill="1" applyBorder="1" applyAlignment="1">
      <alignment horizontal="center" vertical="center" wrapText="1"/>
    </xf>
    <xf numFmtId="0" fontId="7" fillId="3" borderId="0" xfId="0" applyFont="1" applyFill="1" applyAlignment="1">
      <alignment horizontal="justify" vertical="center" readingOrder="2"/>
    </xf>
    <xf numFmtId="0" fontId="0" fillId="3" borderId="0" xfId="0" applyFill="1"/>
    <xf numFmtId="0" fontId="20" fillId="3" borderId="0" xfId="0" applyFont="1" applyFill="1" applyAlignment="1">
      <alignment horizontal="justify" vertical="center" readingOrder="2"/>
    </xf>
    <xf numFmtId="0" fontId="18" fillId="0" borderId="33" xfId="0" applyFont="1" applyBorder="1" applyAlignment="1">
      <alignment horizontal="center" vertical="center" readingOrder="2"/>
    </xf>
    <xf numFmtId="0" fontId="18" fillId="0" borderId="34" xfId="0" applyFont="1" applyBorder="1" applyAlignment="1">
      <alignment horizontal="center" vertical="center" readingOrder="2"/>
    </xf>
    <xf numFmtId="0" fontId="18" fillId="0" borderId="35" xfId="0" applyFont="1" applyBorder="1" applyAlignment="1">
      <alignment horizontal="center" vertical="center" readingOrder="2"/>
    </xf>
    <xf numFmtId="0" fontId="18" fillId="2" borderId="20" xfId="0" applyFont="1" applyFill="1" applyBorder="1" applyAlignment="1">
      <alignment horizontal="center" vertical="center" readingOrder="2"/>
    </xf>
    <xf numFmtId="0" fontId="18" fillId="2" borderId="21" xfId="0" applyFont="1" applyFill="1" applyBorder="1" applyAlignment="1">
      <alignment horizontal="center" vertical="center" readingOrder="2"/>
    </xf>
    <xf numFmtId="0" fontId="18" fillId="2" borderId="22" xfId="0" applyFont="1" applyFill="1" applyBorder="1" applyAlignment="1">
      <alignment horizontal="center" vertical="center" readingOrder="2"/>
    </xf>
    <xf numFmtId="0" fontId="1" fillId="0" borderId="1" xfId="0" applyFont="1" applyBorder="1" applyAlignment="1">
      <alignment horizontal="center" vertical="center" wrapText="1" readingOrder="1"/>
    </xf>
    <xf numFmtId="0" fontId="1" fillId="0" borderId="1" xfId="0" applyFont="1" applyBorder="1" applyAlignment="1">
      <alignment horizontal="center" vertical="center" wrapText="1" readingOrder="2"/>
    </xf>
    <xf numFmtId="0" fontId="16" fillId="6"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20" fillId="0" borderId="1" xfId="0" applyFont="1" applyBorder="1" applyAlignment="1">
      <alignment horizontal="center" vertical="center" wrapText="1" readingOrder="2"/>
    </xf>
    <xf numFmtId="0" fontId="0" fillId="0" borderId="1" xfId="0" applyBorder="1" applyAlignment="1">
      <alignment horizontal="center" vertical="center"/>
    </xf>
    <xf numFmtId="0" fontId="2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8" fillId="2" borderId="29" xfId="0" applyFont="1" applyFill="1" applyBorder="1" applyAlignment="1">
      <alignment horizontal="center" vertical="center" wrapText="1" readingOrder="2"/>
    </xf>
    <xf numFmtId="0" fontId="14" fillId="2" borderId="6" xfId="0" applyFont="1" applyFill="1" applyBorder="1" applyAlignment="1">
      <alignment horizontal="center" vertical="center" wrapText="1" readingOrder="2"/>
    </xf>
    <xf numFmtId="0" fontId="1" fillId="2" borderId="37" xfId="0" applyFont="1" applyFill="1" applyBorder="1" applyAlignment="1">
      <alignment horizontal="center" vertical="center"/>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21" fillId="2" borderId="0" xfId="0" applyFont="1" applyFill="1" applyAlignment="1">
      <alignment horizontal="center" vertical="center" wrapText="1" readingOrder="2"/>
    </xf>
    <xf numFmtId="0" fontId="7" fillId="2" borderId="0" xfId="0" applyFont="1" applyFill="1" applyAlignment="1">
      <alignment horizontal="center" vertical="center"/>
    </xf>
    <xf numFmtId="0" fontId="1" fillId="2" borderId="0" xfId="0" applyFont="1" applyFill="1" applyAlignment="1">
      <alignment horizontal="left" vertical="center"/>
    </xf>
    <xf numFmtId="0" fontId="18" fillId="5" borderId="12" xfId="0" applyFont="1" applyFill="1" applyBorder="1" applyAlignment="1">
      <alignment horizontal="center" vertical="center" readingOrder="2"/>
    </xf>
    <xf numFmtId="0" fontId="18" fillId="5" borderId="14" xfId="0" applyFont="1" applyFill="1" applyBorder="1" applyAlignment="1">
      <alignment horizontal="center" vertical="center" readingOrder="2"/>
    </xf>
    <xf numFmtId="0" fontId="18" fillId="5" borderId="17" xfId="0" applyFont="1" applyFill="1" applyBorder="1" applyAlignment="1">
      <alignment horizontal="center" vertical="center" readingOrder="2"/>
    </xf>
    <xf numFmtId="0" fontId="18" fillId="5" borderId="15" xfId="0" applyFont="1" applyFill="1" applyBorder="1" applyAlignment="1">
      <alignment horizontal="center" vertical="center" readingOrder="2"/>
    </xf>
    <xf numFmtId="0" fontId="18" fillId="5" borderId="16" xfId="0" applyFont="1" applyFill="1" applyBorder="1" applyAlignment="1">
      <alignment horizontal="center" vertical="center" readingOrder="2"/>
    </xf>
    <xf numFmtId="0" fontId="18" fillId="15" borderId="10" xfId="0" applyFont="1" applyFill="1" applyBorder="1" applyAlignment="1">
      <alignment horizontal="center" vertical="center" readingOrder="2"/>
    </xf>
    <xf numFmtId="0" fontId="8" fillId="2" borderId="20" xfId="0" applyFont="1" applyFill="1" applyBorder="1" applyAlignment="1">
      <alignment horizontal="center" vertical="center" wrapText="1" readingOrder="2"/>
    </xf>
    <xf numFmtId="0" fontId="0" fillId="0" borderId="2"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16" borderId="15" xfId="0" applyFill="1" applyBorder="1" applyAlignment="1">
      <alignment horizontal="center" vertical="center"/>
    </xf>
    <xf numFmtId="0" fontId="0" fillId="16" borderId="16" xfId="0" applyFill="1" applyBorder="1" applyAlignment="1">
      <alignment horizontal="center" vertical="center"/>
    </xf>
    <xf numFmtId="0" fontId="0" fillId="16" borderId="17" xfId="0" applyFill="1" applyBorder="1" applyAlignment="1">
      <alignment horizontal="center" vertical="center"/>
    </xf>
    <xf numFmtId="0" fontId="0" fillId="0" borderId="3" xfId="0" applyBorder="1" applyAlignment="1">
      <alignment horizontal="center" vertical="center"/>
    </xf>
    <xf numFmtId="0" fontId="0" fillId="16" borderId="20" xfId="0" applyFill="1" applyBorder="1" applyAlignment="1">
      <alignment horizontal="center" vertical="center"/>
    </xf>
    <xf numFmtId="0" fontId="0" fillId="16" borderId="22" xfId="0" applyFill="1" applyBorder="1" applyAlignment="1">
      <alignment horizontal="center" vertical="center"/>
    </xf>
    <xf numFmtId="0" fontId="0" fillId="17" borderId="20" xfId="0" applyFill="1" applyBorder="1" applyAlignment="1">
      <alignment horizontal="center" vertical="center"/>
    </xf>
    <xf numFmtId="0" fontId="0" fillId="17" borderId="22" xfId="0" applyFill="1" applyBorder="1" applyAlignment="1">
      <alignment horizontal="center" vertical="center"/>
    </xf>
    <xf numFmtId="0" fontId="0" fillId="2" borderId="0" xfId="0" applyFill="1"/>
    <xf numFmtId="0" fontId="20" fillId="2" borderId="0" xfId="0" applyFont="1" applyFill="1" applyAlignment="1">
      <alignment horizontal="center" vertical="center" wrapText="1" readingOrder="2"/>
    </xf>
    <xf numFmtId="0" fontId="19" fillId="2" borderId="0" xfId="0" applyFont="1" applyFill="1" applyAlignment="1">
      <alignment horizontal="center" vertical="center" wrapText="1" readingOrder="2"/>
    </xf>
    <xf numFmtId="0" fontId="19" fillId="6" borderId="11" xfId="0" applyFont="1" applyFill="1" applyBorder="1" applyAlignment="1">
      <alignment horizontal="center" vertical="center" wrapText="1" readingOrder="2"/>
    </xf>
    <xf numFmtId="0" fontId="16" fillId="6" borderId="11" xfId="0" applyFont="1" applyFill="1" applyBorder="1" applyAlignment="1">
      <alignment horizontal="center" vertical="center" wrapText="1" readingOrder="2"/>
    </xf>
    <xf numFmtId="0" fontId="16" fillId="6" borderId="20" xfId="0" applyFont="1" applyFill="1" applyBorder="1" applyAlignment="1">
      <alignment horizontal="center" vertical="center" wrapText="1"/>
    </xf>
    <xf numFmtId="0" fontId="19" fillId="6" borderId="20" xfId="0" applyFont="1" applyFill="1" applyBorder="1" applyAlignment="1">
      <alignment horizontal="center" vertical="center" wrapText="1" readingOrder="2"/>
    </xf>
    <xf numFmtId="0" fontId="17" fillId="7" borderId="21" xfId="0" applyFont="1" applyFill="1" applyBorder="1" applyAlignment="1">
      <alignment horizontal="center" vertical="center" wrapText="1"/>
    </xf>
    <xf numFmtId="0" fontId="17" fillId="8"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8" fillId="2" borderId="0" xfId="0" applyFont="1" applyFill="1" applyAlignment="1">
      <alignment horizontal="center" vertical="center" wrapText="1" readingOrder="2"/>
    </xf>
    <xf numFmtId="0" fontId="28" fillId="2" borderId="0" xfId="0" applyFont="1" applyFill="1" applyAlignment="1">
      <alignment horizontal="center" vertical="center" readingOrder="2"/>
    </xf>
    <xf numFmtId="0" fontId="0" fillId="2" borderId="0" xfId="0" applyFill="1" applyAlignment="1">
      <alignment readingOrder="2"/>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8" fillId="2" borderId="10" xfId="0" applyFont="1" applyFill="1" applyBorder="1" applyAlignment="1">
      <alignment horizontal="center" vertical="center" readingOrder="2"/>
    </xf>
    <xf numFmtId="0" fontId="2" fillId="2" borderId="11" xfId="0" applyFont="1" applyFill="1" applyBorder="1" applyAlignment="1">
      <alignment horizontal="center" vertical="center"/>
    </xf>
    <xf numFmtId="0" fontId="28" fillId="2" borderId="13" xfId="0" applyFont="1" applyFill="1" applyBorder="1" applyAlignment="1">
      <alignment horizontal="center" vertical="center" readingOrder="2"/>
    </xf>
    <xf numFmtId="0" fontId="28" fillId="2" borderId="15" xfId="0" applyFont="1" applyFill="1" applyBorder="1" applyAlignment="1">
      <alignment horizontal="center" vertical="center" readingOrder="2"/>
    </xf>
    <xf numFmtId="0" fontId="2" fillId="2" borderId="16" xfId="0" applyFont="1" applyFill="1" applyBorder="1" applyAlignment="1">
      <alignment horizontal="center" vertical="center" wrapText="1"/>
    </xf>
    <xf numFmtId="0" fontId="0" fillId="3" borderId="0" xfId="0" applyFill="1" applyAlignment="1">
      <alignment readingOrder="2"/>
    </xf>
    <xf numFmtId="0" fontId="25" fillId="2" borderId="0" xfId="0" applyFont="1" applyFill="1" applyAlignment="1">
      <alignment horizontal="center"/>
    </xf>
    <xf numFmtId="0" fontId="8" fillId="2" borderId="6" xfId="0" applyFont="1" applyFill="1" applyBorder="1" applyAlignment="1">
      <alignment horizontal="center" vertical="center" wrapText="1" readingOrder="2"/>
    </xf>
    <xf numFmtId="0" fontId="8" fillId="2" borderId="26" xfId="0" applyFont="1" applyFill="1" applyBorder="1" applyAlignment="1">
      <alignment horizontal="center" vertical="center" wrapText="1" readingOrder="2"/>
    </xf>
    <xf numFmtId="0" fontId="29" fillId="0" borderId="30" xfId="0" applyFont="1" applyBorder="1" applyAlignment="1">
      <alignment horizontal="center" vertical="center" wrapText="1" readingOrder="2"/>
    </xf>
    <xf numFmtId="0" fontId="29" fillId="0" borderId="44" xfId="0" applyFont="1" applyBorder="1" applyAlignment="1">
      <alignment horizontal="center" vertical="center" wrapText="1" readingOrder="2"/>
    </xf>
    <xf numFmtId="0" fontId="29" fillId="0" borderId="1" xfId="0" applyFont="1" applyBorder="1" applyAlignment="1">
      <alignment horizontal="center" vertical="center" wrapText="1" readingOrder="2"/>
    </xf>
    <xf numFmtId="0" fontId="16" fillId="6" borderId="10" xfId="0" applyFont="1" applyFill="1" applyBorder="1" applyAlignment="1">
      <alignment horizontal="center" vertical="center" wrapText="1"/>
    </xf>
    <xf numFmtId="0" fontId="19" fillId="6" borderId="12" xfId="0" applyFont="1" applyFill="1" applyBorder="1" applyAlignment="1">
      <alignment horizontal="center" vertical="center" wrapText="1" readingOrder="2"/>
    </xf>
    <xf numFmtId="0" fontId="17" fillId="7" borderId="13" xfId="0" applyFont="1" applyFill="1" applyBorder="1" applyAlignment="1">
      <alignment horizontal="center" vertical="center" wrapText="1"/>
    </xf>
    <xf numFmtId="0" fontId="29" fillId="0" borderId="14" xfId="0" applyFont="1" applyBorder="1" applyAlignment="1">
      <alignment horizontal="center" vertical="center" wrapText="1" readingOrder="2"/>
    </xf>
    <xf numFmtId="0" fontId="17" fillId="8" borderId="13" xfId="0" applyFont="1" applyFill="1" applyBorder="1" applyAlignment="1">
      <alignment horizontal="center" vertical="center" wrapText="1"/>
    </xf>
    <xf numFmtId="0" fontId="17" fillId="4" borderId="13" xfId="0" applyFont="1" applyFill="1" applyBorder="1" applyAlignment="1">
      <alignment horizontal="center" vertical="center" wrapText="1"/>
    </xf>
    <xf numFmtId="0" fontId="17" fillId="5" borderId="15" xfId="0" applyFont="1" applyFill="1" applyBorder="1" applyAlignment="1">
      <alignment horizontal="center" vertical="center" wrapText="1"/>
    </xf>
    <xf numFmtId="0" fontId="29" fillId="0" borderId="16" xfId="0" applyFont="1" applyBorder="1" applyAlignment="1">
      <alignment horizontal="center" vertical="center" wrapText="1" readingOrder="2"/>
    </xf>
    <xf numFmtId="0" fontId="29" fillId="0" borderId="17" xfId="0" applyFont="1" applyBorder="1" applyAlignment="1">
      <alignment horizontal="center" vertical="center" wrapText="1" readingOrder="2"/>
    </xf>
    <xf numFmtId="0" fontId="39" fillId="21" borderId="1" xfId="0" applyFont="1" applyFill="1" applyBorder="1" applyAlignment="1">
      <alignment horizontal="center" vertical="center" wrapText="1"/>
    </xf>
    <xf numFmtId="0" fontId="40" fillId="0" borderId="1" xfId="0" applyFont="1" applyBorder="1" applyAlignment="1">
      <alignment horizontal="center" vertical="center" wrapText="1"/>
    </xf>
    <xf numFmtId="0" fontId="40" fillId="0" borderId="1" xfId="0" applyFont="1" applyBorder="1" applyAlignment="1">
      <alignment vertical="center" wrapText="1"/>
    </xf>
    <xf numFmtId="0" fontId="40" fillId="2" borderId="1" xfId="0" applyFont="1" applyFill="1" applyBorder="1" applyAlignment="1">
      <alignment vertical="center" wrapText="1"/>
    </xf>
    <xf numFmtId="2" fontId="46" fillId="0" borderId="1" xfId="0" applyNumberFormat="1" applyFont="1" applyBorder="1" applyAlignment="1">
      <alignment horizontal="center" vertical="center" wrapText="1"/>
    </xf>
    <xf numFmtId="2" fontId="40" fillId="0" borderId="1" xfId="0" applyNumberFormat="1" applyFont="1" applyBorder="1" applyAlignment="1">
      <alignment horizontal="center" vertical="center" wrapText="1"/>
    </xf>
    <xf numFmtId="4" fontId="46" fillId="0" borderId="1" xfId="0" applyNumberFormat="1" applyFont="1" applyBorder="1" applyAlignment="1">
      <alignment horizontal="center" vertical="center" wrapText="1"/>
    </xf>
    <xf numFmtId="0" fontId="0" fillId="0" borderId="51" xfId="0" applyBorder="1" applyAlignment="1">
      <alignment horizontal="center"/>
    </xf>
    <xf numFmtId="0" fontId="0" fillId="0" borderId="30" xfId="0" applyBorder="1" applyAlignment="1">
      <alignment horizontal="center"/>
    </xf>
    <xf numFmtId="0" fontId="0" fillId="0" borderId="6" xfId="0" applyBorder="1" applyAlignment="1">
      <alignment horizontal="center"/>
    </xf>
    <xf numFmtId="0" fontId="41" fillId="0" borderId="6" xfId="0" applyFont="1" applyBorder="1" applyAlignment="1">
      <alignment horizontal="center" vertical="center" wrapText="1"/>
    </xf>
    <xf numFmtId="0" fontId="48" fillId="0" borderId="6" xfId="0" applyFont="1" applyBorder="1" applyAlignment="1">
      <alignment horizontal="center" vertical="center" wrapText="1"/>
    </xf>
    <xf numFmtId="0" fontId="38" fillId="24" borderId="1" xfId="0" applyFont="1" applyFill="1" applyBorder="1" applyAlignment="1">
      <alignment horizontal="center" vertical="center"/>
    </xf>
    <xf numFmtId="44" fontId="0" fillId="0" borderId="0" xfId="6" applyFont="1"/>
    <xf numFmtId="0" fontId="0" fillId="0" borderId="0" xfId="0" applyAlignment="1">
      <alignment horizontal="center"/>
    </xf>
    <xf numFmtId="9" fontId="0" fillId="0" borderId="0" xfId="8" applyFont="1" applyAlignment="1">
      <alignment horizontal="center" vertical="center"/>
    </xf>
    <xf numFmtId="9" fontId="0" fillId="0" borderId="0" xfId="8" applyFont="1" applyAlignment="1">
      <alignment horizontal="center"/>
    </xf>
    <xf numFmtId="0" fontId="0" fillId="0" borderId="0" xfId="7" applyNumberFormat="1" applyFont="1" applyAlignment="1">
      <alignment horizontal="center"/>
    </xf>
    <xf numFmtId="0" fontId="39" fillId="26" borderId="1" xfId="0" applyFont="1" applyFill="1" applyBorder="1" applyAlignment="1">
      <alignment horizontal="center" vertical="center" wrapText="1"/>
    </xf>
    <xf numFmtId="0" fontId="50" fillId="26" borderId="1" xfId="0" applyFont="1" applyFill="1" applyBorder="1" applyAlignment="1">
      <alignment vertical="center" wrapText="1"/>
    </xf>
    <xf numFmtId="0" fontId="39" fillId="26" borderId="1" xfId="0" applyFont="1" applyFill="1" applyBorder="1" applyAlignment="1">
      <alignment vertical="center" wrapText="1"/>
    </xf>
    <xf numFmtId="0" fontId="51" fillId="26" borderId="1" xfId="0" applyFont="1" applyFill="1" applyBorder="1" applyAlignment="1">
      <alignment vertical="center" wrapText="1"/>
    </xf>
    <xf numFmtId="0" fontId="38" fillId="0" borderId="1" xfId="0" applyFont="1" applyBorder="1" applyAlignment="1">
      <alignment horizontal="center" vertical="center"/>
    </xf>
    <xf numFmtId="0" fontId="49" fillId="20" borderId="1" xfId="0" applyFont="1" applyFill="1" applyBorder="1" applyAlignment="1">
      <alignment horizontal="center" vertical="center" wrapText="1"/>
    </xf>
    <xf numFmtId="0" fontId="49" fillId="23" borderId="1" xfId="0" applyFont="1" applyFill="1" applyBorder="1" applyAlignment="1">
      <alignment horizontal="center" vertical="center" wrapText="1"/>
    </xf>
    <xf numFmtId="0" fontId="55" fillId="26" borderId="1" xfId="0" applyFont="1" applyFill="1" applyBorder="1" applyAlignment="1">
      <alignment horizontal="center" vertical="center"/>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38" fillId="27" borderId="1" xfId="0" applyFont="1" applyFill="1" applyBorder="1" applyAlignment="1">
      <alignment vertical="center" wrapText="1"/>
    </xf>
    <xf numFmtId="0" fontId="38" fillId="27" borderId="1" xfId="0" applyFont="1" applyFill="1" applyBorder="1" applyAlignment="1">
      <alignment horizontal="left" vertical="center" wrapText="1"/>
    </xf>
    <xf numFmtId="0" fontId="38" fillId="0" borderId="1" xfId="0" applyFont="1" applyBorder="1" applyAlignment="1">
      <alignment horizontal="left" vertical="center" wrapText="1"/>
    </xf>
    <xf numFmtId="0" fontId="38" fillId="0" borderId="1" xfId="0" applyFont="1" applyBorder="1" applyAlignment="1">
      <alignment horizontal="center" vertical="center" wrapText="1"/>
    </xf>
    <xf numFmtId="0" fontId="48" fillId="0" borderId="1" xfId="0" applyFont="1" applyBorder="1" applyAlignment="1">
      <alignment horizontal="center" vertical="center" wrapText="1"/>
    </xf>
    <xf numFmtId="0" fontId="40" fillId="0" borderId="38" xfId="0" applyFont="1" applyBorder="1" applyAlignment="1">
      <alignment horizontal="center" vertical="center" wrapText="1"/>
    </xf>
    <xf numFmtId="0" fontId="40" fillId="0" borderId="38" xfId="0" applyFont="1" applyBorder="1" applyAlignment="1">
      <alignment vertical="center" wrapText="1"/>
    </xf>
    <xf numFmtId="0" fontId="41" fillId="0" borderId="38" xfId="0" applyFont="1" applyBorder="1" applyAlignment="1">
      <alignment horizontal="center" vertical="center" wrapText="1"/>
    </xf>
    <xf numFmtId="0" fontId="38" fillId="0" borderId="38" xfId="0" applyFont="1" applyBorder="1" applyAlignment="1">
      <alignment horizontal="center" vertical="center"/>
    </xf>
    <xf numFmtId="0" fontId="38" fillId="0" borderId="38" xfId="0" applyFont="1" applyBorder="1" applyAlignment="1">
      <alignment horizontal="center" vertical="center" wrapText="1"/>
    </xf>
    <xf numFmtId="0" fontId="38" fillId="0" borderId="0" xfId="0" applyFont="1" applyAlignment="1">
      <alignment vertical="center"/>
    </xf>
    <xf numFmtId="0" fontId="0" fillId="2" borderId="1" xfId="0" applyFill="1" applyBorder="1" applyAlignment="1" applyProtection="1">
      <alignment horizontal="center" vertical="center"/>
      <protection locked="0"/>
    </xf>
    <xf numFmtId="0" fontId="0" fillId="2" borderId="38" xfId="0" applyFill="1" applyBorder="1" applyAlignment="1" applyProtection="1">
      <alignment horizontal="center" vertical="center"/>
      <protection locked="0"/>
    </xf>
    <xf numFmtId="0" fontId="50" fillId="26" borderId="1" xfId="0" applyFont="1" applyFill="1" applyBorder="1" applyAlignment="1">
      <alignment horizontal="center" vertical="center" wrapText="1"/>
    </xf>
    <xf numFmtId="0" fontId="55" fillId="27" borderId="1" xfId="0" applyFont="1" applyFill="1" applyBorder="1" applyAlignment="1">
      <alignment horizontal="center" vertical="center" wrapText="1"/>
    </xf>
    <xf numFmtId="0" fontId="55" fillId="10" borderId="1" xfId="0" applyFont="1" applyFill="1" applyBorder="1" applyAlignment="1">
      <alignment horizontal="center" vertical="center" wrapText="1"/>
    </xf>
    <xf numFmtId="0" fontId="55" fillId="24" borderId="1" xfId="0" applyFont="1" applyFill="1" applyBorder="1" applyAlignment="1">
      <alignment horizontal="center" vertical="center"/>
    </xf>
    <xf numFmtId="0" fontId="1" fillId="2" borderId="46" xfId="0" applyFont="1" applyFill="1" applyBorder="1" applyAlignment="1">
      <alignment horizontal="center" vertical="center"/>
    </xf>
    <xf numFmtId="0" fontId="0" fillId="27" borderId="1" xfId="0" applyFill="1" applyBorder="1" applyAlignment="1">
      <alignment horizontal="center" vertical="center"/>
    </xf>
    <xf numFmtId="9" fontId="0" fillId="27" borderId="1" xfId="8" applyFont="1" applyFill="1" applyBorder="1" applyAlignment="1">
      <alignment horizontal="center" vertical="center"/>
    </xf>
    <xf numFmtId="0" fontId="0" fillId="3" borderId="1" xfId="0" applyFill="1" applyBorder="1" applyAlignment="1">
      <alignment horizontal="center" vertical="center"/>
    </xf>
    <xf numFmtId="9" fontId="0" fillId="3" borderId="1" xfId="8" applyFont="1" applyFill="1" applyBorder="1" applyAlignment="1">
      <alignment horizontal="center" vertical="center"/>
    </xf>
    <xf numFmtId="0" fontId="0" fillId="28" borderId="1" xfId="0" applyFill="1" applyBorder="1" applyAlignment="1">
      <alignment horizontal="center" vertical="center" wrapText="1"/>
    </xf>
    <xf numFmtId="0" fontId="0" fillId="28" borderId="1" xfId="0" applyFill="1" applyBorder="1" applyAlignment="1">
      <alignment horizontal="center"/>
    </xf>
    <xf numFmtId="9" fontId="0" fillId="28" borderId="1" xfId="8" applyFont="1" applyFill="1" applyBorder="1" applyAlignment="1">
      <alignment horizontal="center" vertical="center"/>
    </xf>
    <xf numFmtId="9" fontId="0" fillId="28" borderId="1" xfId="8" applyFont="1" applyFill="1" applyBorder="1" applyAlignment="1">
      <alignment horizontal="center"/>
    </xf>
    <xf numFmtId="0" fontId="56" fillId="25"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1" fillId="2" borderId="28" xfId="0" applyFont="1" applyFill="1" applyBorder="1" applyAlignment="1">
      <alignment horizontal="center" vertical="center"/>
    </xf>
    <xf numFmtId="0" fontId="38" fillId="0" borderId="0" xfId="0" quotePrefix="1" applyFont="1" applyAlignment="1">
      <alignment vertical="center"/>
    </xf>
    <xf numFmtId="0" fontId="38" fillId="0" borderId="1" xfId="0" applyFont="1" applyBorder="1" applyAlignment="1">
      <alignment vertical="center"/>
    </xf>
    <xf numFmtId="0" fontId="38" fillId="27" borderId="1" xfId="0" applyFont="1" applyFill="1" applyBorder="1" applyAlignment="1">
      <alignment horizontal="center" vertical="center" wrapText="1"/>
    </xf>
    <xf numFmtId="0" fontId="38" fillId="10" borderId="1" xfId="0" applyFont="1" applyFill="1" applyBorder="1" applyAlignment="1">
      <alignment horizontal="center" vertical="center" wrapText="1"/>
    </xf>
    <xf numFmtId="0" fontId="49" fillId="22" borderId="1" xfId="0" applyFont="1" applyFill="1" applyBorder="1" applyAlignment="1">
      <alignment horizontal="center" vertical="center" wrapText="1"/>
    </xf>
    <xf numFmtId="0" fontId="44" fillId="0" borderId="1" xfId="0" applyFont="1" applyBorder="1" applyAlignment="1">
      <alignment horizontal="center" vertical="center" wrapText="1"/>
    </xf>
    <xf numFmtId="0" fontId="38" fillId="0" borderId="4" xfId="0" applyFont="1" applyBorder="1" applyAlignment="1">
      <alignment horizontal="left" vertical="center" wrapText="1"/>
    </xf>
    <xf numFmtId="0" fontId="44" fillId="0" borderId="38" xfId="0" applyFont="1" applyBorder="1" applyAlignment="1">
      <alignment horizontal="center" vertical="center" wrapText="1"/>
    </xf>
    <xf numFmtId="0" fontId="55" fillId="24" borderId="1" xfId="0" applyFont="1" applyFill="1" applyBorder="1" applyAlignment="1">
      <alignment horizontal="center" vertical="center" wrapText="1"/>
    </xf>
    <xf numFmtId="0" fontId="45" fillId="0" borderId="1" xfId="0" applyFont="1" applyBorder="1" applyAlignment="1">
      <alignment horizontal="center" vertical="center" wrapText="1"/>
    </xf>
    <xf numFmtId="0" fontId="0" fillId="0" borderId="26" xfId="0" applyBorder="1" applyAlignment="1">
      <alignment horizontal="center"/>
    </xf>
    <xf numFmtId="0" fontId="0" fillId="0" borderId="47" xfId="0" applyBorder="1" applyAlignment="1">
      <alignment horizontal="center"/>
    </xf>
    <xf numFmtId="0" fontId="0" fillId="0" borderId="44" xfId="0" applyBorder="1" applyAlignment="1">
      <alignment horizontal="center"/>
    </xf>
    <xf numFmtId="0" fontId="0" fillId="0" borderId="29" xfId="0" applyBorder="1" applyAlignment="1">
      <alignment horizontal="center"/>
    </xf>
    <xf numFmtId="0" fontId="1" fillId="3" borderId="0" xfId="0" applyFont="1" applyFill="1" applyAlignment="1">
      <alignment horizontal="center" vertical="center" wrapText="1"/>
    </xf>
    <xf numFmtId="0" fontId="1" fillId="2" borderId="4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38" fillId="29" borderId="1" xfId="0" applyFont="1" applyFill="1" applyBorder="1" applyAlignment="1">
      <alignment horizontal="center" vertical="center" wrapText="1"/>
    </xf>
    <xf numFmtId="0" fontId="55" fillId="29" borderId="1" xfId="0" applyFont="1" applyFill="1" applyBorder="1" applyAlignment="1">
      <alignment horizontal="center" vertical="center" wrapText="1"/>
    </xf>
    <xf numFmtId="0" fontId="38" fillId="29" borderId="1" xfId="0" applyFont="1" applyFill="1" applyBorder="1" applyAlignment="1">
      <alignment horizontal="left" vertical="center" wrapText="1"/>
    </xf>
    <xf numFmtId="0" fontId="38" fillId="10" borderId="4" xfId="0" applyFont="1" applyFill="1" applyBorder="1" applyAlignment="1">
      <alignment horizontal="center" vertical="center" wrapText="1"/>
    </xf>
    <xf numFmtId="0" fontId="55" fillId="10" borderId="4" xfId="0" applyFont="1" applyFill="1" applyBorder="1" applyAlignment="1">
      <alignment horizontal="center" vertical="center" wrapText="1"/>
    </xf>
    <xf numFmtId="0" fontId="39" fillId="26" borderId="39" xfId="0" applyFont="1" applyFill="1" applyBorder="1" applyAlignment="1">
      <alignment horizontal="center" vertical="center" wrapText="1"/>
    </xf>
    <xf numFmtId="0" fontId="50" fillId="26" borderId="39" xfId="0" applyFont="1" applyFill="1" applyBorder="1" applyAlignment="1">
      <alignment vertical="center" wrapText="1"/>
    </xf>
    <xf numFmtId="0" fontId="39" fillId="26" borderId="39" xfId="0" applyFont="1" applyFill="1" applyBorder="1" applyAlignment="1">
      <alignment vertical="center" wrapText="1"/>
    </xf>
    <xf numFmtId="0" fontId="51" fillId="26" borderId="39" xfId="0" applyFont="1" applyFill="1" applyBorder="1" applyAlignment="1">
      <alignment vertical="center" wrapText="1"/>
    </xf>
    <xf numFmtId="0" fontId="50" fillId="26" borderId="39" xfId="0" applyFont="1" applyFill="1" applyBorder="1" applyAlignment="1">
      <alignment horizontal="center" vertical="center" wrapText="1"/>
    </xf>
    <xf numFmtId="0" fontId="58" fillId="29" borderId="1" xfId="0" applyFont="1" applyFill="1" applyBorder="1" applyAlignment="1">
      <alignment horizontal="center" vertical="center" wrapText="1"/>
    </xf>
    <xf numFmtId="0" fontId="0" fillId="3" borderId="3" xfId="0" applyFill="1" applyBorder="1" applyAlignment="1">
      <alignment horizontal="center" vertical="center" wrapText="1"/>
    </xf>
    <xf numFmtId="0" fontId="0" fillId="27" borderId="39" xfId="0" applyFill="1" applyBorder="1" applyAlignment="1">
      <alignment horizontal="center" vertical="center"/>
    </xf>
    <xf numFmtId="0" fontId="0" fillId="27" borderId="6" xfId="0" applyFill="1" applyBorder="1" applyAlignment="1">
      <alignment horizontal="center" vertical="center" wrapText="1"/>
    </xf>
    <xf numFmtId="0" fontId="1" fillId="2" borderId="46" xfId="0" applyFont="1" applyFill="1" applyBorder="1" applyAlignment="1">
      <alignment horizontal="center" vertical="center" wrapText="1"/>
    </xf>
    <xf numFmtId="0" fontId="1" fillId="2" borderId="48" xfId="0" applyFont="1" applyFill="1" applyBorder="1" applyAlignment="1">
      <alignment horizontal="center" vertical="center" wrapText="1"/>
    </xf>
    <xf numFmtId="0" fontId="1" fillId="2" borderId="49" xfId="0" applyFont="1" applyFill="1" applyBorder="1" applyAlignment="1">
      <alignment horizontal="center" vertical="center" wrapText="1"/>
    </xf>
    <xf numFmtId="0" fontId="1" fillId="2" borderId="45"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44"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1" fillId="3" borderId="0" xfId="0" applyNumberFormat="1" applyFont="1" applyFill="1" applyAlignment="1">
      <alignment horizontal="center" vertical="center" wrapText="1"/>
    </xf>
    <xf numFmtId="49" fontId="1" fillId="2" borderId="0" xfId="0" applyNumberFormat="1" applyFont="1" applyFill="1" applyAlignment="1">
      <alignment horizontal="center" vertical="center" wrapText="1"/>
    </xf>
    <xf numFmtId="49" fontId="38" fillId="0" borderId="1" xfId="0" applyNumberFormat="1" applyFont="1" applyBorder="1" applyAlignment="1">
      <alignment vertical="center"/>
    </xf>
    <xf numFmtId="49" fontId="39" fillId="21" borderId="1" xfId="0" applyNumberFormat="1" applyFont="1" applyFill="1" applyBorder="1" applyAlignment="1">
      <alignment horizontal="center" vertical="center" wrapText="1"/>
    </xf>
    <xf numFmtId="49" fontId="40" fillId="0" borderId="1" xfId="0" applyNumberFormat="1" applyFont="1" applyBorder="1" applyAlignment="1">
      <alignment vertical="center" wrapText="1"/>
    </xf>
    <xf numFmtId="49" fontId="40" fillId="0" borderId="38" xfId="0" applyNumberFormat="1" applyFont="1" applyBorder="1" applyAlignment="1">
      <alignment vertical="center" wrapText="1"/>
    </xf>
    <xf numFmtId="49" fontId="38" fillId="0" borderId="1" xfId="0" applyNumberFormat="1" applyFont="1" applyBorder="1" applyAlignment="1">
      <alignment horizontal="center" vertical="center"/>
    </xf>
    <xf numFmtId="49" fontId="39" fillId="26" borderId="1" xfId="0" applyNumberFormat="1" applyFont="1" applyFill="1" applyBorder="1" applyAlignment="1">
      <alignment horizontal="center" vertical="center" wrapText="1"/>
    </xf>
    <xf numFmtId="49" fontId="40" fillId="0" borderId="1" xfId="0" applyNumberFormat="1" applyFont="1" applyBorder="1" applyAlignment="1">
      <alignment horizontal="center" vertical="center" wrapText="1"/>
    </xf>
    <xf numFmtId="49" fontId="51" fillId="26" borderId="1" xfId="0" applyNumberFormat="1" applyFont="1" applyFill="1" applyBorder="1" applyAlignment="1">
      <alignment horizontal="center" vertical="center" wrapText="1"/>
    </xf>
    <xf numFmtId="49" fontId="40" fillId="2" borderId="1" xfId="0" applyNumberFormat="1" applyFont="1" applyFill="1" applyBorder="1" applyAlignment="1">
      <alignment horizontal="center" vertical="center" wrapText="1"/>
    </xf>
    <xf numFmtId="49" fontId="40" fillId="0" borderId="38" xfId="0" applyNumberFormat="1" applyFont="1" applyBorder="1" applyAlignment="1">
      <alignment horizontal="center" vertical="center" wrapText="1"/>
    </xf>
    <xf numFmtId="49" fontId="50" fillId="26" borderId="1" xfId="0" applyNumberFormat="1" applyFont="1" applyFill="1" applyBorder="1" applyAlignment="1">
      <alignment vertical="center" wrapText="1"/>
    </xf>
    <xf numFmtId="49" fontId="50" fillId="26" borderId="1" xfId="0" applyNumberFormat="1" applyFont="1" applyFill="1" applyBorder="1" applyAlignment="1">
      <alignment horizontal="center" vertical="center" wrapText="1"/>
    </xf>
    <xf numFmtId="0" fontId="1" fillId="3" borderId="0" xfId="0" applyFont="1" applyFill="1" applyAlignment="1">
      <alignment horizontal="left" vertical="center" wrapText="1"/>
    </xf>
    <xf numFmtId="0" fontId="1" fillId="2" borderId="0" xfId="0" applyFont="1" applyFill="1" applyAlignment="1">
      <alignment horizontal="left" vertical="center" wrapText="1"/>
    </xf>
    <xf numFmtId="0" fontId="17" fillId="25" borderId="1" xfId="0" applyFont="1" applyFill="1" applyBorder="1" applyAlignment="1">
      <alignment horizontal="center" vertical="center" wrapText="1"/>
    </xf>
    <xf numFmtId="49" fontId="17" fillId="25" borderId="1" xfId="0" applyNumberFormat="1" applyFont="1" applyFill="1" applyBorder="1" applyAlignment="1">
      <alignment horizontal="center" vertical="center" wrapText="1"/>
    </xf>
    <xf numFmtId="0" fontId="2" fillId="3" borderId="0" xfId="0" applyFont="1" applyFill="1" applyAlignment="1">
      <alignment horizontal="center" vertical="center"/>
    </xf>
    <xf numFmtId="0" fontId="2" fillId="2" borderId="0" xfId="0" applyFont="1" applyFill="1" applyAlignment="1">
      <alignment horizontal="center" vertical="center"/>
    </xf>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0" fontId="60" fillId="29" borderId="1" xfId="0" applyFont="1" applyFill="1" applyBorder="1" applyAlignment="1">
      <alignment vertical="center" wrapText="1"/>
    </xf>
    <xf numFmtId="0" fontId="60" fillId="29" borderId="1" xfId="0" applyFont="1" applyFill="1" applyBorder="1" applyAlignment="1">
      <alignment horizontal="center" vertical="center" wrapText="1"/>
    </xf>
    <xf numFmtId="0" fontId="61" fillId="26" borderId="39" xfId="0" applyFont="1" applyFill="1" applyBorder="1" applyAlignment="1">
      <alignment horizontal="center" vertical="center" wrapText="1"/>
    </xf>
    <xf numFmtId="0" fontId="59" fillId="0" borderId="1" xfId="0" applyFont="1" applyBorder="1" applyAlignment="1">
      <alignment horizontal="center" vertical="center"/>
    </xf>
    <xf numFmtId="0" fontId="60" fillId="27" borderId="1" xfId="0" applyFont="1" applyFill="1" applyBorder="1" applyAlignment="1">
      <alignment horizontal="center" vertical="center" wrapText="1"/>
    </xf>
    <xf numFmtId="0" fontId="62" fillId="26" borderId="39" xfId="0" applyFont="1" applyFill="1" applyBorder="1" applyAlignment="1">
      <alignment vertical="center" wrapText="1"/>
    </xf>
    <xf numFmtId="0" fontId="1" fillId="30" borderId="1" xfId="0" applyFont="1" applyFill="1" applyBorder="1" applyAlignment="1">
      <alignment horizontal="center" vertical="center" wrapText="1"/>
    </xf>
    <xf numFmtId="0" fontId="63" fillId="0" borderId="0" xfId="0" applyFont="1"/>
    <xf numFmtId="0" fontId="64" fillId="2" borderId="0" xfId="0" applyFont="1" applyFill="1" applyAlignment="1">
      <alignment horizontal="center" vertical="center"/>
    </xf>
    <xf numFmtId="0" fontId="2" fillId="2" borderId="0" xfId="0" applyFont="1" applyFill="1" applyAlignment="1">
      <alignment horizontal="left"/>
    </xf>
    <xf numFmtId="0" fontId="64" fillId="2" borderId="0" xfId="0" applyFont="1" applyFill="1" applyAlignment="1">
      <alignment horizontal="left" vertical="center"/>
    </xf>
    <xf numFmtId="0" fontId="64" fillId="2" borderId="0" xfId="0" applyFont="1" applyFill="1" applyAlignment="1">
      <alignment horizontal="left" vertical="top"/>
    </xf>
    <xf numFmtId="0" fontId="57" fillId="2" borderId="0" xfId="0" applyFont="1" applyFill="1" applyAlignment="1">
      <alignment vertical="center" readingOrder="2"/>
    </xf>
    <xf numFmtId="0" fontId="65" fillId="2" borderId="0" xfId="0" applyFont="1" applyFill="1" applyAlignment="1">
      <alignment vertical="center" readingOrder="2"/>
    </xf>
    <xf numFmtId="0" fontId="0" fillId="0" borderId="0" xfId="0" applyAlignment="1">
      <alignment horizontal="center" wrapText="1"/>
    </xf>
    <xf numFmtId="9" fontId="0" fillId="0" borderId="0" xfId="8" applyFont="1"/>
    <xf numFmtId="0" fontId="2" fillId="31" borderId="1" xfId="0" applyFont="1" applyFill="1" applyBorder="1" applyAlignment="1">
      <alignment horizontal="center" vertical="center" wrapText="1"/>
    </xf>
    <xf numFmtId="0" fontId="1" fillId="31" borderId="1" xfId="0" applyFont="1" applyFill="1" applyBorder="1" applyAlignment="1">
      <alignment horizontal="center" vertical="center" wrapText="1"/>
    </xf>
    <xf numFmtId="0" fontId="1" fillId="31" borderId="1" xfId="0" applyFont="1" applyFill="1" applyBorder="1" applyAlignment="1">
      <alignment horizontal="left" vertical="center" wrapText="1"/>
    </xf>
    <xf numFmtId="0" fontId="66" fillId="2" borderId="0" xfId="0" applyFont="1" applyFill="1" applyAlignment="1">
      <alignment horizontal="center" vertical="center"/>
    </xf>
    <xf numFmtId="0" fontId="8" fillId="2" borderId="7" xfId="0" applyFont="1" applyFill="1" applyBorder="1" applyAlignment="1">
      <alignment horizontal="center" vertical="center" readingOrder="2"/>
    </xf>
    <xf numFmtId="0" fontId="20" fillId="3" borderId="0" xfId="0" applyFont="1" applyFill="1" applyAlignment="1">
      <alignment horizontal="center"/>
    </xf>
    <xf numFmtId="0" fontId="20" fillId="2" borderId="0" xfId="0" applyFont="1" applyFill="1" applyAlignment="1">
      <alignment horizontal="center"/>
    </xf>
    <xf numFmtId="0" fontId="20" fillId="3" borderId="0" xfId="0" applyFont="1" applyFill="1" applyAlignment="1">
      <alignment horizontal="center" vertical="center"/>
    </xf>
    <xf numFmtId="0" fontId="3" fillId="2" borderId="0" xfId="0" applyFont="1" applyFill="1" applyAlignment="1">
      <alignment vertical="center"/>
    </xf>
    <xf numFmtId="0" fontId="20" fillId="2" borderId="0" xfId="0" applyFont="1" applyFill="1" applyAlignment="1">
      <alignment horizontal="center" vertical="center"/>
    </xf>
    <xf numFmtId="0" fontId="7" fillId="3" borderId="0" xfId="0" applyFont="1" applyFill="1" applyAlignment="1">
      <alignment horizontal="center" vertical="center"/>
    </xf>
    <xf numFmtId="0" fontId="5" fillId="3" borderId="0" xfId="0" applyFont="1" applyFill="1" applyAlignment="1">
      <alignment vertical="center" readingOrder="2"/>
    </xf>
    <xf numFmtId="0" fontId="3" fillId="3" borderId="0" xfId="0" applyFont="1" applyFill="1" applyAlignment="1">
      <alignment vertical="center"/>
    </xf>
    <xf numFmtId="0" fontId="20" fillId="3" borderId="0" xfId="0" applyFont="1" applyFill="1" applyAlignment="1">
      <alignment horizontal="right" vertical="center" wrapText="1"/>
    </xf>
    <xf numFmtId="0" fontId="20" fillId="2" borderId="0" xfId="0" applyFont="1" applyFill="1" applyAlignment="1">
      <alignment horizontal="right" vertical="center" wrapText="1"/>
    </xf>
    <xf numFmtId="0" fontId="1" fillId="2" borderId="0" xfId="0" applyFont="1" applyFill="1" applyAlignment="1">
      <alignment vertical="center"/>
    </xf>
    <xf numFmtId="0" fontId="1" fillId="0" borderId="0" xfId="0" applyFont="1" applyAlignment="1">
      <alignment vertical="center"/>
    </xf>
    <xf numFmtId="0" fontId="16" fillId="2" borderId="0" xfId="0" applyFont="1" applyFill="1" applyAlignment="1">
      <alignment horizontal="right" vertical="center" wrapText="1"/>
    </xf>
    <xf numFmtId="0" fontId="1" fillId="0" borderId="0" xfId="0" applyFont="1"/>
    <xf numFmtId="0" fontId="67" fillId="32" borderId="21" xfId="0" applyFont="1" applyFill="1" applyBorder="1" applyAlignment="1">
      <alignment horizontal="center" vertical="center" wrapText="1"/>
    </xf>
    <xf numFmtId="0" fontId="14" fillId="33" borderId="21" xfId="0" applyFont="1" applyFill="1" applyBorder="1" applyAlignment="1">
      <alignment horizontal="center" vertical="center" wrapText="1"/>
    </xf>
    <xf numFmtId="0" fontId="2" fillId="20" borderId="21" xfId="0" applyFont="1" applyFill="1" applyBorder="1" applyAlignment="1">
      <alignment horizontal="center" vertical="center" wrapText="1"/>
    </xf>
    <xf numFmtId="0" fontId="2" fillId="34" borderId="22" xfId="0" applyFont="1" applyFill="1" applyBorder="1" applyAlignment="1">
      <alignment horizontal="center" vertical="center" wrapText="1"/>
    </xf>
    <xf numFmtId="0" fontId="1" fillId="2" borderId="0" xfId="0" applyFont="1" applyFill="1" applyAlignment="1">
      <alignment wrapText="1" readingOrder="2"/>
    </xf>
    <xf numFmtId="0" fontId="20" fillId="2" borderId="0" xfId="0" applyFont="1" applyFill="1"/>
    <xf numFmtId="0" fontId="20" fillId="2" borderId="0" xfId="0" applyFont="1" applyFill="1" applyAlignment="1">
      <alignment horizontal="right" vertical="center" wrapText="1" readingOrder="2"/>
    </xf>
    <xf numFmtId="0" fontId="5" fillId="2" borderId="0" xfId="0" applyFont="1" applyFill="1" applyAlignment="1">
      <alignment horizontal="center" vertical="center" readingOrder="2"/>
    </xf>
    <xf numFmtId="0" fontId="10" fillId="2" borderId="0" xfId="0" applyFont="1" applyFill="1" applyAlignment="1">
      <alignment horizontal="center" vertical="center" readingOrder="2"/>
    </xf>
    <xf numFmtId="0" fontId="9" fillId="2" borderId="0" xfId="0" applyFont="1" applyFill="1" applyAlignment="1">
      <alignment horizontal="center" vertical="center" readingOrder="2"/>
    </xf>
    <xf numFmtId="0" fontId="18" fillId="0" borderId="0" xfId="0" applyFont="1" applyAlignment="1">
      <alignment horizontal="center" vertical="center" readingOrder="2"/>
    </xf>
    <xf numFmtId="0" fontId="68" fillId="2" borderId="9" xfId="0" applyFont="1" applyFill="1" applyBorder="1" applyAlignment="1">
      <alignment horizontal="center" vertical="center" readingOrder="2"/>
    </xf>
    <xf numFmtId="0" fontId="20" fillId="2" borderId="24" xfId="0" applyFont="1" applyFill="1" applyBorder="1" applyAlignment="1">
      <alignment horizontal="right" vertical="center" wrapText="1"/>
    </xf>
    <xf numFmtId="0" fontId="20" fillId="2" borderId="3" xfId="0" applyFont="1" applyFill="1" applyBorder="1" applyAlignment="1">
      <alignment horizontal="right" vertical="center" wrapText="1"/>
    </xf>
    <xf numFmtId="0" fontId="20" fillId="2" borderId="11" xfId="0" applyFont="1" applyFill="1" applyBorder="1" applyAlignment="1">
      <alignment horizontal="right" vertical="center" wrapText="1"/>
    </xf>
    <xf numFmtId="0" fontId="20" fillId="2" borderId="16" xfId="0" applyFont="1" applyFill="1" applyBorder="1" applyAlignment="1">
      <alignment horizontal="right" vertical="center" wrapText="1"/>
    </xf>
    <xf numFmtId="0" fontId="20" fillId="2" borderId="0" xfId="0" applyFont="1" applyFill="1" applyAlignment="1">
      <alignment vertical="center"/>
    </xf>
    <xf numFmtId="0" fontId="69" fillId="2" borderId="6" xfId="0" applyFont="1" applyFill="1" applyBorder="1" applyAlignment="1">
      <alignment horizontal="center" vertical="center" wrapText="1"/>
    </xf>
    <xf numFmtId="0" fontId="20" fillId="2" borderId="14" xfId="0" applyFont="1" applyFill="1" applyBorder="1" applyAlignment="1" applyProtection="1">
      <alignment horizontal="right" vertical="center"/>
      <protection locked="0"/>
    </xf>
    <xf numFmtId="0" fontId="70" fillId="2" borderId="0" xfId="0" applyFont="1" applyFill="1" applyAlignment="1">
      <alignment horizontal="center" vertical="center"/>
    </xf>
    <xf numFmtId="0" fontId="1" fillId="32" borderId="0" xfId="0" applyFont="1" applyFill="1" applyAlignment="1">
      <alignment vertical="center"/>
    </xf>
    <xf numFmtId="0" fontId="3" fillId="32" borderId="0" xfId="0" applyFont="1" applyFill="1" applyAlignment="1">
      <alignment vertical="center"/>
    </xf>
    <xf numFmtId="0" fontId="16" fillId="32" borderId="0" xfId="0" applyFont="1" applyFill="1" applyAlignment="1">
      <alignment horizontal="right" vertical="center" wrapText="1" readingOrder="2"/>
    </xf>
    <xf numFmtId="0" fontId="3" fillId="32" borderId="0" xfId="0" applyFont="1" applyFill="1"/>
    <xf numFmtId="0" fontId="1" fillId="32" borderId="0" xfId="0" applyFont="1" applyFill="1"/>
    <xf numFmtId="0" fontId="68" fillId="2" borderId="0" xfId="0" applyFont="1" applyFill="1" applyAlignment="1">
      <alignment horizontal="center" vertical="center" readingOrder="2"/>
    </xf>
    <xf numFmtId="0" fontId="0" fillId="3" borderId="0" xfId="0" applyFill="1" applyAlignment="1">
      <alignment horizontal="center" vertical="center"/>
    </xf>
    <xf numFmtId="0" fontId="20" fillId="2" borderId="24" xfId="0" applyFont="1" applyFill="1" applyBorder="1" applyAlignment="1">
      <alignment horizontal="right" vertical="center" wrapText="1" readingOrder="2"/>
    </xf>
    <xf numFmtId="0" fontId="20" fillId="2" borderId="3" xfId="0" applyFont="1" applyFill="1" applyBorder="1" applyAlignment="1">
      <alignment horizontal="right" vertical="center" wrapText="1" readingOrder="2"/>
    </xf>
    <xf numFmtId="0" fontId="20" fillId="2" borderId="25" xfId="0" applyFont="1" applyFill="1" applyBorder="1" applyAlignment="1">
      <alignment horizontal="right" vertical="center" wrapText="1" readingOrder="2"/>
    </xf>
    <xf numFmtId="0" fontId="20" fillId="3" borderId="0" xfId="0" applyFont="1" applyFill="1"/>
    <xf numFmtId="0" fontId="20" fillId="2" borderId="3" xfId="0" applyFont="1" applyFill="1" applyBorder="1" applyAlignment="1">
      <alignment vertical="center" readingOrder="2"/>
    </xf>
    <xf numFmtId="0" fontId="20" fillId="35" borderId="3" xfId="0" applyFont="1" applyFill="1" applyBorder="1" applyAlignment="1">
      <alignment vertical="center"/>
    </xf>
    <xf numFmtId="0" fontId="20" fillId="35" borderId="3" xfId="0" applyFont="1" applyFill="1" applyBorder="1" applyAlignment="1">
      <alignment vertical="center" wrapText="1"/>
    </xf>
    <xf numFmtId="0" fontId="20" fillId="2" borderId="3" xfId="0" applyFont="1" applyFill="1" applyBorder="1" applyAlignment="1">
      <alignment vertical="center" wrapText="1"/>
    </xf>
    <xf numFmtId="0" fontId="20" fillId="35" borderId="3" xfId="0" applyFont="1" applyFill="1" applyBorder="1" applyAlignment="1">
      <alignment horizontal="right"/>
    </xf>
    <xf numFmtId="0" fontId="20" fillId="2" borderId="3" xfId="0" applyFont="1" applyFill="1" applyBorder="1" applyAlignment="1">
      <alignment horizontal="right"/>
    </xf>
    <xf numFmtId="0" fontId="20" fillId="35" borderId="25" xfId="0" applyFont="1" applyFill="1" applyBorder="1" applyAlignment="1">
      <alignment horizontal="right" vertical="center"/>
    </xf>
    <xf numFmtId="0" fontId="20" fillId="2" borderId="3" xfId="0" applyFont="1" applyFill="1" applyBorder="1"/>
    <xf numFmtId="0" fontId="20" fillId="35" borderId="25" xfId="0" applyFont="1" applyFill="1" applyBorder="1" applyAlignment="1">
      <alignment vertical="center" wrapText="1"/>
    </xf>
    <xf numFmtId="0" fontId="70" fillId="2" borderId="0" xfId="0" applyFont="1" applyFill="1" applyAlignment="1">
      <alignment horizontal="right" vertical="center" wrapText="1" readingOrder="2"/>
    </xf>
    <xf numFmtId="0" fontId="0" fillId="0" borderId="1" xfId="0" applyBorder="1"/>
    <xf numFmtId="0" fontId="3" fillId="2" borderId="0" xfId="0" applyFont="1" applyFill="1" applyAlignment="1">
      <alignment horizontal="right" vertical="center" wrapText="1" readingOrder="2"/>
    </xf>
    <xf numFmtId="0" fontId="0" fillId="2" borderId="0" xfId="0" applyFill="1" applyAlignment="1">
      <alignment horizontal="right" vertical="center" readingOrder="2"/>
    </xf>
    <xf numFmtId="0" fontId="0" fillId="2" borderId="0" xfId="0" applyFill="1" applyAlignment="1">
      <alignment horizontal="right" vertical="center"/>
    </xf>
    <xf numFmtId="0" fontId="0" fillId="0" borderId="0" xfId="0" applyAlignment="1">
      <alignment horizontal="right" vertical="center"/>
    </xf>
    <xf numFmtId="0" fontId="20" fillId="2" borderId="0" xfId="0" applyFont="1" applyFill="1" applyAlignment="1">
      <alignment horizontal="right" vertical="center"/>
    </xf>
    <xf numFmtId="0" fontId="3" fillId="2" borderId="0" xfId="0" applyFont="1" applyFill="1" applyAlignment="1">
      <alignment horizontal="right" vertical="center"/>
    </xf>
    <xf numFmtId="0" fontId="70" fillId="2" borderId="0" xfId="0" applyFont="1" applyFill="1" applyAlignment="1">
      <alignment horizontal="right" vertical="center"/>
    </xf>
    <xf numFmtId="0" fontId="20" fillId="2" borderId="0" xfId="0" applyFont="1" applyFill="1" applyAlignment="1">
      <alignment horizontal="right" vertical="center" readingOrder="2"/>
    </xf>
    <xf numFmtId="0" fontId="20" fillId="32" borderId="0" xfId="0" applyFont="1" applyFill="1" applyAlignment="1">
      <alignment horizontal="right" vertical="center"/>
    </xf>
    <xf numFmtId="0" fontId="20" fillId="32" borderId="0" xfId="0" applyFont="1" applyFill="1" applyAlignment="1">
      <alignment horizontal="right" vertical="center" wrapText="1" readingOrder="2"/>
    </xf>
    <xf numFmtId="0" fontId="5" fillId="2" borderId="0" xfId="0" applyFont="1" applyFill="1" applyAlignment="1">
      <alignment vertical="center" readingOrder="2"/>
    </xf>
    <xf numFmtId="0" fontId="10" fillId="2" borderId="0" xfId="0" applyFont="1" applyFill="1" applyAlignment="1">
      <alignment horizontal="center" readingOrder="2"/>
    </xf>
    <xf numFmtId="0" fontId="71" fillId="2" borderId="0" xfId="0" applyFont="1" applyFill="1" applyAlignment="1">
      <alignment horizontal="center" vertical="center" wrapText="1"/>
    </xf>
    <xf numFmtId="0" fontId="20" fillId="35" borderId="0" xfId="0" applyFont="1" applyFill="1" applyAlignment="1">
      <alignment vertical="center" wrapText="1"/>
    </xf>
    <xf numFmtId="0" fontId="20" fillId="2" borderId="10" xfId="0" applyFont="1" applyFill="1" applyBorder="1" applyAlignment="1">
      <alignment horizontal="right" vertical="center" wrapText="1" readingOrder="2"/>
    </xf>
    <xf numFmtId="0" fontId="20" fillId="2" borderId="13" xfId="0" applyFont="1" applyFill="1" applyBorder="1"/>
    <xf numFmtId="0" fontId="20" fillId="2" borderId="15" xfId="0" applyFont="1" applyFill="1" applyBorder="1" applyAlignment="1">
      <alignment horizontal="right" vertical="center" wrapText="1" readingOrder="2"/>
    </xf>
    <xf numFmtId="0" fontId="20" fillId="35" borderId="0" xfId="0" applyFont="1" applyFill="1" applyAlignment="1">
      <alignment horizontal="right" vertical="center"/>
    </xf>
    <xf numFmtId="0" fontId="69" fillId="2" borderId="0" xfId="0" applyFont="1" applyFill="1" applyAlignment="1">
      <alignment horizontal="center" vertical="center" wrapText="1"/>
    </xf>
    <xf numFmtId="0" fontId="20" fillId="2" borderId="1" xfId="0" applyFont="1" applyFill="1" applyBorder="1" applyAlignment="1">
      <alignment horizontal="right" vertical="center" wrapText="1"/>
    </xf>
    <xf numFmtId="0" fontId="20" fillId="2" borderId="1" xfId="0" applyFont="1" applyFill="1" applyBorder="1"/>
    <xf numFmtId="0" fontId="69" fillId="2" borderId="0" xfId="0" applyFont="1" applyFill="1" applyAlignment="1">
      <alignment vertical="center"/>
    </xf>
    <xf numFmtId="0" fontId="20" fillId="0" borderId="1" xfId="0" applyFont="1" applyBorder="1" applyAlignment="1">
      <alignment horizontal="right" vertical="center" wrapText="1"/>
    </xf>
    <xf numFmtId="0" fontId="20" fillId="2" borderId="1" xfId="0" applyFont="1" applyFill="1" applyBorder="1" applyAlignment="1">
      <alignment vertical="center"/>
    </xf>
    <xf numFmtId="0" fontId="20" fillId="35" borderId="1" xfId="0" applyFont="1" applyFill="1" applyBorder="1" applyAlignment="1">
      <alignment vertical="center"/>
    </xf>
    <xf numFmtId="0" fontId="20" fillId="35" borderId="16" xfId="0" applyFont="1" applyFill="1" applyBorder="1" applyAlignment="1">
      <alignment horizontal="right" vertical="center" wrapText="1"/>
    </xf>
    <xf numFmtId="0" fontId="20" fillId="2" borderId="0" xfId="0" applyFont="1" applyFill="1" applyAlignment="1">
      <alignment vertical="center" wrapText="1"/>
    </xf>
    <xf numFmtId="0" fontId="20" fillId="35" borderId="0" xfId="0" applyFont="1" applyFill="1" applyAlignment="1">
      <alignment vertical="center"/>
    </xf>
    <xf numFmtId="0" fontId="18" fillId="2" borderId="10" xfId="0" applyFont="1" applyFill="1" applyBorder="1" applyAlignment="1">
      <alignment vertical="center" wrapText="1"/>
    </xf>
    <xf numFmtId="0" fontId="73" fillId="0" borderId="29" xfId="0" applyFont="1" applyBorder="1"/>
    <xf numFmtId="0" fontId="73" fillId="0" borderId="10" xfId="0" applyFont="1" applyBorder="1"/>
    <xf numFmtId="0" fontId="0" fillId="0" borderId="11" xfId="0" applyBorder="1"/>
    <xf numFmtId="0" fontId="0" fillId="0" borderId="12" xfId="0" applyBorder="1"/>
    <xf numFmtId="0" fontId="18" fillId="2" borderId="13" xfId="0" applyFont="1" applyFill="1" applyBorder="1" applyAlignment="1">
      <alignment vertical="center" wrapText="1"/>
    </xf>
    <xf numFmtId="0" fontId="0" fillId="0" borderId="14" xfId="0" applyBorder="1"/>
    <xf numFmtId="0" fontId="0" fillId="0" borderId="16" xfId="0" applyBorder="1"/>
    <xf numFmtId="0" fontId="0" fillId="0" borderId="17" xfId="0" applyBorder="1"/>
    <xf numFmtId="9" fontId="0" fillId="0" borderId="11" xfId="8" applyFont="1" applyBorder="1"/>
    <xf numFmtId="9" fontId="0" fillId="0" borderId="1" xfId="8" applyFont="1" applyBorder="1"/>
    <xf numFmtId="9" fontId="0" fillId="0" borderId="16" xfId="8" applyFont="1" applyBorder="1"/>
    <xf numFmtId="0" fontId="18" fillId="2" borderId="15" xfId="0" applyFont="1" applyFill="1" applyBorder="1" applyAlignment="1">
      <alignment vertical="center" wrapText="1"/>
    </xf>
    <xf numFmtId="0" fontId="0" fillId="0" borderId="29" xfId="0" applyBorder="1"/>
    <xf numFmtId="0" fontId="18" fillId="2" borderId="29" xfId="0" applyFont="1" applyFill="1" applyBorder="1" applyAlignment="1">
      <alignment vertical="center" wrapText="1"/>
    </xf>
    <xf numFmtId="9" fontId="0" fillId="36" borderId="0" xfId="8" applyFont="1" applyFill="1"/>
    <xf numFmtId="0" fontId="0" fillId="36" borderId="0" xfId="0" applyFill="1"/>
    <xf numFmtId="0" fontId="9" fillId="2" borderId="0" xfId="0" applyFont="1" applyFill="1" applyAlignment="1">
      <alignment vertical="center" readingOrder="2"/>
    </xf>
    <xf numFmtId="9" fontId="0" fillId="0" borderId="0" xfId="0" applyNumberFormat="1"/>
    <xf numFmtId="0" fontId="75" fillId="2" borderId="0" xfId="0" applyFont="1" applyFill="1"/>
    <xf numFmtId="0" fontId="1" fillId="0" borderId="0" xfId="0" applyFont="1" applyAlignment="1">
      <alignment horizontal="center" vertical="center"/>
    </xf>
    <xf numFmtId="0" fontId="12" fillId="2" borderId="0" xfId="0" applyFont="1" applyFill="1" applyAlignment="1">
      <alignment horizontal="center" vertical="center" wrapText="1"/>
    </xf>
    <xf numFmtId="0" fontId="1" fillId="16" borderId="0" xfId="0" applyFont="1" applyFill="1"/>
    <xf numFmtId="0" fontId="74" fillId="16" borderId="0" xfId="0" applyFont="1" applyFill="1"/>
    <xf numFmtId="0" fontId="18" fillId="2" borderId="0" xfId="0" applyFont="1" applyFill="1" applyAlignment="1">
      <alignment horizontal="center" vertical="center" readingOrder="2"/>
    </xf>
    <xf numFmtId="0" fontId="76" fillId="16" borderId="0" xfId="0" applyFont="1" applyFill="1" applyAlignment="1">
      <alignment horizontal="left"/>
    </xf>
    <xf numFmtId="0" fontId="1" fillId="37" borderId="0" xfId="0" applyFont="1" applyFill="1"/>
    <xf numFmtId="0" fontId="10" fillId="2" borderId="9" xfId="0" applyFont="1" applyFill="1" applyBorder="1" applyAlignment="1">
      <alignment vertical="center" readingOrder="2"/>
    </xf>
    <xf numFmtId="0" fontId="2" fillId="0" borderId="20" xfId="0" applyFont="1" applyBorder="1" applyAlignment="1">
      <alignment horizontal="center" vertical="center"/>
    </xf>
    <xf numFmtId="0" fontId="1" fillId="0" borderId="26" xfId="0" applyFont="1" applyBorder="1" applyAlignment="1">
      <alignment horizontal="center"/>
    </xf>
    <xf numFmtId="0" fontId="3" fillId="0" borderId="12" xfId="0" applyFont="1" applyBorder="1" applyAlignment="1">
      <alignment horizontal="center" vertical="center"/>
    </xf>
    <xf numFmtId="0" fontId="3" fillId="0" borderId="14" xfId="0" applyFont="1" applyBorder="1"/>
    <xf numFmtId="0" fontId="3" fillId="0" borderId="12" xfId="0" applyFont="1" applyBorder="1" applyAlignment="1">
      <alignment horizontal="center"/>
    </xf>
    <xf numFmtId="0" fontId="3" fillId="0" borderId="0" xfId="0" applyFont="1"/>
    <xf numFmtId="0" fontId="3" fillId="0" borderId="17" xfId="0" applyFont="1" applyBorder="1" applyAlignment="1">
      <alignment horizontal="center"/>
    </xf>
    <xf numFmtId="0" fontId="3" fillId="0" borderId="14" xfId="0" applyFont="1" applyBorder="1" applyAlignment="1">
      <alignment horizontal="center"/>
    </xf>
    <xf numFmtId="0" fontId="3" fillId="0" borderId="12" xfId="0" applyFont="1" applyBorder="1"/>
    <xf numFmtId="0" fontId="3" fillId="0" borderId="17" xfId="0" applyFont="1" applyBorder="1"/>
    <xf numFmtId="0" fontId="20" fillId="0" borderId="3" xfId="0" applyFont="1" applyBorder="1"/>
    <xf numFmtId="0" fontId="1" fillId="0" borderId="25" xfId="0" applyFont="1" applyBorder="1" applyAlignment="1">
      <alignment vertical="center" readingOrder="2"/>
    </xf>
    <xf numFmtId="0" fontId="0" fillId="0" borderId="0" xfId="0" applyAlignment="1">
      <alignment horizontal="right"/>
    </xf>
    <xf numFmtId="0" fontId="68" fillId="2" borderId="0" xfId="0" applyFont="1" applyFill="1" applyAlignment="1" applyProtection="1">
      <alignment horizontal="center" vertical="center" readingOrder="2"/>
      <protection locked="0"/>
    </xf>
    <xf numFmtId="0" fontId="20" fillId="2" borderId="12" xfId="0" applyFont="1" applyFill="1" applyBorder="1" applyAlignment="1" applyProtection="1">
      <alignment horizontal="center" vertical="center"/>
      <protection locked="0"/>
    </xf>
    <xf numFmtId="0" fontId="20" fillId="2" borderId="17" xfId="0" applyFont="1" applyFill="1" applyBorder="1" applyAlignment="1" applyProtection="1">
      <alignment horizontal="center" vertical="center"/>
      <protection locked="0"/>
    </xf>
    <xf numFmtId="0" fontId="20" fillId="2" borderId="0" xfId="0" applyFont="1" applyFill="1" applyAlignment="1" applyProtection="1">
      <alignment horizontal="center" vertical="center"/>
      <protection locked="0"/>
    </xf>
    <xf numFmtId="0" fontId="20" fillId="2" borderId="14" xfId="0" applyFont="1" applyFill="1" applyBorder="1" applyAlignment="1" applyProtection="1">
      <alignment horizontal="center" vertical="center"/>
      <protection locked="0"/>
    </xf>
    <xf numFmtId="0" fontId="20" fillId="2" borderId="12" xfId="0" applyFont="1" applyFill="1" applyBorder="1" applyAlignment="1" applyProtection="1">
      <alignment horizontal="right" vertical="center" wrapText="1" readingOrder="2"/>
      <protection locked="0"/>
    </xf>
    <xf numFmtId="0" fontId="20" fillId="2" borderId="14" xfId="0" applyFont="1" applyFill="1" applyBorder="1" applyAlignment="1" applyProtection="1">
      <alignment horizontal="right" vertical="center" wrapText="1" readingOrder="2"/>
      <protection locked="0"/>
    </xf>
    <xf numFmtId="0" fontId="20" fillId="2" borderId="17" xfId="0" applyFont="1" applyFill="1" applyBorder="1" applyAlignment="1" applyProtection="1">
      <alignment horizontal="right" vertical="center" wrapText="1" readingOrder="2"/>
      <protection locked="0"/>
    </xf>
    <xf numFmtId="0" fontId="20" fillId="2" borderId="0" xfId="0" applyFont="1" applyFill="1" applyAlignment="1" applyProtection="1">
      <alignment horizontal="right" vertical="center" wrapText="1" readingOrder="2"/>
      <protection locked="0"/>
    </xf>
    <xf numFmtId="0" fontId="20" fillId="2" borderId="12" xfId="0" applyFont="1" applyFill="1" applyBorder="1" applyAlignment="1" applyProtection="1">
      <alignment wrapText="1" readingOrder="2"/>
      <protection locked="0"/>
    </xf>
    <xf numFmtId="0" fontId="20" fillId="2" borderId="14" xfId="0" applyFont="1" applyFill="1" applyBorder="1" applyAlignment="1" applyProtection="1">
      <alignment wrapText="1" readingOrder="2"/>
      <protection locked="0"/>
    </xf>
    <xf numFmtId="0" fontId="20" fillId="2" borderId="17" xfId="0" applyFont="1" applyFill="1" applyBorder="1" applyAlignment="1" applyProtection="1">
      <alignment wrapText="1" readingOrder="2"/>
      <protection locked="0"/>
    </xf>
    <xf numFmtId="0" fontId="20" fillId="2" borderId="0" xfId="0" applyFont="1" applyFill="1" applyAlignment="1" applyProtection="1">
      <alignment wrapText="1" readingOrder="2"/>
      <protection locked="0"/>
    </xf>
    <xf numFmtId="0" fontId="20" fillId="2" borderId="1" xfId="0" applyFont="1" applyFill="1" applyBorder="1" applyAlignment="1" applyProtection="1">
      <alignment wrapText="1" readingOrder="2"/>
      <protection locked="0"/>
    </xf>
    <xf numFmtId="0" fontId="1" fillId="2" borderId="12" xfId="0" applyFont="1" applyFill="1" applyBorder="1" applyAlignment="1" applyProtection="1">
      <alignment horizontal="center"/>
      <protection locked="0"/>
    </xf>
    <xf numFmtId="0" fontId="1" fillId="2" borderId="17" xfId="0" applyFont="1" applyFill="1" applyBorder="1" applyAlignment="1" applyProtection="1">
      <alignment horizontal="center"/>
      <protection locked="0"/>
    </xf>
    <xf numFmtId="0" fontId="1" fillId="2" borderId="0" xfId="0" applyFont="1" applyFill="1" applyAlignment="1" applyProtection="1">
      <alignment horizontal="center"/>
      <protection locked="0"/>
    </xf>
    <xf numFmtId="0" fontId="1" fillId="2" borderId="14" xfId="0" applyFont="1" applyFill="1" applyBorder="1" applyAlignment="1" applyProtection="1">
      <alignment horizontal="center"/>
      <protection locked="0"/>
    </xf>
    <xf numFmtId="0" fontId="1" fillId="0" borderId="17" xfId="0" applyFont="1" applyBorder="1" applyAlignment="1" applyProtection="1">
      <alignment horizontal="center"/>
      <protection locked="0"/>
    </xf>
    <xf numFmtId="0" fontId="3" fillId="0" borderId="14" xfId="0" applyFont="1" applyBorder="1" applyAlignment="1">
      <alignment horizontal="center" vertical="center"/>
    </xf>
    <xf numFmtId="0" fontId="3" fillId="3" borderId="0" xfId="0" applyFont="1" applyFill="1" applyAlignment="1">
      <alignment horizontal="right"/>
    </xf>
    <xf numFmtId="0" fontId="10" fillId="2" borderId="0" xfId="0" applyFont="1" applyFill="1" applyAlignment="1">
      <alignment horizontal="right" vertical="center"/>
    </xf>
    <xf numFmtId="0" fontId="20" fillId="2" borderId="11" xfId="0" applyFont="1" applyFill="1" applyBorder="1" applyAlignment="1">
      <alignment horizontal="right"/>
    </xf>
    <xf numFmtId="0" fontId="20" fillId="2" borderId="1" xfId="0" applyFont="1" applyFill="1" applyBorder="1" applyAlignment="1">
      <alignment horizontal="right"/>
    </xf>
    <xf numFmtId="0" fontId="20" fillId="2" borderId="16" xfId="0" applyFont="1" applyFill="1" applyBorder="1" applyAlignment="1">
      <alignment horizontal="right"/>
    </xf>
    <xf numFmtId="0" fontId="3" fillId="2" borderId="0" xfId="0" applyFont="1" applyFill="1" applyAlignment="1">
      <alignment horizontal="right"/>
    </xf>
    <xf numFmtId="0" fontId="20" fillId="2" borderId="0" xfId="0" applyFont="1" applyFill="1" applyAlignment="1">
      <alignment horizontal="right"/>
    </xf>
    <xf numFmtId="0" fontId="7" fillId="2" borderId="0" xfId="0" applyFont="1" applyFill="1" applyAlignment="1">
      <alignment horizontal="center"/>
    </xf>
    <xf numFmtId="0" fontId="68" fillId="2" borderId="0" xfId="0" applyFont="1" applyFill="1" applyAlignment="1">
      <alignment horizontal="center" readingOrder="2"/>
    </xf>
    <xf numFmtId="0" fontId="77" fillId="0" borderId="1" xfId="0" applyFont="1" applyBorder="1" applyAlignment="1">
      <alignment horizontal="center" vertical="center" wrapText="1" readingOrder="2"/>
    </xf>
    <xf numFmtId="0" fontId="60" fillId="0" borderId="1" xfId="0" applyFont="1" applyBorder="1" applyAlignment="1">
      <alignment horizontal="center" vertical="center" wrapText="1" readingOrder="2"/>
    </xf>
    <xf numFmtId="0" fontId="73" fillId="0" borderId="1" xfId="0" applyFont="1" applyBorder="1" applyAlignment="1">
      <alignment horizontal="center" vertical="center" wrapText="1"/>
    </xf>
    <xf numFmtId="0" fontId="73" fillId="0" borderId="1" xfId="0" applyFont="1" applyBorder="1" applyAlignment="1">
      <alignment horizontal="center" vertical="center"/>
    </xf>
    <xf numFmtId="0" fontId="22" fillId="0" borderId="1" xfId="0" applyFont="1" applyBorder="1" applyAlignment="1">
      <alignment horizontal="center" vertical="center"/>
    </xf>
    <xf numFmtId="0" fontId="38" fillId="0" borderId="1" xfId="0" applyFont="1" applyBorder="1" applyAlignment="1">
      <alignment horizontal="center" vertical="center" wrapText="1" readingOrder="2"/>
    </xf>
    <xf numFmtId="0" fontId="78" fillId="0" borderId="1" xfId="0" applyFont="1" applyBorder="1" applyAlignment="1">
      <alignment horizontal="center" vertical="center" wrapText="1" readingOrder="2"/>
    </xf>
    <xf numFmtId="0" fontId="3" fillId="3" borderId="0" xfId="0" applyFont="1" applyFill="1" applyAlignment="1">
      <alignment horizontal="center"/>
    </xf>
    <xf numFmtId="0" fontId="3" fillId="2" borderId="11" xfId="0" applyFont="1" applyFill="1" applyBorder="1" applyAlignment="1">
      <alignment horizontal="center"/>
    </xf>
    <xf numFmtId="0" fontId="3" fillId="2" borderId="1" xfId="0" applyFont="1" applyFill="1" applyBorder="1" applyAlignment="1">
      <alignment horizontal="center"/>
    </xf>
    <xf numFmtId="0" fontId="3" fillId="2" borderId="16" xfId="0" applyFont="1" applyFill="1" applyBorder="1" applyAlignment="1">
      <alignment horizontal="center"/>
    </xf>
    <xf numFmtId="0" fontId="3" fillId="2" borderId="0" xfId="0" applyFont="1" applyFill="1" applyAlignment="1">
      <alignment horizontal="center"/>
    </xf>
    <xf numFmtId="0" fontId="80" fillId="2" borderId="0" xfId="0" applyFont="1" applyFill="1" applyAlignment="1">
      <alignment horizontal="left"/>
    </xf>
    <xf numFmtId="0" fontId="38" fillId="24" borderId="39" xfId="0" applyFont="1" applyFill="1" applyBorder="1" applyAlignment="1">
      <alignment horizontal="center" vertical="center"/>
    </xf>
    <xf numFmtId="0" fontId="55" fillId="0" borderId="1" xfId="0" applyFont="1" applyBorder="1" applyAlignment="1">
      <alignment horizontal="center" vertical="center" wrapText="1"/>
    </xf>
    <xf numFmtId="0" fontId="55" fillId="0" borderId="1" xfId="0" applyFont="1" applyBorder="1" applyAlignment="1">
      <alignment horizontal="center" vertical="center"/>
    </xf>
    <xf numFmtId="49" fontId="38" fillId="0" borderId="0" xfId="0" applyNumberFormat="1" applyFont="1" applyAlignment="1">
      <alignment vertical="center"/>
    </xf>
    <xf numFmtId="49" fontId="38" fillId="0" borderId="0" xfId="0" applyNumberFormat="1" applyFont="1" applyAlignment="1">
      <alignment horizontal="center" vertical="center"/>
    </xf>
    <xf numFmtId="0" fontId="38" fillId="0" borderId="0" xfId="0" applyFont="1" applyAlignment="1">
      <alignment horizontal="center" vertical="center"/>
    </xf>
    <xf numFmtId="0" fontId="38" fillId="0" borderId="0" xfId="0" applyFont="1" applyAlignment="1">
      <alignment vertical="center" wrapText="1"/>
    </xf>
    <xf numFmtId="0" fontId="38" fillId="0" borderId="0" xfId="0" applyFont="1" applyAlignment="1">
      <alignment horizontal="center" vertical="center" wrapText="1"/>
    </xf>
    <xf numFmtId="0" fontId="38" fillId="0" borderId="0" xfId="0" applyFont="1" applyAlignment="1">
      <alignment horizontal="left" vertical="center" wrapText="1"/>
    </xf>
    <xf numFmtId="0" fontId="38" fillId="24" borderId="54" xfId="0" applyFont="1" applyFill="1" applyBorder="1" applyAlignment="1">
      <alignment horizontal="center" vertical="center"/>
    </xf>
    <xf numFmtId="0" fontId="77" fillId="24" borderId="39" xfId="0" applyFont="1" applyFill="1" applyBorder="1" applyAlignment="1">
      <alignment horizontal="center" vertical="center"/>
    </xf>
    <xf numFmtId="0" fontId="77" fillId="0" borderId="1" xfId="0" applyFont="1" applyBorder="1" applyAlignment="1">
      <alignment horizontal="center" vertical="center"/>
    </xf>
    <xf numFmtId="0" fontId="77" fillId="0" borderId="38" xfId="0" applyFont="1" applyBorder="1" applyAlignment="1">
      <alignment horizontal="center" vertical="center"/>
    </xf>
    <xf numFmtId="0" fontId="38" fillId="29" borderId="1" xfId="0" quotePrefix="1" applyFont="1" applyFill="1" applyBorder="1" applyAlignment="1">
      <alignment horizontal="left" vertical="center" wrapText="1"/>
    </xf>
    <xf numFmtId="0" fontId="38" fillId="29" borderId="1" xfId="0" applyFont="1" applyFill="1" applyBorder="1" applyAlignment="1">
      <alignment vertical="center" wrapText="1"/>
    </xf>
    <xf numFmtId="0" fontId="60" fillId="0" borderId="0" xfId="0" applyFont="1" applyAlignment="1">
      <alignment vertical="center" wrapText="1"/>
    </xf>
    <xf numFmtId="0" fontId="3" fillId="2" borderId="18" xfId="0" applyFont="1" applyFill="1" applyBorder="1" applyAlignment="1">
      <alignment horizontal="center"/>
    </xf>
    <xf numFmtId="0" fontId="1" fillId="2" borderId="2" xfId="0" applyFont="1" applyFill="1" applyBorder="1" applyAlignment="1">
      <alignment horizontal="center" wrapText="1" readingOrder="2"/>
    </xf>
    <xf numFmtId="0" fontId="1" fillId="2" borderId="40" xfId="0" applyFont="1" applyFill="1" applyBorder="1" applyAlignment="1">
      <alignment horizontal="center" vertical="center"/>
    </xf>
    <xf numFmtId="0" fontId="1" fillId="2" borderId="50" xfId="0" applyFont="1" applyFill="1" applyBorder="1" applyAlignment="1">
      <alignment horizontal="center" vertical="center"/>
    </xf>
    <xf numFmtId="0" fontId="1" fillId="2" borderId="53" xfId="0" applyFont="1" applyFill="1" applyBorder="1" applyAlignment="1">
      <alignment horizontal="center" vertical="center"/>
    </xf>
    <xf numFmtId="0" fontId="20" fillId="0" borderId="3" xfId="0" applyFont="1" applyBorder="1" applyAlignment="1">
      <alignment horizontal="right" vertical="center" wrapText="1" readingOrder="2"/>
    </xf>
    <xf numFmtId="0" fontId="20" fillId="2" borderId="25" xfId="0" applyFont="1" applyFill="1" applyBorder="1" applyAlignment="1">
      <alignment horizontal="right" vertical="center" wrapText="1"/>
    </xf>
    <xf numFmtId="0" fontId="20" fillId="0" borderId="24" xfId="0" applyFont="1" applyBorder="1" applyAlignment="1">
      <alignment horizontal="right" vertical="center" wrapText="1" readingOrder="2"/>
    </xf>
    <xf numFmtId="0" fontId="20" fillId="35" borderId="25" xfId="0" applyFont="1" applyFill="1" applyBorder="1" applyAlignment="1">
      <alignment vertical="center" wrapText="1" readingOrder="2"/>
    </xf>
    <xf numFmtId="0" fontId="20" fillId="0" borderId="13" xfId="0" applyFont="1" applyBorder="1"/>
    <xf numFmtId="0" fontId="20" fillId="2" borderId="12" xfId="0" applyFont="1" applyFill="1" applyBorder="1" applyAlignment="1" applyProtection="1">
      <alignment horizontal="right" vertical="center"/>
      <protection locked="0"/>
    </xf>
    <xf numFmtId="0" fontId="3" fillId="3" borderId="0" xfId="0" applyFont="1" applyFill="1" applyAlignment="1" applyProtection="1">
      <alignment horizontal="right" vertical="center"/>
      <protection locked="0"/>
    </xf>
    <xf numFmtId="0" fontId="5" fillId="2" borderId="0" xfId="0" applyFont="1" applyFill="1" applyAlignment="1" applyProtection="1">
      <alignment vertical="center" readingOrder="2"/>
      <protection locked="0"/>
    </xf>
    <xf numFmtId="0" fontId="20" fillId="3" borderId="0" xfId="0" applyFont="1" applyFill="1" applyAlignment="1" applyProtection="1">
      <alignment horizontal="right" vertical="center"/>
      <protection locked="0"/>
    </xf>
    <xf numFmtId="0" fontId="20" fillId="2" borderId="0" xfId="0" applyFont="1" applyFill="1" applyAlignment="1" applyProtection="1">
      <alignment horizontal="right" vertical="center"/>
      <protection locked="0"/>
    </xf>
    <xf numFmtId="0" fontId="3" fillId="2" borderId="0" xfId="0" applyFont="1" applyFill="1" applyAlignment="1" applyProtection="1">
      <alignment horizontal="right" vertical="center"/>
      <protection locked="0"/>
    </xf>
    <xf numFmtId="0" fontId="3" fillId="3" borderId="0" xfId="0" applyFont="1" applyFill="1" applyProtection="1">
      <protection locked="0"/>
    </xf>
    <xf numFmtId="0" fontId="20" fillId="3" borderId="0" xfId="0" applyFont="1" applyFill="1" applyAlignment="1" applyProtection="1">
      <alignment horizontal="center"/>
      <protection locked="0"/>
    </xf>
    <xf numFmtId="0" fontId="3" fillId="2" borderId="0" xfId="0" applyFont="1" applyFill="1" applyProtection="1">
      <protection locked="0"/>
    </xf>
    <xf numFmtId="0" fontId="1" fillId="2" borderId="5" xfId="0" applyFont="1" applyFill="1" applyBorder="1" applyAlignment="1" applyProtection="1">
      <alignment horizontal="center" vertical="center"/>
      <protection locked="0"/>
    </xf>
    <xf numFmtId="0" fontId="1" fillId="2" borderId="42" xfId="0" applyFont="1" applyFill="1" applyBorder="1" applyAlignment="1" applyProtection="1">
      <alignment horizontal="center" vertical="center"/>
      <protection locked="0"/>
    </xf>
    <xf numFmtId="0" fontId="1" fillId="2" borderId="43" xfId="0" applyFont="1" applyFill="1" applyBorder="1" applyAlignment="1" applyProtection="1">
      <alignment horizontal="center" vertical="center"/>
      <protection locked="0"/>
    </xf>
    <xf numFmtId="0" fontId="1" fillId="2" borderId="36" xfId="0" applyFont="1" applyFill="1" applyBorder="1" applyAlignment="1" applyProtection="1">
      <alignment horizontal="center" vertical="center"/>
      <protection locked="0"/>
    </xf>
    <xf numFmtId="0" fontId="1" fillId="2" borderId="0" xfId="0" applyFont="1" applyFill="1" applyAlignment="1" applyProtection="1">
      <alignment horizontal="center" vertical="center"/>
      <protection locked="0"/>
    </xf>
    <xf numFmtId="0" fontId="1" fillId="2" borderId="30" xfId="0" applyFont="1" applyFill="1" applyBorder="1" applyAlignment="1" applyProtection="1">
      <alignment horizontal="center" vertical="center"/>
      <protection locked="0"/>
    </xf>
    <xf numFmtId="0" fontId="20" fillId="2" borderId="37" xfId="0" applyFont="1" applyFill="1" applyBorder="1" applyAlignment="1">
      <alignment horizontal="center" vertical="center" wrapText="1"/>
    </xf>
    <xf numFmtId="0" fontId="20" fillId="2" borderId="35" xfId="0" applyFont="1" applyFill="1" applyBorder="1" applyAlignment="1" applyProtection="1">
      <alignment horizontal="center" vertical="center"/>
      <protection locked="0"/>
    </xf>
    <xf numFmtId="0" fontId="29" fillId="0" borderId="6" xfId="0" applyFont="1" applyBorder="1" applyAlignment="1">
      <alignment horizontal="center" vertical="center" wrapText="1" readingOrder="2"/>
    </xf>
    <xf numFmtId="0" fontId="20" fillId="0" borderId="12" xfId="0" applyFont="1" applyBorder="1" applyAlignment="1" applyProtection="1">
      <alignment horizontal="right" vertical="center" wrapText="1" readingOrder="2"/>
      <protection locked="0"/>
    </xf>
    <xf numFmtId="0" fontId="84" fillId="26" borderId="0" xfId="0" applyFont="1" applyFill="1" applyAlignment="1">
      <alignment vertical="center"/>
    </xf>
    <xf numFmtId="0" fontId="0" fillId="0" borderId="0" xfId="0" applyAlignment="1">
      <alignment vertical="center"/>
    </xf>
    <xf numFmtId="0" fontId="0" fillId="0" borderId="55" xfId="0" applyBorder="1" applyAlignment="1">
      <alignment vertical="center"/>
    </xf>
    <xf numFmtId="0" fontId="3" fillId="0" borderId="0" xfId="0" applyFont="1" applyAlignment="1">
      <alignment horizontal="center" vertical="center"/>
    </xf>
    <xf numFmtId="0" fontId="69" fillId="2" borderId="6" xfId="0" applyFont="1" applyFill="1" applyBorder="1" applyAlignment="1">
      <alignment horizontal="center" vertical="center" wrapText="1"/>
    </xf>
    <xf numFmtId="0" fontId="10" fillId="2" borderId="0" xfId="0" applyFont="1" applyFill="1" applyAlignment="1">
      <alignment horizontal="center" vertical="center" wrapText="1" readingOrder="2"/>
    </xf>
    <xf numFmtId="0" fontId="71" fillId="2" borderId="20" xfId="0" applyFont="1" applyFill="1" applyBorder="1" applyAlignment="1">
      <alignment horizontal="center" vertical="center" wrapText="1"/>
    </xf>
    <xf numFmtId="0" fontId="71" fillId="2" borderId="21" xfId="0" applyFont="1" applyFill="1" applyBorder="1" applyAlignment="1">
      <alignment horizontal="center" vertical="center" wrapText="1"/>
    </xf>
    <xf numFmtId="0" fontId="71" fillId="2" borderId="22" xfId="0" applyFont="1" applyFill="1" applyBorder="1" applyAlignment="1">
      <alignment horizontal="center" vertical="center" wrapText="1"/>
    </xf>
    <xf numFmtId="0" fontId="72" fillId="2" borderId="10" xfId="0" applyFont="1" applyFill="1" applyBorder="1" applyAlignment="1">
      <alignment horizontal="center" vertical="center"/>
    </xf>
    <xf numFmtId="0" fontId="72" fillId="2" borderId="13" xfId="0" applyFont="1" applyFill="1" applyBorder="1" applyAlignment="1">
      <alignment horizontal="center" vertical="center"/>
    </xf>
    <xf numFmtId="0" fontId="72" fillId="2" borderId="15" xfId="0" applyFont="1" applyFill="1" applyBorder="1" applyAlignment="1">
      <alignment horizontal="center" vertical="center"/>
    </xf>
    <xf numFmtId="0" fontId="72" fillId="2" borderId="38" xfId="0" applyFont="1" applyFill="1" applyBorder="1" applyAlignment="1">
      <alignment horizontal="center" vertical="center"/>
    </xf>
    <xf numFmtId="0" fontId="72" fillId="2" borderId="52" xfId="0" applyFont="1" applyFill="1" applyBorder="1" applyAlignment="1">
      <alignment horizontal="center" vertical="center"/>
    </xf>
    <xf numFmtId="0" fontId="72" fillId="2" borderId="39" xfId="0" applyFont="1" applyFill="1" applyBorder="1" applyAlignment="1">
      <alignment horizontal="center" vertical="center"/>
    </xf>
    <xf numFmtId="0" fontId="8" fillId="2" borderId="20" xfId="0" applyFont="1" applyFill="1" applyBorder="1" applyAlignment="1">
      <alignment horizontal="center" vertical="center" readingOrder="2"/>
    </xf>
    <xf numFmtId="0" fontId="8" fillId="2" borderId="22" xfId="0" applyFont="1" applyFill="1" applyBorder="1" applyAlignment="1">
      <alignment horizontal="center" vertical="center" readingOrder="2"/>
    </xf>
    <xf numFmtId="0" fontId="8" fillId="2" borderId="21" xfId="0" applyFont="1" applyFill="1" applyBorder="1" applyAlignment="1">
      <alignment horizontal="center" vertical="center" readingOrder="2"/>
    </xf>
    <xf numFmtId="0" fontId="8" fillId="2" borderId="20" xfId="0" applyFont="1" applyFill="1" applyBorder="1" applyAlignment="1">
      <alignment horizontal="center" vertical="center" wrapText="1" readingOrder="2"/>
    </xf>
    <xf numFmtId="0" fontId="8" fillId="2" borderId="21" xfId="0" applyFont="1" applyFill="1" applyBorder="1" applyAlignment="1">
      <alignment horizontal="center" vertical="center" wrapText="1" readingOrder="2"/>
    </xf>
    <xf numFmtId="0" fontId="8" fillId="2" borderId="22" xfId="0" applyFont="1" applyFill="1" applyBorder="1" applyAlignment="1">
      <alignment horizontal="center" vertical="center" wrapText="1" readingOrder="2"/>
    </xf>
    <xf numFmtId="0" fontId="10" fillId="2" borderId="9" xfId="0" applyFont="1" applyFill="1" applyBorder="1" applyAlignment="1">
      <alignment horizontal="center" vertical="center" readingOrder="2"/>
    </xf>
    <xf numFmtId="0" fontId="67" fillId="2" borderId="26" xfId="0" applyFont="1" applyFill="1" applyBorder="1" applyAlignment="1">
      <alignment horizontal="center" vertical="center"/>
    </xf>
    <xf numFmtId="0" fontId="67" fillId="2" borderId="27" xfId="0" applyFont="1" applyFill="1" applyBorder="1" applyAlignment="1">
      <alignment horizontal="center" vertical="center"/>
    </xf>
    <xf numFmtId="0" fontId="67" fillId="2" borderId="28" xfId="0" applyFont="1" applyFill="1" applyBorder="1" applyAlignment="1">
      <alignment horizontal="center" vertical="center"/>
    </xf>
    <xf numFmtId="0" fontId="10" fillId="2" borderId="0" xfId="0" applyFont="1" applyFill="1" applyAlignment="1">
      <alignment horizontal="center" vertical="center" readingOrder="2"/>
    </xf>
    <xf numFmtId="0" fontId="1" fillId="2" borderId="2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23" fillId="2" borderId="0" xfId="0" applyFont="1" applyFill="1" applyAlignment="1">
      <alignment horizontal="center" vertical="center" readingOrder="2"/>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8" fillId="2" borderId="7" xfId="0" applyFont="1" applyFill="1" applyBorder="1" applyAlignment="1">
      <alignment horizontal="center" vertical="center" readingOrder="2"/>
    </xf>
    <xf numFmtId="0" fontId="8" fillId="2" borderId="8" xfId="0" applyFont="1" applyFill="1" applyBorder="1" applyAlignment="1">
      <alignment horizontal="center" vertical="center" readingOrder="2"/>
    </xf>
    <xf numFmtId="0" fontId="26" fillId="2" borderId="41" xfId="0" applyFont="1" applyFill="1" applyBorder="1" applyAlignment="1">
      <alignment horizontal="center" vertical="center"/>
    </xf>
    <xf numFmtId="0" fontId="26" fillId="2" borderId="0" xfId="0" applyFont="1" applyFill="1" applyAlignment="1">
      <alignment horizontal="center" vertical="center"/>
    </xf>
    <xf numFmtId="0" fontId="15" fillId="2" borderId="26" xfId="0" applyFont="1" applyFill="1" applyBorder="1" applyAlignment="1">
      <alignment horizontal="center" vertical="center"/>
    </xf>
    <xf numFmtId="0" fontId="15" fillId="2" borderId="27" xfId="0" applyFont="1" applyFill="1" applyBorder="1" applyAlignment="1">
      <alignment horizontal="center" vertical="center"/>
    </xf>
    <xf numFmtId="0" fontId="15" fillId="2" borderId="28" xfId="0" applyFont="1" applyFill="1" applyBorder="1" applyAlignment="1">
      <alignment horizontal="center" vertical="center"/>
    </xf>
    <xf numFmtId="0" fontId="72" fillId="2" borderId="10" xfId="0" applyFont="1" applyFill="1" applyBorder="1" applyAlignment="1">
      <alignment horizontal="center" vertical="center" wrapText="1"/>
    </xf>
    <xf numFmtId="0" fontId="72" fillId="2" borderId="13" xfId="0" applyFont="1" applyFill="1" applyBorder="1" applyAlignment="1">
      <alignment horizontal="center" vertical="center" wrapText="1"/>
    </xf>
    <xf numFmtId="0" fontId="72" fillId="2" borderId="15" xfId="0" applyFont="1" applyFill="1" applyBorder="1" applyAlignment="1">
      <alignment horizontal="center" vertical="center" wrapText="1"/>
    </xf>
    <xf numFmtId="0" fontId="5" fillId="2" borderId="0" xfId="0" applyFont="1" applyFill="1" applyAlignment="1">
      <alignment horizontal="center" vertical="center" readingOrder="2"/>
    </xf>
    <xf numFmtId="0" fontId="8" fillId="2" borderId="10"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20" fillId="2" borderId="29" xfId="0" applyFont="1" applyFill="1" applyBorder="1" applyAlignment="1">
      <alignment horizontal="center" vertical="center" wrapText="1" readingOrder="2"/>
    </xf>
    <xf numFmtId="0" fontId="20" fillId="2" borderId="51" xfId="0" applyFont="1" applyFill="1" applyBorder="1" applyAlignment="1">
      <alignment horizontal="center" vertical="center" wrapText="1" readingOrder="2"/>
    </xf>
    <xf numFmtId="0" fontId="20" fillId="2" borderId="30" xfId="0" applyFont="1" applyFill="1" applyBorder="1" applyAlignment="1">
      <alignment horizontal="center" vertical="center" wrapText="1" readingOrder="2"/>
    </xf>
    <xf numFmtId="0" fontId="0" fillId="16" borderId="40" xfId="0" applyFill="1" applyBorder="1" applyAlignment="1">
      <alignment horizontal="center" vertical="center"/>
    </xf>
    <xf numFmtId="0" fontId="0" fillId="16" borderId="7" xfId="0" applyFill="1" applyBorder="1" applyAlignment="1">
      <alignment horizontal="center" vertical="center"/>
    </xf>
    <xf numFmtId="0" fontId="0" fillId="16" borderId="8" xfId="0" applyFill="1" applyBorder="1" applyAlignment="1">
      <alignment horizontal="center" vertical="center"/>
    </xf>
    <xf numFmtId="0" fontId="32" fillId="0" borderId="45" xfId="0" applyFont="1" applyBorder="1" applyAlignment="1">
      <alignment horizontal="center" vertical="center" wrapText="1"/>
    </xf>
    <xf numFmtId="0" fontId="0" fillId="0" borderId="41"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0" xfId="0" applyAlignment="1">
      <alignment horizontal="center" vertical="center"/>
    </xf>
    <xf numFmtId="0" fontId="0" fillId="0" borderId="48" xfId="0" applyBorder="1" applyAlignment="1">
      <alignment horizontal="center" vertical="center"/>
    </xf>
    <xf numFmtId="0" fontId="0" fillId="0" borderId="44" xfId="0" applyBorder="1" applyAlignment="1">
      <alignment horizontal="center" vertical="center"/>
    </xf>
    <xf numFmtId="0" fontId="0" fillId="0" borderId="9" xfId="0" applyBorder="1" applyAlignment="1">
      <alignment horizontal="center" vertical="center"/>
    </xf>
    <xf numFmtId="0" fontId="0" fillId="0" borderId="49"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9" fillId="2" borderId="0" xfId="0" applyFont="1" applyFill="1" applyAlignment="1">
      <alignment horizontal="center" vertical="center" readingOrder="2"/>
    </xf>
    <xf numFmtId="0" fontId="18" fillId="2" borderId="0" xfId="0" applyFont="1" applyFill="1" applyAlignment="1">
      <alignment horizontal="center" vertical="center" readingOrder="2"/>
    </xf>
    <xf numFmtId="0" fontId="79" fillId="2" borderId="26" xfId="0" applyFont="1" applyFill="1" applyBorder="1" applyAlignment="1">
      <alignment horizontal="center" vertical="center" wrapText="1" readingOrder="2"/>
    </xf>
    <xf numFmtId="0" fontId="79" fillId="2" borderId="27" xfId="0" applyFont="1" applyFill="1" applyBorder="1" applyAlignment="1">
      <alignment horizontal="center" vertical="center" wrapText="1" readingOrder="2"/>
    </xf>
    <xf numFmtId="0" fontId="79" fillId="2" borderId="28" xfId="0" applyFont="1" applyFill="1" applyBorder="1" applyAlignment="1">
      <alignment horizontal="center" vertical="center" wrapText="1" readingOrder="2"/>
    </xf>
    <xf numFmtId="0" fontId="1" fillId="2" borderId="26"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1" fillId="2" borderId="26" xfId="0" applyFont="1" applyFill="1" applyBorder="1" applyAlignment="1">
      <alignment horizontal="center"/>
    </xf>
    <xf numFmtId="0" fontId="1" fillId="2" borderId="27" xfId="0" applyFont="1" applyFill="1" applyBorder="1" applyAlignment="1">
      <alignment horizontal="center"/>
    </xf>
    <xf numFmtId="0" fontId="1" fillId="2" borderId="28" xfId="0" applyFont="1" applyFill="1" applyBorder="1" applyAlignment="1">
      <alignment horizontal="center"/>
    </xf>
    <xf numFmtId="0" fontId="27" fillId="2" borderId="0" xfId="0" applyFont="1" applyFill="1" applyAlignment="1">
      <alignment horizontal="center" vertical="center"/>
    </xf>
    <xf numFmtId="0" fontId="18" fillId="2" borderId="0" xfId="0" applyFont="1" applyFill="1" applyAlignment="1">
      <alignment horizontal="center" vertical="center" textRotation="90" wrapText="1" readingOrder="2"/>
    </xf>
    <xf numFmtId="0" fontId="18" fillId="2" borderId="0" xfId="0" applyFont="1" applyFill="1" applyAlignment="1">
      <alignment horizontal="center" vertical="center" textRotation="90" readingOrder="2"/>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24" fillId="2" borderId="13" xfId="0" applyFont="1" applyFill="1" applyBorder="1" applyAlignment="1">
      <alignment horizontal="center" vertical="center" wrapText="1" readingOrder="2"/>
    </xf>
    <xf numFmtId="0" fontId="24" fillId="2" borderId="14" xfId="0" applyFont="1" applyFill="1" applyBorder="1" applyAlignment="1">
      <alignment horizontal="center" vertical="center" wrapText="1" readingOrder="2"/>
    </xf>
    <xf numFmtId="0" fontId="24" fillId="2" borderId="15" xfId="0" applyFont="1" applyFill="1" applyBorder="1" applyAlignment="1">
      <alignment horizontal="center" vertical="center" wrapText="1" readingOrder="2"/>
    </xf>
    <xf numFmtId="0" fontId="24" fillId="2" borderId="17" xfId="0" applyFont="1" applyFill="1" applyBorder="1" applyAlignment="1">
      <alignment horizontal="center" vertical="center" wrapText="1" readingOrder="2"/>
    </xf>
    <xf numFmtId="0" fontId="12" fillId="2" borderId="24"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31" xfId="0" applyFont="1" applyFill="1" applyBorder="1" applyAlignment="1">
      <alignment horizontal="center" vertical="center" wrapText="1"/>
    </xf>
    <xf numFmtId="0" fontId="12" fillId="2" borderId="23"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24" fillId="2" borderId="10" xfId="0" applyFont="1" applyFill="1" applyBorder="1" applyAlignment="1">
      <alignment horizontal="center" vertical="center" wrapText="1" readingOrder="2"/>
    </xf>
    <xf numFmtId="0" fontId="24" fillId="2" borderId="12" xfId="0" applyFont="1" applyFill="1" applyBorder="1" applyAlignment="1">
      <alignment horizontal="center" vertical="center" wrapText="1" readingOrder="2"/>
    </xf>
    <xf numFmtId="0" fontId="0" fillId="2" borderId="13" xfId="0" applyFill="1" applyBorder="1" applyAlignment="1">
      <alignment horizontal="right" vertical="center" wrapText="1" readingOrder="2"/>
    </xf>
    <xf numFmtId="0" fontId="0" fillId="2" borderId="1" xfId="0" applyFill="1" applyBorder="1" applyAlignment="1">
      <alignment horizontal="right" vertical="center" wrapText="1" readingOrder="2"/>
    </xf>
    <xf numFmtId="0" fontId="0" fillId="2" borderId="14" xfId="0" applyFill="1" applyBorder="1" applyAlignment="1">
      <alignment horizontal="right" vertical="center" wrapText="1" readingOrder="2"/>
    </xf>
    <xf numFmtId="0" fontId="0" fillId="2" borderId="50" xfId="0" applyFill="1" applyBorder="1" applyAlignment="1">
      <alignment horizontal="right" vertical="center" wrapText="1" readingOrder="2"/>
    </xf>
    <xf numFmtId="0" fontId="0" fillId="2" borderId="4" xfId="0" applyFill="1" applyBorder="1" applyAlignment="1">
      <alignment horizontal="right" vertical="center" wrapText="1" readingOrder="2"/>
    </xf>
    <xf numFmtId="0" fontId="0" fillId="2" borderId="31" xfId="0" applyFill="1" applyBorder="1" applyAlignment="1">
      <alignment horizontal="right" vertical="center" wrapText="1" readingOrder="2"/>
    </xf>
    <xf numFmtId="0" fontId="33" fillId="2" borderId="33" xfId="0" applyFont="1" applyFill="1" applyBorder="1" applyAlignment="1">
      <alignment horizontal="center"/>
    </xf>
    <xf numFmtId="0" fontId="33" fillId="2" borderId="34" xfId="0" applyFont="1" applyFill="1" applyBorder="1" applyAlignment="1">
      <alignment horizontal="center"/>
    </xf>
    <xf numFmtId="0" fontId="33" fillId="2" borderId="35" xfId="0" applyFont="1" applyFill="1" applyBorder="1" applyAlignment="1">
      <alignment horizontal="center"/>
    </xf>
    <xf numFmtId="0" fontId="0" fillId="2" borderId="10" xfId="0" applyFill="1" applyBorder="1" applyAlignment="1">
      <alignment horizontal="right" vertical="center" wrapText="1" readingOrder="2"/>
    </xf>
    <xf numFmtId="0" fontId="0" fillId="2" borderId="11" xfId="0" applyFill="1" applyBorder="1" applyAlignment="1">
      <alignment horizontal="right" vertical="center" wrapText="1" readingOrder="2"/>
    </xf>
    <xf numFmtId="0" fontId="0" fillId="2" borderId="12" xfId="0" applyFill="1" applyBorder="1" applyAlignment="1">
      <alignment horizontal="right" vertical="center" wrapText="1" readingOrder="2"/>
    </xf>
    <xf numFmtId="0" fontId="0" fillId="2" borderId="1" xfId="0" applyFill="1" applyBorder="1" applyAlignment="1">
      <alignment horizontal="right" vertical="center" readingOrder="2"/>
    </xf>
    <xf numFmtId="0" fontId="0" fillId="2" borderId="14" xfId="0" applyFill="1" applyBorder="1" applyAlignment="1">
      <alignment horizontal="right" vertical="center" readingOrder="2"/>
    </xf>
    <xf numFmtId="0" fontId="28" fillId="2" borderId="0" xfId="0" applyFont="1" applyFill="1" applyAlignment="1">
      <alignment horizontal="center" vertical="center" readingOrder="2"/>
    </xf>
    <xf numFmtId="0" fontId="0" fillId="2" borderId="16" xfId="0" applyFill="1" applyBorder="1" applyAlignment="1">
      <alignment horizontal="right" vertical="center" readingOrder="2"/>
    </xf>
    <xf numFmtId="0" fontId="0" fillId="2" borderId="17" xfId="0" applyFill="1" applyBorder="1" applyAlignment="1">
      <alignment horizontal="right" vertical="center" readingOrder="2"/>
    </xf>
    <xf numFmtId="0" fontId="69" fillId="37" borderId="20" xfId="0" applyFont="1" applyFill="1" applyBorder="1" applyAlignment="1">
      <alignment horizontal="center" vertical="center" wrapText="1"/>
    </xf>
    <xf numFmtId="0" fontId="69" fillId="37" borderId="22" xfId="0" applyFont="1" applyFill="1" applyBorder="1" applyAlignment="1">
      <alignment horizontal="center" vertical="center" wrapText="1"/>
    </xf>
    <xf numFmtId="0" fontId="69" fillId="37" borderId="20" xfId="0" applyFont="1" applyFill="1" applyBorder="1" applyAlignment="1">
      <alignment horizontal="right" vertical="center" wrapText="1"/>
    </xf>
    <xf numFmtId="0" fontId="69" fillId="37" borderId="22" xfId="0" applyFont="1" applyFill="1" applyBorder="1" applyAlignment="1">
      <alignment horizontal="right" vertical="center" wrapText="1"/>
    </xf>
  </cellXfs>
  <cellStyles count="9">
    <cellStyle name="Comma" xfId="7" builtinId="3"/>
    <cellStyle name="Currency" xfId="6" builtinId="4"/>
    <cellStyle name="Good 2" xfId="2" xr:uid="{AD388813-9EE4-4B84-A787-E0567332DCB2}"/>
    <cellStyle name="Neutral 2" xfId="5" xr:uid="{B257CD5A-BA72-4218-9460-C2D82BD1CCC0}"/>
    <cellStyle name="Normal" xfId="0" builtinId="0"/>
    <cellStyle name="Normal 2" xfId="3" xr:uid="{7656FBE5-DB8B-4FBF-88DB-7EAA60AD554E}"/>
    <cellStyle name="Normal 2 2" xfId="4" xr:uid="{CEE54F66-87B5-4465-9E03-2158616E6C5F}"/>
    <cellStyle name="Normal 3" xfId="1" xr:uid="{EFBC7C99-F1CA-46EC-9556-51C0DA979FAA}"/>
    <cellStyle name="Percent" xfId="8" builtinId="5"/>
  </cellStyles>
  <dxfs count="430">
    <dxf>
      <font>
        <b val="0"/>
        <i val="0"/>
        <strike val="0"/>
        <condense val="0"/>
        <extend val="0"/>
        <outline val="0"/>
        <shadow val="0"/>
        <u val="none"/>
        <vertAlign val="baseline"/>
        <sz val="11"/>
        <color rgb="FF000000"/>
        <name val="Arial"/>
        <family val="2"/>
        <scheme val="none"/>
      </font>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family val="2"/>
        <scheme val="none"/>
      </font>
      <alignment vertical="center" textRotation="0" indent="0" justifyLastLine="0" shrinkToFit="0" readingOrder="0"/>
    </dxf>
    <dxf>
      <border>
        <bottom style="thin">
          <color rgb="FF000000"/>
        </bottom>
      </border>
    </dxf>
    <dxf>
      <font>
        <b val="0"/>
        <i val="0"/>
        <strike val="0"/>
        <condense val="0"/>
        <extend val="0"/>
        <outline val="0"/>
        <shadow val="0"/>
        <u val="none"/>
        <vertAlign val="baseline"/>
        <sz val="11"/>
        <color theme="1"/>
        <name val="Arial"/>
        <family val="2"/>
        <scheme val="none"/>
      </font>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color rgb="FF519FD7"/>
      </font>
    </dxf>
    <dxf>
      <font>
        <b/>
        <i val="0"/>
        <color rgb="FF519FD7"/>
      </font>
    </dxf>
    <dxf>
      <font>
        <color rgb="FFF99D1C"/>
      </font>
    </dxf>
    <dxf>
      <font>
        <b/>
        <i val="0"/>
        <color rgb="FFEF4044"/>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val="0"/>
        <i val="0"/>
        <strike val="0"/>
        <condense val="0"/>
        <extend val="0"/>
        <outline val="0"/>
        <shadow val="0"/>
        <u val="none"/>
        <vertAlign val="baseline"/>
        <sz val="11"/>
        <color rgb="FF000000"/>
        <name val="Arial"/>
        <family val="2"/>
        <scheme val="none"/>
      </font>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family val="2"/>
        <scheme val="none"/>
      </font>
      <alignment vertical="center" textRotation="0" indent="0" justifyLastLine="0" shrinkToFit="0" readingOrder="0"/>
    </dxf>
    <dxf>
      <border>
        <bottom style="thin">
          <color rgb="FF000000"/>
        </bottom>
      </border>
    </dxf>
    <dxf>
      <font>
        <b val="0"/>
        <i val="0"/>
        <strike val="0"/>
        <condense val="0"/>
        <extend val="0"/>
        <outline val="0"/>
        <shadow val="0"/>
        <u val="none"/>
        <vertAlign val="baseline"/>
        <sz val="11"/>
        <color theme="1"/>
        <name val="Arial"/>
        <family val="2"/>
        <scheme val="none"/>
      </font>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color rgb="FF519FD7"/>
      </font>
    </dxf>
    <dxf>
      <font>
        <b/>
        <i val="0"/>
        <color rgb="FF519FD7"/>
      </font>
    </dxf>
    <dxf>
      <font>
        <color rgb="FFF99D1C"/>
      </font>
    </dxf>
    <dxf>
      <font>
        <b/>
        <i val="0"/>
        <color rgb="FFEF4044"/>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val="0"/>
        <i val="0"/>
        <strike val="0"/>
        <condense val="0"/>
        <extend val="0"/>
        <outline val="0"/>
        <shadow val="0"/>
        <u val="none"/>
        <vertAlign val="baseline"/>
        <sz val="11"/>
        <color rgb="FF000000"/>
        <name val="Arial"/>
        <family val="2"/>
        <scheme val="none"/>
      </font>
      <numFmt numFmtId="0" formatCode="Genera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family val="2"/>
        <scheme val="none"/>
      </font>
      <alignment vertical="center" textRotation="0" indent="0" justifyLastLine="0" shrinkToFit="0" readingOrder="0"/>
    </dxf>
    <dxf>
      <border>
        <bottom style="thin">
          <color rgb="FF000000"/>
        </bottom>
      </border>
    </dxf>
    <dxf>
      <font>
        <b val="0"/>
        <i val="0"/>
        <strike val="0"/>
        <condense val="0"/>
        <extend val="0"/>
        <outline val="0"/>
        <shadow val="0"/>
        <u val="none"/>
        <vertAlign val="baseline"/>
        <sz val="11"/>
        <color theme="1"/>
        <name val="Arial"/>
        <family val="2"/>
        <scheme val="none"/>
      </font>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color rgb="FF875295"/>
      </font>
    </dxf>
    <dxf>
      <font>
        <b/>
        <i val="0"/>
        <color rgb="FF519FD7"/>
      </font>
    </dxf>
    <dxf>
      <font>
        <b/>
        <i val="0"/>
        <color rgb="FF519FD7"/>
      </font>
    </dxf>
    <dxf>
      <font>
        <color rgb="FFF99D1C"/>
      </font>
    </dxf>
    <dxf>
      <font>
        <b/>
        <i val="0"/>
        <color rgb="FFEF4044"/>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30" formatCode="@"/>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0" formatCode="@"/>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vertical="center" textRotation="0" indent="0" justifyLastLine="0" shrinkToFit="0" readingOrder="0"/>
    </dxf>
    <dxf>
      <border>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color rgb="FF875295"/>
      </font>
    </dxf>
    <dxf>
      <font>
        <b/>
        <i val="0"/>
        <color rgb="FF519FD7"/>
      </font>
    </dxf>
    <dxf>
      <font>
        <b/>
        <i val="0"/>
        <color rgb="FF519FD7"/>
      </font>
    </dxf>
    <dxf>
      <font>
        <color rgb="FFF99D1C"/>
      </font>
    </dxf>
    <dxf>
      <font>
        <b/>
        <i val="0"/>
        <color rgb="FFEF4044"/>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b/>
        <i val="0"/>
        <color rgb="FF519FD7"/>
      </font>
    </dxf>
    <dxf>
      <font>
        <color rgb="FFF99D1C"/>
      </font>
    </dxf>
    <dxf>
      <font>
        <b/>
        <i val="0"/>
        <color rgb="FFEF4044"/>
      </font>
    </dxf>
    <dxf>
      <font>
        <b/>
        <i val="0"/>
        <color rgb="FF875295"/>
      </font>
    </dxf>
    <dxf>
      <fill>
        <patternFill>
          <bgColor theme="8" tint="0.39994506668294322"/>
        </patternFill>
      </fill>
    </dxf>
    <dxf>
      <fill>
        <patternFill>
          <bgColor rgb="FFFFC000"/>
        </patternFill>
      </fill>
    </dxf>
    <dxf>
      <font>
        <color rgb="FF0070C0"/>
      </font>
      <fill>
        <patternFill>
          <fgColor rgb="FF0070C0"/>
        </patternFill>
      </fill>
    </dxf>
    <dxf>
      <font>
        <color theme="7"/>
      </font>
    </dxf>
    <dxf>
      <font>
        <color rgb="FF7030A0"/>
      </font>
    </dxf>
    <dxf>
      <font>
        <color rgb="FFFF5050"/>
      </font>
    </dxf>
    <dxf>
      <font>
        <color theme="9"/>
      </font>
    </dxf>
    <dxf>
      <font>
        <b/>
        <i val="0"/>
        <strike val="0"/>
        <u val="none"/>
        <color auto="1"/>
      </font>
      <fill>
        <patternFill patternType="solid">
          <bgColor theme="0" tint="-0.24994659260841701"/>
        </patternFill>
      </fill>
    </dxf>
    <dxf>
      <fill>
        <patternFill>
          <bgColor rgb="FFFF6161"/>
        </patternFill>
      </fill>
    </dxf>
    <dxf>
      <fill>
        <patternFill>
          <bgColor rgb="FFFE9700"/>
        </patternFill>
      </fill>
    </dxf>
    <dxf>
      <fill>
        <patternFill>
          <bgColor theme="7" tint="0.59996337778862885"/>
        </patternFill>
      </fill>
    </dxf>
    <dxf>
      <fill>
        <patternFill>
          <bgColor rgb="FFA9D08E"/>
        </patternFill>
      </fill>
    </dxf>
    <dxf>
      <fill>
        <patternFill>
          <bgColor theme="7" tint="0.59996337778862885"/>
        </patternFill>
      </fill>
    </dxf>
    <dxf>
      <fill>
        <patternFill>
          <bgColor rgb="FFA9D08E"/>
        </patternFill>
      </fill>
    </dxf>
    <dxf>
      <fill>
        <patternFill>
          <bgColor rgb="FFFE9700"/>
        </patternFill>
      </fill>
    </dxf>
    <dxf>
      <fill>
        <patternFill>
          <bgColor rgb="FFFF6161"/>
        </patternFill>
      </fill>
    </dxf>
    <dxf>
      <fill>
        <patternFill>
          <bgColor rgb="FFFF6161"/>
        </patternFill>
      </fill>
    </dxf>
    <dxf>
      <fill>
        <patternFill>
          <bgColor rgb="FFFFC000"/>
        </patternFill>
      </fill>
    </dxf>
    <dxf>
      <fill>
        <patternFill>
          <bgColor rgb="FFA9D08E"/>
        </patternFill>
      </fill>
    </dxf>
    <dxf>
      <fill>
        <patternFill>
          <bgColor theme="7" tint="0.59996337778862885"/>
        </patternFill>
      </fill>
    </dxf>
    <dxf>
      <fill>
        <patternFill>
          <bgColor rgb="FFFF6161"/>
        </patternFill>
      </fill>
    </dxf>
    <dxf>
      <fill>
        <patternFill>
          <bgColor rgb="FFFFC000"/>
        </patternFill>
      </fill>
    </dxf>
    <dxf>
      <fill>
        <patternFill>
          <bgColor theme="7" tint="0.59996337778862885"/>
        </patternFill>
      </fill>
    </dxf>
    <dxf>
      <fill>
        <patternFill>
          <bgColor rgb="FFA9D08E"/>
        </patternFill>
      </fill>
    </dxf>
    <dxf>
      <fill>
        <patternFill>
          <bgColor rgb="FFA9D08E"/>
        </patternFill>
      </fill>
    </dxf>
    <dxf>
      <fill>
        <patternFill>
          <bgColor theme="7" tint="0.59996337778862885"/>
        </patternFill>
      </fill>
    </dxf>
    <dxf>
      <fill>
        <patternFill>
          <bgColor rgb="FFFF6161"/>
        </patternFill>
      </fill>
    </dxf>
    <dxf>
      <fill>
        <patternFill>
          <bgColor rgb="FFFFC000"/>
        </patternFill>
      </fill>
    </dxf>
    <dxf>
      <fill>
        <patternFill>
          <bgColor rgb="FFFFC000"/>
        </patternFill>
      </fill>
    </dxf>
    <dxf>
      <fill>
        <patternFill>
          <bgColor rgb="FFFF6161"/>
        </patternFill>
      </fill>
    </dxf>
    <dxf>
      <fill>
        <patternFill>
          <bgColor rgb="FFA9D08E"/>
        </patternFill>
      </fill>
    </dxf>
    <dxf>
      <fill>
        <patternFill>
          <bgColor theme="7" tint="0.59996337778862885"/>
        </patternFill>
      </fill>
    </dxf>
    <dxf>
      <fill>
        <patternFill>
          <bgColor theme="7" tint="0.59996337778862885"/>
        </patternFill>
      </fill>
    </dxf>
    <dxf>
      <fill>
        <patternFill>
          <bgColor rgb="FFA9D08E"/>
        </patternFill>
      </fill>
    </dxf>
    <dxf>
      <fill>
        <patternFill>
          <bgColor rgb="FFFFC000"/>
        </patternFill>
      </fill>
    </dxf>
    <dxf>
      <fill>
        <patternFill>
          <bgColor rgb="FFFF6161"/>
        </patternFill>
      </fill>
    </dxf>
    <dxf>
      <fill>
        <patternFill>
          <bgColor rgb="FFFF6161"/>
        </patternFill>
      </fill>
    </dxf>
    <dxf>
      <fill>
        <patternFill>
          <bgColor rgb="FFFF6161"/>
        </patternFill>
      </fill>
    </dxf>
    <dxf>
      <fill>
        <patternFill>
          <bgColor rgb="FFFFC000"/>
        </patternFill>
      </fill>
    </dxf>
    <dxf>
      <fill>
        <patternFill>
          <bgColor theme="7" tint="0.59996337778862885"/>
        </patternFill>
      </fill>
    </dxf>
    <dxf>
      <fill>
        <patternFill>
          <bgColor rgb="FFA9D08E"/>
        </patternFill>
      </fill>
    </dxf>
    <dxf>
      <fill>
        <patternFill>
          <bgColor rgb="FFFFC000"/>
        </patternFill>
      </fill>
    </dxf>
    <dxf>
      <fill>
        <patternFill>
          <bgColor theme="7" tint="0.59996337778862885"/>
        </patternFill>
      </fill>
    </dxf>
    <dxf>
      <fill>
        <patternFill>
          <bgColor rgb="FFA9D08E"/>
        </patternFill>
      </fill>
    </dxf>
    <dxf>
      <fill>
        <patternFill>
          <bgColor rgb="FF92D050"/>
        </patternFill>
      </fill>
    </dxf>
    <dxf>
      <fill>
        <patternFill>
          <bgColor rgb="FFE87676"/>
        </patternFill>
      </fill>
      <border>
        <vertical/>
        <horizontal/>
      </border>
    </dxf>
    <dxf>
      <fill>
        <patternFill>
          <bgColor theme="9" tint="0.59996337778862885"/>
        </patternFill>
      </fill>
    </dxf>
    <dxf>
      <fill>
        <gradientFill degree="90">
          <stop position="0">
            <color theme="7" tint="0.40000610370189521"/>
          </stop>
          <stop position="0.5">
            <color rgb="FFE87676"/>
          </stop>
          <stop position="1">
            <color theme="7" tint="0.40000610370189521"/>
          </stop>
        </gradientFill>
      </fill>
    </dxf>
    <dxf>
      <fill>
        <patternFill>
          <bgColor rgb="FF002060"/>
        </patternFill>
      </fill>
    </dxf>
    <dxf>
      <fill>
        <gradientFill degree="90">
          <stop position="0">
            <color theme="7" tint="0.40000610370189521"/>
          </stop>
          <stop position="0.5">
            <color theme="9" tint="0.40000610370189521"/>
          </stop>
          <stop position="1">
            <color theme="7" tint="0.40000610370189521"/>
          </stop>
        </gradientFill>
      </fill>
    </dxf>
    <dxf>
      <fill>
        <gradientFill degree="90">
          <stop position="0">
            <color theme="7" tint="0.40000610370189521"/>
          </stop>
          <stop position="0.5">
            <color theme="4" tint="0.40000610370189521"/>
          </stop>
          <stop position="1">
            <color theme="7" tint="0.40000610370189521"/>
          </stop>
        </gradientFill>
      </fill>
    </dxf>
    <dxf>
      <fill>
        <gradientFill degree="90">
          <stop position="0">
            <color theme="7" tint="0.40000610370189521"/>
          </stop>
          <stop position="1">
            <color theme="7" tint="0.40000610370189521"/>
          </stop>
        </gradientFill>
      </fill>
    </dxf>
    <dxf>
      <fill>
        <patternFill>
          <bgColor rgb="FFF68282"/>
        </patternFill>
      </fill>
    </dxf>
    <dxf>
      <fill>
        <patternFill>
          <bgColor theme="8" tint="0.39994506668294322"/>
        </patternFill>
      </fill>
    </dxf>
    <dxf>
      <fill>
        <patternFill>
          <bgColor theme="7" tint="0.59996337778862885"/>
        </patternFill>
      </fill>
    </dxf>
    <dxf>
      <fill>
        <patternFill>
          <bgColor rgb="FFA9D08E"/>
        </patternFill>
      </fill>
    </dxf>
    <dxf>
      <fill>
        <patternFill patternType="none">
          <bgColor auto="1"/>
        </patternFill>
      </fill>
    </dxf>
    <dxf>
      <fill>
        <patternFill>
          <bgColor rgb="FFFF0000"/>
        </patternFill>
      </fill>
    </dxf>
    <dxf>
      <fill>
        <patternFill>
          <bgColor theme="7" tint="0.59996337778862885"/>
        </patternFill>
      </fill>
    </dxf>
    <dxf>
      <fill>
        <patternFill>
          <bgColor rgb="FFFF0000"/>
        </patternFill>
      </fill>
    </dxf>
    <dxf>
      <fill>
        <patternFill>
          <bgColor rgb="FFFFC000"/>
        </patternFill>
      </fill>
    </dxf>
    <dxf>
      <fill>
        <patternFill>
          <bgColor theme="8" tint="0.39994506668294322"/>
        </patternFill>
      </fill>
    </dxf>
    <dxf>
      <fill>
        <patternFill>
          <bgColor theme="7" tint="0.59996337778862885"/>
        </patternFill>
      </fill>
    </dxf>
    <dxf>
      <fill>
        <patternFill>
          <bgColor rgb="FFFF0000"/>
        </patternFill>
      </fill>
    </dxf>
    <dxf>
      <fill>
        <patternFill patternType="none">
          <bgColor auto="1"/>
        </patternFill>
      </fill>
    </dxf>
    <dxf>
      <fill>
        <patternFill>
          <bgColor rgb="FFF68282"/>
        </patternFill>
      </fill>
    </dxf>
    <dxf>
      <fill>
        <patternFill>
          <bgColor rgb="FFA9D08E"/>
        </patternFill>
      </fill>
    </dxf>
    <dxf>
      <fill>
        <gradientFill degree="90">
          <stop position="0">
            <color theme="1"/>
          </stop>
          <stop position="0.5">
            <color rgb="FFED6D6D"/>
          </stop>
          <stop position="1">
            <color theme="1"/>
          </stop>
        </gradientFill>
      </fill>
    </dxf>
    <dxf>
      <fill>
        <patternFill>
          <bgColor rgb="FFF48484"/>
        </patternFill>
      </fill>
    </dxf>
    <dxf>
      <fill>
        <gradientFill degree="90">
          <stop position="0">
            <color theme="1"/>
          </stop>
          <stop position="0.5">
            <color theme="4" tint="0.40000610370189521"/>
          </stop>
          <stop position="1">
            <color theme="1"/>
          </stop>
        </gradientFill>
      </fill>
    </dxf>
    <dxf>
      <fill>
        <gradientFill degree="90">
          <stop position="0">
            <color theme="1"/>
          </stop>
          <stop position="0.5">
            <color theme="7" tint="0.59999389629810485"/>
          </stop>
          <stop position="1">
            <color theme="1"/>
          </stop>
        </gradientFill>
      </fill>
    </dxf>
    <dxf>
      <fill>
        <gradientFill degree="90">
          <stop position="0">
            <color theme="1" tint="0.34900967436750391"/>
          </stop>
          <stop position="0.5">
            <color theme="9" tint="0.40000610370189521"/>
          </stop>
          <stop position="1">
            <color theme="1" tint="0.34900967436750391"/>
          </stop>
        </gradientFill>
      </fill>
    </dxf>
    <dxf>
      <fill>
        <patternFill>
          <bgColor rgb="FF92D050"/>
        </patternFill>
      </fill>
    </dxf>
    <dxf>
      <fill>
        <patternFill>
          <bgColor theme="9" tint="0.39994506668294322"/>
        </patternFill>
      </fill>
    </dxf>
    <dxf>
      <fill>
        <patternFill>
          <bgColor theme="7" tint="0.59996337778862885"/>
        </patternFill>
      </fill>
    </dxf>
    <dxf>
      <fill>
        <patternFill>
          <bgColor rgb="FFFFC000"/>
        </patternFill>
      </fill>
    </dxf>
    <dxf>
      <fill>
        <patternFill>
          <bgColor rgb="FFFF6161"/>
        </patternFill>
      </fill>
    </dxf>
    <dxf>
      <fill>
        <patternFill>
          <bgColor theme="9" tint="0.59996337778862885"/>
        </patternFill>
      </fill>
    </dxf>
    <dxf>
      <fill>
        <patternFill>
          <bgColor theme="7" tint="0.59996337778862885"/>
        </patternFill>
      </fill>
    </dxf>
    <dxf>
      <fill>
        <patternFill>
          <bgColor rgb="FFFE9700"/>
        </patternFill>
      </fill>
    </dxf>
    <dxf>
      <fill>
        <patternFill>
          <bgColor rgb="FFFF6161"/>
        </patternFill>
      </fill>
    </dxf>
    <dxf>
      <fill>
        <patternFill>
          <bgColor theme="9" tint="0.39994506668294322"/>
        </patternFill>
      </fill>
    </dxf>
    <dxf>
      <fill>
        <patternFill>
          <bgColor theme="8" tint="0.39994506668294322"/>
        </patternFill>
      </fill>
    </dxf>
    <dxf>
      <fill>
        <patternFill>
          <bgColor theme="7" tint="0.59996337778862885"/>
        </patternFill>
      </fill>
    </dxf>
    <dxf>
      <fill>
        <patternFill>
          <bgColor rgb="FFF68282"/>
        </patternFill>
      </fill>
    </dxf>
    <dxf>
      <fill>
        <patternFill>
          <bgColor rgb="FFF48484"/>
        </patternFill>
      </fill>
    </dxf>
    <dxf>
      <fill>
        <patternFill>
          <bgColor rgb="FFFF0000"/>
        </patternFill>
      </fill>
    </dxf>
    <dxf>
      <fill>
        <patternFill>
          <bgColor theme="9" tint="0.39994506668294322"/>
        </patternFill>
      </fill>
    </dxf>
    <dxf>
      <fill>
        <patternFill>
          <bgColor theme="8" tint="0.39994506668294322"/>
        </patternFill>
      </fill>
    </dxf>
    <dxf>
      <fill>
        <patternFill>
          <bgColor theme="7" tint="0.59996337778862885"/>
        </patternFill>
      </fill>
    </dxf>
    <dxf>
      <fill>
        <patternFill>
          <bgColor rgb="FFF68282"/>
        </patternFill>
      </fill>
    </dxf>
    <dxf>
      <fill>
        <patternFill>
          <bgColor rgb="FFF48484"/>
        </patternFill>
      </fill>
    </dxf>
    <dxf>
      <fill>
        <patternFill>
          <bgColor rgb="FFFF0000"/>
        </patternFill>
      </fill>
    </dxf>
    <dxf>
      <fill>
        <patternFill>
          <bgColor theme="8" tint="0.39994506668294322"/>
        </patternFill>
      </fill>
    </dxf>
    <dxf>
      <fill>
        <patternFill>
          <bgColor rgb="FFFFC000"/>
        </patternFill>
      </fill>
    </dxf>
    <dxf>
      <font>
        <b/>
        <i val="0"/>
        <strike val="0"/>
        <u val="none"/>
        <color auto="1"/>
      </font>
      <fill>
        <patternFill patternType="solid">
          <bgColor theme="4" tint="0.59996337778862885"/>
        </patternFill>
      </fill>
    </dxf>
    <dxf>
      <font>
        <color rgb="FF0070C0"/>
      </font>
      <fill>
        <patternFill>
          <fgColor rgb="FF0070C0"/>
        </patternFill>
      </fill>
    </dxf>
    <dxf>
      <font>
        <color theme="7"/>
      </font>
    </dxf>
    <dxf>
      <font>
        <color rgb="FF7030A0"/>
      </font>
    </dxf>
    <dxf>
      <font>
        <color rgb="FFFF5050"/>
      </font>
    </dxf>
    <dxf>
      <font>
        <color theme="9"/>
      </font>
    </dxf>
    <dxf>
      <font>
        <b/>
        <i val="0"/>
        <strike val="0"/>
        <u val="none"/>
        <color auto="1"/>
      </font>
      <fill>
        <patternFill patternType="solid">
          <bgColor theme="0" tint="-0.24994659260841701"/>
        </patternFill>
      </fill>
    </dxf>
    <dxf>
      <fill>
        <patternFill>
          <bgColor theme="9" tint="0.39994506668294322"/>
        </patternFill>
      </fill>
    </dxf>
    <dxf>
      <fill>
        <patternFill>
          <bgColor theme="7" tint="0.59996337778862885"/>
        </patternFill>
      </fill>
    </dxf>
    <dxf>
      <fill>
        <patternFill>
          <bgColor rgb="FFF7908D"/>
        </patternFill>
      </fill>
    </dxf>
    <dxf>
      <fill>
        <patternFill>
          <bgColor theme="9" tint="0.39994506668294322"/>
        </patternFill>
      </fill>
    </dxf>
    <dxf>
      <fill>
        <patternFill>
          <bgColor theme="7" tint="0.59996337778862885"/>
        </patternFill>
      </fill>
    </dxf>
    <dxf>
      <fill>
        <patternFill>
          <bgColor rgb="FFFFC000"/>
        </patternFill>
      </fill>
    </dxf>
    <dxf>
      <fill>
        <patternFill>
          <bgColor rgb="FFFF6161"/>
        </patternFill>
      </fill>
    </dxf>
    <dxf>
      <fill>
        <patternFill>
          <bgColor rgb="FFA9D08E"/>
        </patternFill>
      </fill>
    </dxf>
    <dxf>
      <fill>
        <patternFill>
          <bgColor theme="7" tint="0.59996337778862885"/>
        </patternFill>
      </fill>
    </dxf>
    <dxf>
      <fill>
        <patternFill>
          <bgColor rgb="FFFE9700"/>
        </patternFill>
      </fill>
    </dxf>
    <dxf>
      <fill>
        <patternFill>
          <bgColor rgb="FFFF6161"/>
        </patternFill>
      </fill>
    </dxf>
    <dxf>
      <fill>
        <patternFill>
          <bgColor rgb="FF002060"/>
        </patternFill>
      </fill>
    </dxf>
    <dxf>
      <fill>
        <gradientFill degree="90">
          <stop position="0">
            <color theme="7" tint="0.40000610370189521"/>
          </stop>
          <stop position="0.5">
            <color theme="9" tint="0.40000610370189521"/>
          </stop>
          <stop position="1">
            <color theme="7" tint="0.40000610370189521"/>
          </stop>
        </gradientFill>
      </fill>
    </dxf>
    <dxf>
      <fill>
        <gradientFill degree="90">
          <stop position="0">
            <color theme="7" tint="0.40000610370189521"/>
          </stop>
          <stop position="0.5">
            <color theme="4" tint="0.40000610370189521"/>
          </stop>
          <stop position="1">
            <color theme="7" tint="0.40000610370189521"/>
          </stop>
        </gradientFill>
      </fill>
    </dxf>
    <dxf>
      <fill>
        <gradientFill degree="90">
          <stop position="0">
            <color theme="7" tint="0.40000610370189521"/>
          </stop>
          <stop position="1">
            <color theme="7" tint="0.40000610370189521"/>
          </stop>
        </gradientFill>
      </fill>
    </dxf>
    <dxf>
      <fill>
        <gradientFill degree="90">
          <stop position="0">
            <color theme="7" tint="0.40000610370189521"/>
          </stop>
          <stop position="0.5">
            <color rgb="FFE87676"/>
          </stop>
          <stop position="1">
            <color theme="7" tint="0.40000610370189521"/>
          </stop>
        </gradientFill>
      </fill>
    </dxf>
    <dxf>
      <fill>
        <patternFill>
          <bgColor theme="1"/>
        </patternFill>
      </fill>
    </dxf>
    <dxf>
      <fill>
        <gradientFill degree="90">
          <stop position="0">
            <color theme="1" tint="0.34900967436750391"/>
          </stop>
          <stop position="0.5">
            <color theme="9" tint="0.40000610370189521"/>
          </stop>
          <stop position="1">
            <color theme="1" tint="0.34900967436750391"/>
          </stop>
        </gradientFill>
      </fill>
    </dxf>
    <dxf>
      <fill>
        <gradientFill degree="90">
          <stop position="0">
            <color theme="1"/>
          </stop>
          <stop position="0.5">
            <color theme="4" tint="0.40000610370189521"/>
          </stop>
          <stop position="1">
            <color theme="1"/>
          </stop>
        </gradientFill>
      </fill>
    </dxf>
    <dxf>
      <fill>
        <gradientFill degree="90">
          <stop position="0">
            <color theme="1"/>
          </stop>
          <stop position="0.5">
            <color theme="7" tint="0.59999389629810485"/>
          </stop>
          <stop position="1">
            <color theme="1"/>
          </stop>
        </gradientFill>
      </fill>
    </dxf>
    <dxf>
      <fill>
        <gradientFill degree="90">
          <stop position="0">
            <color theme="1"/>
          </stop>
          <stop position="0.5">
            <color rgb="FFED6D6D"/>
          </stop>
          <stop position="1">
            <color theme="1"/>
          </stop>
        </gradientFill>
      </fill>
    </dxf>
    <dxf>
      <fill>
        <patternFill>
          <bgColor theme="1"/>
        </patternFill>
      </fill>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s>
  <tableStyles count="0" defaultTableStyle="TableStyleMedium2" defaultPivotStyle="PivotStyleLight16"/>
  <colors>
    <mruColors>
      <color rgb="FFE87676"/>
      <color rgb="FFED6D6D"/>
      <color rgb="FFF7908D"/>
      <color rgb="FFFF6161"/>
      <color rgb="FFFF5050"/>
      <color rgb="FFE36C0A"/>
      <color rgb="FFF99633"/>
      <color rgb="FFA9D08E"/>
      <color rgb="FFFFE699"/>
      <color rgb="FFF682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0070C0"/>
              </a:solidFill>
              <a:ln w="101600">
                <a:solidFill>
                  <a:srgbClr val="0070C0"/>
                </a:solidFill>
              </a:ln>
              <a:effectLst/>
            </c:spPr>
            <c:extLst>
              <c:ext xmlns:c16="http://schemas.microsoft.com/office/drawing/2014/chart" uri="{C3380CC4-5D6E-409C-BE32-E72D297353CC}">
                <c16:uniqueId val="{00000001-B258-4A34-ABD8-56C0FBDB9CD4}"/>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B258-4A34-ABD8-56C0FBDB9CD4}"/>
              </c:ext>
            </c:extLst>
          </c:dPt>
          <c:val>
            <c:numRef>
              <c:f>חישובים!$G$6:$G$7</c:f>
              <c:numCache>
                <c:formatCode>0%</c:formatCode>
                <c:ptCount val="2"/>
                <c:pt idx="0">
                  <c:v>0.95238095238095233</c:v>
                </c:pt>
                <c:pt idx="1">
                  <c:v>4.7619047619047616E-2</c:v>
                </c:pt>
              </c:numCache>
            </c:numRef>
          </c:val>
          <c:extLst>
            <c:ext xmlns:c16="http://schemas.microsoft.com/office/drawing/2014/chart" uri="{C3380CC4-5D6E-409C-BE32-E72D297353CC}">
              <c16:uniqueId val="{00000004-B258-4A34-ABD8-56C0FBDB9CD4}"/>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FFC000"/>
              </a:solidFill>
              <a:ln w="101600">
                <a:solidFill>
                  <a:srgbClr val="FFC000"/>
                </a:solidFill>
              </a:ln>
              <a:effectLst/>
            </c:spPr>
            <c:extLst>
              <c:ext xmlns:c16="http://schemas.microsoft.com/office/drawing/2014/chart" uri="{C3380CC4-5D6E-409C-BE32-E72D297353CC}">
                <c16:uniqueId val="{00000001-B258-4A34-ABD8-56C0FBDB9CD4}"/>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B258-4A34-ABD8-56C0FBDB9CD4}"/>
              </c:ext>
            </c:extLst>
          </c:dPt>
          <c:val>
            <c:numRef>
              <c:f>חישובים!$H$6:$H$7</c:f>
              <c:numCache>
                <c:formatCode>0%</c:formatCode>
                <c:ptCount val="2"/>
                <c:pt idx="0">
                  <c:v>0.95918367346938771</c:v>
                </c:pt>
                <c:pt idx="1">
                  <c:v>4.0816326530612242E-2</c:v>
                </c:pt>
              </c:numCache>
            </c:numRef>
          </c:val>
          <c:extLst>
            <c:ext xmlns:c16="http://schemas.microsoft.com/office/drawing/2014/chart" uri="{C3380CC4-5D6E-409C-BE32-E72D297353CC}">
              <c16:uniqueId val="{00000004-B258-4A34-ABD8-56C0FBDB9CD4}"/>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7030A0"/>
              </a:solidFill>
              <a:ln w="101600">
                <a:solidFill>
                  <a:srgbClr val="7030A0"/>
                </a:solidFill>
              </a:ln>
              <a:effectLst/>
            </c:spPr>
            <c:extLst>
              <c:ext xmlns:c16="http://schemas.microsoft.com/office/drawing/2014/chart" uri="{C3380CC4-5D6E-409C-BE32-E72D297353CC}">
                <c16:uniqueId val="{00000001-5D1D-4767-9A76-C474B7DDE9AE}"/>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5D1D-4767-9A76-C474B7DDE9AE}"/>
              </c:ext>
            </c:extLst>
          </c:dPt>
          <c:val>
            <c:numRef>
              <c:f>חישובים!$I$6:$I$7</c:f>
              <c:numCache>
                <c:formatCode>0%</c:formatCode>
                <c:ptCount val="2"/>
                <c:pt idx="0">
                  <c:v>0.94964028776978415</c:v>
                </c:pt>
                <c:pt idx="1">
                  <c:v>5.0359712230215826E-2</c:v>
                </c:pt>
              </c:numCache>
            </c:numRef>
          </c:val>
          <c:extLst>
            <c:ext xmlns:c16="http://schemas.microsoft.com/office/drawing/2014/chart" uri="{C3380CC4-5D6E-409C-BE32-E72D297353CC}">
              <c16:uniqueId val="{00000004-5D1D-4767-9A76-C474B7DDE9A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FF5050"/>
              </a:solidFill>
              <a:ln w="101600">
                <a:solidFill>
                  <a:srgbClr val="FF5050"/>
                </a:solidFill>
              </a:ln>
              <a:effectLst/>
            </c:spPr>
            <c:extLst>
              <c:ext xmlns:c16="http://schemas.microsoft.com/office/drawing/2014/chart" uri="{C3380CC4-5D6E-409C-BE32-E72D297353CC}">
                <c16:uniqueId val="{00000001-5D1D-4767-9A76-C474B7DDE9AE}"/>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5D1D-4767-9A76-C474B7DDE9AE}"/>
              </c:ext>
            </c:extLst>
          </c:dPt>
          <c:val>
            <c:numRef>
              <c:f>חישובים!$J$6:$J$7</c:f>
              <c:numCache>
                <c:formatCode>0%</c:formatCode>
                <c:ptCount val="2"/>
                <c:pt idx="0">
                  <c:v>1</c:v>
                </c:pt>
                <c:pt idx="1">
                  <c:v>0</c:v>
                </c:pt>
              </c:numCache>
            </c:numRef>
          </c:val>
          <c:extLst>
            <c:ext xmlns:c16="http://schemas.microsoft.com/office/drawing/2014/chart" uri="{C3380CC4-5D6E-409C-BE32-E72D297353CC}">
              <c16:uniqueId val="{00000004-5D1D-4767-9A76-C474B7DDE9A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chemeClr val="accent6"/>
              </a:solidFill>
              <a:ln w="101600">
                <a:solidFill>
                  <a:schemeClr val="accent6"/>
                </a:solidFill>
              </a:ln>
              <a:effectLst/>
            </c:spPr>
            <c:extLst>
              <c:ext xmlns:c16="http://schemas.microsoft.com/office/drawing/2014/chart" uri="{C3380CC4-5D6E-409C-BE32-E72D297353CC}">
                <c16:uniqueId val="{00000001-4CCB-4F5E-A19F-8C1437D4076B}"/>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4CCB-4F5E-A19F-8C1437D4076B}"/>
              </c:ext>
            </c:extLst>
          </c:dPt>
          <c:val>
            <c:numRef>
              <c:f>חישובים!$K$6:$K$7</c:f>
              <c:numCache>
                <c:formatCode>0%</c:formatCode>
                <c:ptCount val="2"/>
                <c:pt idx="0">
                  <c:v>1</c:v>
                </c:pt>
                <c:pt idx="1">
                  <c:v>0</c:v>
                </c:pt>
              </c:numCache>
            </c:numRef>
          </c:val>
          <c:extLst>
            <c:ext xmlns:c16="http://schemas.microsoft.com/office/drawing/2014/chart" uri="{C3380CC4-5D6E-409C-BE32-E72D297353CC}">
              <c16:uniqueId val="{00000004-4CCB-4F5E-A19F-8C1437D4076B}"/>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F99633"/>
              </a:solidFill>
              <a:ln w="101600">
                <a:solidFill>
                  <a:srgbClr val="F99633"/>
                </a:solidFill>
              </a:ln>
              <a:effectLst/>
            </c:spPr>
            <c:extLst>
              <c:ext xmlns:c16="http://schemas.microsoft.com/office/drawing/2014/chart" uri="{C3380CC4-5D6E-409C-BE32-E72D297353CC}">
                <c16:uniqueId val="{00000001-4CCB-4F5E-A19F-8C1437D4076B}"/>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4CCB-4F5E-A19F-8C1437D4076B}"/>
              </c:ext>
            </c:extLst>
          </c:dPt>
          <c:val>
            <c:numRef>
              <c:f>חישובים!$S$5:$S$6</c:f>
              <c:numCache>
                <c:formatCode>0%</c:formatCode>
                <c:ptCount val="2"/>
                <c:pt idx="0">
                  <c:v>0.48165137614678899</c:v>
                </c:pt>
                <c:pt idx="1">
                  <c:v>0.51834862385321101</c:v>
                </c:pt>
              </c:numCache>
            </c:numRef>
          </c:val>
          <c:extLst>
            <c:ext xmlns:c16="http://schemas.microsoft.com/office/drawing/2014/chart" uri="{C3380CC4-5D6E-409C-BE32-E72D297353CC}">
              <c16:uniqueId val="{00000004-4CCB-4F5E-A19F-8C1437D4076B}"/>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spPr>
            <a:solidFill>
              <a:schemeClr val="accent1">
                <a:lumMod val="60000"/>
                <a:lumOff val="40000"/>
              </a:schemeClr>
            </a:solidFill>
          </c:spPr>
          <c:dPt>
            <c:idx val="0"/>
            <c:bubble3D val="0"/>
            <c:spPr>
              <a:solidFill>
                <a:schemeClr val="accent1">
                  <a:lumMod val="60000"/>
                  <a:lumOff val="40000"/>
                </a:schemeClr>
              </a:solidFill>
              <a:ln w="101600">
                <a:solidFill>
                  <a:schemeClr val="accent1">
                    <a:lumMod val="60000"/>
                    <a:lumOff val="40000"/>
                  </a:schemeClr>
                </a:solidFill>
              </a:ln>
              <a:effectLst/>
            </c:spPr>
            <c:extLst>
              <c:ext xmlns:c16="http://schemas.microsoft.com/office/drawing/2014/chart" uri="{C3380CC4-5D6E-409C-BE32-E72D297353CC}">
                <c16:uniqueId val="{00000001-4CCB-4F5E-A19F-8C1437D4076B}"/>
              </c:ext>
            </c:extLst>
          </c:dPt>
          <c:dPt>
            <c:idx val="1"/>
            <c:bubble3D val="0"/>
            <c:spPr>
              <a:solidFill>
                <a:schemeClr val="accent1">
                  <a:lumMod val="60000"/>
                  <a:lumOff val="40000"/>
                </a:schemeClr>
              </a:solidFill>
              <a:ln w="41275">
                <a:solidFill>
                  <a:schemeClr val="bg1">
                    <a:lumMod val="65000"/>
                  </a:schemeClr>
                </a:solidFill>
              </a:ln>
              <a:effectLst/>
            </c:spPr>
            <c:extLst>
              <c:ext xmlns:c16="http://schemas.microsoft.com/office/drawing/2014/chart" uri="{C3380CC4-5D6E-409C-BE32-E72D297353CC}">
                <c16:uniqueId val="{00000003-4CCB-4F5E-A19F-8C1437D4076B}"/>
              </c:ext>
            </c:extLst>
          </c:dPt>
          <c:val>
            <c:numRef>
              <c:f>חישובים!$T$5:$T$6</c:f>
              <c:numCache>
                <c:formatCode>0%</c:formatCode>
                <c:ptCount val="2"/>
                <c:pt idx="0">
                  <c:v>0.11467889908256881</c:v>
                </c:pt>
                <c:pt idx="1">
                  <c:v>0.88532110091743121</c:v>
                </c:pt>
              </c:numCache>
            </c:numRef>
          </c:val>
          <c:extLst>
            <c:ext xmlns:c16="http://schemas.microsoft.com/office/drawing/2014/chart" uri="{C3380CC4-5D6E-409C-BE32-E72D297353CC}">
              <c16:uniqueId val="{00000004-4CCB-4F5E-A19F-8C1437D4076B}"/>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chemeClr val="tx1"/>
              </a:solidFill>
              <a:ln w="101600">
                <a:solidFill>
                  <a:schemeClr val="tx1"/>
                </a:solidFill>
              </a:ln>
              <a:effectLst/>
            </c:spPr>
            <c:extLst>
              <c:ext xmlns:c16="http://schemas.microsoft.com/office/drawing/2014/chart" uri="{C3380CC4-5D6E-409C-BE32-E72D297353CC}">
                <c16:uniqueId val="{00000001-4CCB-4F5E-A19F-8C1437D4076B}"/>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4CCB-4F5E-A19F-8C1437D4076B}"/>
              </c:ext>
            </c:extLst>
          </c:dPt>
          <c:val>
            <c:numRef>
              <c:f>חישובים!$U$5:$U$6</c:f>
              <c:numCache>
                <c:formatCode>0%</c:formatCode>
                <c:ptCount val="2"/>
                <c:pt idx="0">
                  <c:v>0.56880733944954132</c:v>
                </c:pt>
                <c:pt idx="1">
                  <c:v>0</c:v>
                </c:pt>
              </c:numCache>
            </c:numRef>
          </c:val>
          <c:extLst>
            <c:ext xmlns:c16="http://schemas.microsoft.com/office/drawing/2014/chart" uri="{C3380CC4-5D6E-409C-BE32-E72D297353CC}">
              <c16:uniqueId val="{00000004-4CCB-4F5E-A19F-8C1437D4076B}"/>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'חישוב תמק'!$A$8:$A$12</c:f>
              <c:strCache>
                <c:ptCount val="5"/>
                <c:pt idx="0">
                  <c:v>אסטרטגיה</c:v>
                </c:pt>
                <c:pt idx="1">
                  <c:v>ניהול סיכונים</c:v>
                </c:pt>
                <c:pt idx="2">
                  <c:v>משאבי כ"א בתחום הענן</c:v>
                </c:pt>
                <c:pt idx="3">
                  <c:v>ניהול פיננסי</c:v>
                </c:pt>
                <c:pt idx="4">
                  <c:v> מדיניות, שיטות, נהלים ותהליכים</c:v>
                </c:pt>
              </c:strCache>
            </c:strRef>
          </c:cat>
          <c:val>
            <c:numRef>
              <c:f>'חישוב תמק'!$D$8:$D$12</c:f>
              <c:numCache>
                <c:formatCode>0%</c:formatCode>
                <c:ptCount val="5"/>
                <c:pt idx="0">
                  <c:v>0.33333333333333331</c:v>
                </c:pt>
                <c:pt idx="1">
                  <c:v>7.6923076923076927E-2</c:v>
                </c:pt>
                <c:pt idx="2">
                  <c:v>1</c:v>
                </c:pt>
                <c:pt idx="3">
                  <c:v>1</c:v>
                </c:pt>
                <c:pt idx="4">
                  <c:v>0</c:v>
                </c:pt>
              </c:numCache>
            </c:numRef>
          </c:val>
          <c:extLst>
            <c:ext xmlns:c16="http://schemas.microsoft.com/office/drawing/2014/chart" uri="{C3380CC4-5D6E-409C-BE32-E72D297353CC}">
              <c16:uniqueId val="{00000000-8FE9-4D53-9040-2A293F0755D1}"/>
            </c:ext>
          </c:extLst>
        </c:ser>
        <c:dLbls>
          <c:showLegendKey val="0"/>
          <c:showVal val="0"/>
          <c:showCatName val="0"/>
          <c:showSerName val="0"/>
          <c:showPercent val="0"/>
          <c:showBubbleSize val="0"/>
        </c:dLbls>
        <c:gapWidth val="150"/>
        <c:shape val="box"/>
        <c:axId val="1384701376"/>
        <c:axId val="1382425120"/>
        <c:axId val="0"/>
      </c:bar3DChart>
      <c:catAx>
        <c:axId val="138470137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382425120"/>
        <c:crosses val="autoZero"/>
        <c:auto val="1"/>
        <c:lblAlgn val="ctr"/>
        <c:lblOffset val="100"/>
        <c:noMultiLvlLbl val="0"/>
      </c:catAx>
      <c:valAx>
        <c:axId val="138242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38470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'חישוב תמק'!$A$16:$A$20</c:f>
              <c:strCache>
                <c:ptCount val="5"/>
                <c:pt idx="0">
                  <c:v>מאפייני מידע</c:v>
                </c:pt>
                <c:pt idx="1">
                  <c:v>מאפייני מערכת</c:v>
                </c:pt>
                <c:pt idx="2">
                  <c:v>משתמשים והזדהות</c:v>
                </c:pt>
                <c:pt idx="3">
                  <c:v>ממשקים</c:v>
                </c:pt>
                <c:pt idx="4">
                  <c:v>אופן היישום בענן</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'חישוב תמק'!$A$16:$A$20</c:f>
              <c:strCache>
                <c:ptCount val="5"/>
                <c:pt idx="0">
                  <c:v>מאפייני מידע</c:v>
                </c:pt>
                <c:pt idx="1">
                  <c:v>מאפייני מערכת</c:v>
                </c:pt>
                <c:pt idx="2">
                  <c:v>משתמשים והזדהות</c:v>
                </c:pt>
                <c:pt idx="3">
                  <c:v>ממשקים</c:v>
                </c:pt>
                <c:pt idx="4">
                  <c:v>אופן היישום בענן</c:v>
                </c:pt>
              </c:strCache>
            </c:strRef>
          </c:cat>
          <c:val>
            <c:numRef>
              <c:f>'חישוב תמק'!$D$16:$D$20</c:f>
              <c:numCache>
                <c:formatCode>0%</c:formatCode>
                <c:ptCount val="5"/>
                <c:pt idx="0">
                  <c:v>0.62222222222222223</c:v>
                </c:pt>
                <c:pt idx="1">
                  <c:v>0.77862595419847325</c:v>
                </c:pt>
                <c:pt idx="2">
                  <c:v>0.22222222222222221</c:v>
                </c:pt>
                <c:pt idx="3">
                  <c:v>0</c:v>
                </c:pt>
                <c:pt idx="4">
                  <c:v>0.33333333333333331</c:v>
                </c:pt>
              </c:numCache>
            </c:numRef>
          </c:val>
          <c:extLst>
            <c:ext xmlns:c16="http://schemas.microsoft.com/office/drawing/2014/chart" uri="{C3380CC4-5D6E-409C-BE32-E72D297353CC}">
              <c16:uniqueId val="{00000000-C969-4E6C-B727-1F72A9FDBED6}"/>
            </c:ext>
          </c:extLst>
        </c:ser>
        <c:dLbls>
          <c:showLegendKey val="0"/>
          <c:showVal val="0"/>
          <c:showCatName val="0"/>
          <c:showSerName val="0"/>
          <c:showPercent val="0"/>
          <c:showBubbleSize val="0"/>
        </c:dLbls>
        <c:gapWidth val="150"/>
        <c:shape val="box"/>
        <c:axId val="1384701376"/>
        <c:axId val="1382425120"/>
        <c:axId val="0"/>
      </c:bar3DChart>
      <c:catAx>
        <c:axId val="138470137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382425120"/>
        <c:crosses val="autoZero"/>
        <c:auto val="1"/>
        <c:lblAlgn val="ctr"/>
        <c:lblOffset val="100"/>
        <c:noMultiLvlLbl val="0"/>
      </c:catAx>
      <c:valAx>
        <c:axId val="138242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38470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'חישוב תמק'!$A$24:$A$26</c:f>
              <c:strCache>
                <c:ptCount val="3"/>
                <c:pt idx="0">
                  <c:v>מאפייני הספקים</c:v>
                </c:pt>
                <c:pt idx="1">
                  <c:v>ספק א'</c:v>
                </c:pt>
                <c:pt idx="2">
                  <c:v>ספק ב'</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'חישוב תמק'!$A$24:$A$26</c:f>
              <c:strCache>
                <c:ptCount val="3"/>
                <c:pt idx="0">
                  <c:v>מאפייני הספקים</c:v>
                </c:pt>
                <c:pt idx="1">
                  <c:v>ספק א'</c:v>
                </c:pt>
                <c:pt idx="2">
                  <c:v>ספק ב'</c:v>
                </c:pt>
              </c:strCache>
            </c:strRef>
          </c:cat>
          <c:val>
            <c:numRef>
              <c:f>'חישוב תמק'!$D$24:$D$26</c:f>
              <c:numCache>
                <c:formatCode>0%</c:formatCode>
                <c:ptCount val="3"/>
                <c:pt idx="0">
                  <c:v>0.22222222222222221</c:v>
                </c:pt>
                <c:pt idx="1">
                  <c:v>0.42553191489361702</c:v>
                </c:pt>
                <c:pt idx="2">
                  <c:v>0.31914893617021278</c:v>
                </c:pt>
              </c:numCache>
            </c:numRef>
          </c:val>
          <c:extLst>
            <c:ext xmlns:c16="http://schemas.microsoft.com/office/drawing/2014/chart" uri="{C3380CC4-5D6E-409C-BE32-E72D297353CC}">
              <c16:uniqueId val="{00000000-9A0D-4CAA-B5D9-051AD84BB747}"/>
            </c:ext>
          </c:extLst>
        </c:ser>
        <c:dLbls>
          <c:showLegendKey val="0"/>
          <c:showVal val="0"/>
          <c:showCatName val="0"/>
          <c:showSerName val="0"/>
          <c:showPercent val="0"/>
          <c:showBubbleSize val="0"/>
        </c:dLbls>
        <c:gapWidth val="150"/>
        <c:shape val="box"/>
        <c:axId val="1384701376"/>
        <c:axId val="1382425120"/>
        <c:axId val="0"/>
      </c:bar3DChart>
      <c:catAx>
        <c:axId val="138470137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382425120"/>
        <c:crosses val="autoZero"/>
        <c:auto val="1"/>
        <c:lblAlgn val="ctr"/>
        <c:lblOffset val="100"/>
        <c:noMultiLvlLbl val="0"/>
      </c:catAx>
      <c:valAx>
        <c:axId val="138242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38470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1"/>
            </a:solidFill>
            <a:ln>
              <a:noFill/>
            </a:ln>
            <a:effectLst/>
          </c:spPr>
          <c:invertIfNegative val="0"/>
          <c:cat>
            <c:strRef>
              <c:f>('חישוב תמק'!$A$8:$A$12,'חישוב תמק'!$A$16:$A$20,'חישוב תמק'!$A$24:$A$26)</c:f>
              <c:strCache>
                <c:ptCount val="13"/>
                <c:pt idx="0">
                  <c:v>אסטרטגיה</c:v>
                </c:pt>
                <c:pt idx="1">
                  <c:v>ניהול סיכונים</c:v>
                </c:pt>
                <c:pt idx="2">
                  <c:v>משאבי כ"א בתחום הענן</c:v>
                </c:pt>
                <c:pt idx="3">
                  <c:v>ניהול פיננסי</c:v>
                </c:pt>
                <c:pt idx="4">
                  <c:v> מדיניות, שיטות, נהלים ותהליכים</c:v>
                </c:pt>
                <c:pt idx="5">
                  <c:v>מאפייני מידע</c:v>
                </c:pt>
                <c:pt idx="6">
                  <c:v>מאפייני מערכת</c:v>
                </c:pt>
                <c:pt idx="7">
                  <c:v>משתמשים והזדהות</c:v>
                </c:pt>
                <c:pt idx="8">
                  <c:v>ממשקים</c:v>
                </c:pt>
                <c:pt idx="9">
                  <c:v>אופן היישום בענן</c:v>
                </c:pt>
                <c:pt idx="10">
                  <c:v>מאפייני הספקים</c:v>
                </c:pt>
                <c:pt idx="11">
                  <c:v>ספק א'</c:v>
                </c:pt>
                <c:pt idx="12">
                  <c:v>ספק ב'</c:v>
                </c:pt>
              </c:strCache>
            </c:strRef>
          </c:cat>
          <c:val>
            <c:numRef>
              <c:f>('חישוב תמק'!$D$8:$D$12,'חישוב תמק'!$D$16:$D$20,'חישוב תמק'!$D$24:$D$26)</c:f>
              <c:numCache>
                <c:formatCode>0%</c:formatCode>
                <c:ptCount val="13"/>
                <c:pt idx="0">
                  <c:v>0.33333333333333331</c:v>
                </c:pt>
                <c:pt idx="1">
                  <c:v>7.6923076923076927E-2</c:v>
                </c:pt>
                <c:pt idx="2">
                  <c:v>1</c:v>
                </c:pt>
                <c:pt idx="3">
                  <c:v>1</c:v>
                </c:pt>
                <c:pt idx="4">
                  <c:v>0</c:v>
                </c:pt>
                <c:pt idx="5">
                  <c:v>0.62222222222222223</c:v>
                </c:pt>
                <c:pt idx="6">
                  <c:v>0.77862595419847325</c:v>
                </c:pt>
                <c:pt idx="7">
                  <c:v>0.22222222222222221</c:v>
                </c:pt>
                <c:pt idx="8">
                  <c:v>0</c:v>
                </c:pt>
                <c:pt idx="9">
                  <c:v>0.33333333333333331</c:v>
                </c:pt>
                <c:pt idx="10">
                  <c:v>0.22222222222222221</c:v>
                </c:pt>
                <c:pt idx="11">
                  <c:v>0.42553191489361702</c:v>
                </c:pt>
                <c:pt idx="12">
                  <c:v>0.31914893617021278</c:v>
                </c:pt>
              </c:numCache>
            </c:numRef>
          </c:val>
          <c:extLst>
            <c:ext xmlns:c16="http://schemas.microsoft.com/office/drawing/2014/chart" uri="{C3380CC4-5D6E-409C-BE32-E72D297353CC}">
              <c16:uniqueId val="{00000000-6EC3-4A4B-A29B-48B04ECDB023}"/>
            </c:ext>
          </c:extLst>
        </c:ser>
        <c:dLbls>
          <c:showLegendKey val="0"/>
          <c:showVal val="0"/>
          <c:showCatName val="0"/>
          <c:showSerName val="0"/>
          <c:showPercent val="0"/>
          <c:showBubbleSize val="0"/>
        </c:dLbls>
        <c:gapWidth val="150"/>
        <c:overlap val="100"/>
        <c:axId val="1184509952"/>
        <c:axId val="1467634560"/>
      </c:barChart>
      <c:catAx>
        <c:axId val="118450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467634560"/>
        <c:crosses val="autoZero"/>
        <c:auto val="1"/>
        <c:lblAlgn val="ctr"/>
        <c:lblOffset val="100"/>
        <c:noMultiLvlLbl val="0"/>
      </c:catAx>
      <c:valAx>
        <c:axId val="1467634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184509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6"/>
          <c:order val="0"/>
          <c:tx>
            <c:strRef>
              <c:f>'חישוב תמק'!$M$1</c:f>
              <c:strCache>
                <c:ptCount val="1"/>
                <c:pt idx="0">
                  <c:v>lower</c:v>
                </c:pt>
              </c:strCache>
            </c:strRef>
          </c:tx>
          <c:spPr>
            <a:solidFill>
              <a:schemeClr val="bg1"/>
            </a:solidFill>
            <a:ln>
              <a:noFill/>
            </a:ln>
            <a:effectLst/>
            <a:sp3d/>
          </c:spPr>
          <c:invertIfNegative val="0"/>
          <c:dLbls>
            <c:dLbl>
              <c:idx val="0"/>
              <c:tx>
                <c:rich>
                  <a:bodyPr rot="0" spcFirstLastPara="1" vertOverflow="ellipsis" vert="horz" wrap="square" lIns="38100" tIns="19050" rIns="38100" bIns="19050" anchor="ctr" anchorCtr="1">
                    <a:spAutoFit/>
                  </a:bodyPr>
                  <a:lstStyle/>
                  <a:p>
                    <a:pPr>
                      <a:defRPr sz="1800" b="1" i="0" u="none" strike="noStrike" kern="1200" baseline="0">
                        <a:solidFill>
                          <a:srgbClr val="E36C0A"/>
                        </a:solidFill>
                        <a:latin typeface="Assistant" pitchFamily="2" charset="-79"/>
                        <a:ea typeface="+mn-ea"/>
                        <a:cs typeface="Assistant" pitchFamily="2" charset="-79"/>
                      </a:defRPr>
                    </a:pPr>
                    <a:fld id="{492C437B-83E2-4D3F-B562-9F1B49465D27}" type="CELLRANGE">
                      <a:rPr lang="he-IL"/>
                      <a:pPr>
                        <a:defRPr sz="1800" b="1">
                          <a:solidFill>
                            <a:srgbClr val="E36C0A"/>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E36C0A"/>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8605-4A03-9860-149EC4E772B1}"/>
                </c:ext>
              </c:extLst>
            </c:dLbl>
            <c:dLbl>
              <c:idx val="1"/>
              <c:tx>
                <c:rich>
                  <a:bodyPr rot="0" spcFirstLastPara="1" vertOverflow="ellipsis" vert="horz" wrap="square" lIns="38100" tIns="19050" rIns="38100" bIns="19050" anchor="ctr" anchorCtr="1">
                    <a:spAutoFit/>
                  </a:bodyPr>
                  <a:lstStyle/>
                  <a:p>
                    <a:pPr>
                      <a:defRPr sz="1800" b="1" i="0" u="none" strike="noStrike" kern="1200" baseline="0">
                        <a:solidFill>
                          <a:schemeClr val="accent1"/>
                        </a:solidFill>
                        <a:latin typeface="Assistant" pitchFamily="2" charset="-79"/>
                        <a:ea typeface="+mn-ea"/>
                        <a:cs typeface="Assistant" pitchFamily="2" charset="-79"/>
                      </a:defRPr>
                    </a:pPr>
                    <a:fld id="{C1111E61-C114-436C-AFCE-47F4AD535819}" type="CELLRANGE">
                      <a:rPr lang="he-IL"/>
                      <a:pPr>
                        <a:defRPr sz="1800" b="1">
                          <a:solidFill>
                            <a:schemeClr val="accent1"/>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1"/>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8605-4A03-9860-149EC4E772B1}"/>
                </c:ext>
              </c:extLst>
            </c:dLbl>
            <c:dLbl>
              <c:idx val="2"/>
              <c:layout>
                <c:manualLayout>
                  <c:x val="8.3333333333333332E-3"/>
                  <c:y val="0"/>
                </c:manualLayout>
              </c:layout>
              <c:tx>
                <c:rich>
                  <a:bodyPr rot="0" spcFirstLastPara="1" vertOverflow="ellipsis" vert="horz" wrap="square" lIns="38100" tIns="19050" rIns="38100" bIns="19050" anchor="ctr" anchorCtr="1">
                    <a:spAutoFit/>
                  </a:bodyPr>
                  <a:lstStyle/>
                  <a:p>
                    <a:pPr>
                      <a:defRPr sz="1800" b="1" i="0" u="none" strike="noStrike" kern="1200" baseline="0">
                        <a:solidFill>
                          <a:schemeClr val="bg1">
                            <a:lumMod val="50000"/>
                          </a:schemeClr>
                        </a:solidFill>
                        <a:latin typeface="Assistant" pitchFamily="2" charset="-79"/>
                        <a:ea typeface="+mn-ea"/>
                        <a:cs typeface="Assistant" pitchFamily="2" charset="-79"/>
                      </a:defRPr>
                    </a:pPr>
                    <a:fld id="{E55F68DD-2E25-4A58-80A9-793AC1FAE10E}" type="CELLRANGE">
                      <a:rPr lang="en-US">
                        <a:solidFill>
                          <a:schemeClr val="bg1">
                            <a:lumMod val="50000"/>
                          </a:schemeClr>
                        </a:solidFill>
                      </a:rPr>
                      <a:pPr>
                        <a:defRPr sz="1800" b="1">
                          <a:solidFill>
                            <a:schemeClr val="bg1">
                              <a:lumMod val="50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50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A67-4FD3-AEE5-4A2CA36DF7BC}"/>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תמק'!$M$2:$M$5</c15:sqref>
                  </c15:fullRef>
                </c:ext>
              </c:extLst>
              <c:f>'חישוב תמק'!$M$3:$M$5</c:f>
              <c:numCache>
                <c:formatCode>0%</c:formatCode>
                <c:ptCount val="3"/>
                <c:pt idx="0">
                  <c:v>0.2</c:v>
                </c:pt>
                <c:pt idx="1">
                  <c:v>0.2</c:v>
                </c:pt>
                <c:pt idx="2">
                  <c:v>0.2</c:v>
                </c:pt>
              </c:numCache>
            </c:numRef>
          </c:val>
          <c:extLst>
            <c:ext xmlns:c15="http://schemas.microsoft.com/office/drawing/2012/chart" uri="{02D57815-91ED-43cb-92C2-25804820EDAC}">
              <c15:datalabelsRange>
                <c15:f>'חישוב תמק'!$O$2:$O$5</c15:f>
                <c15:dlblRangeCache>
                  <c:ptCount val="4"/>
                  <c:pt idx="0">
                    <c:v>75%</c:v>
                  </c:pt>
                  <c:pt idx="1">
                    <c:v>48%</c:v>
                  </c:pt>
                  <c:pt idx="2">
                    <c:v>70%</c:v>
                  </c:pt>
                  <c:pt idx="3">
                    <c:v>37%</c:v>
                  </c:pt>
                </c15:dlblRangeCache>
              </c15:datalabelsRange>
            </c:ext>
            <c:ext xmlns:c15="http://schemas.microsoft.com/office/drawing/2012/chart" uri="{02D57815-91ED-43cb-92C2-25804820EDAC}">
              <c15:categoryFilterExceptions>
                <c15:categoryFilterException>
                  <c15:sqref>'חישוב תמק'!$M$2</c15:sqref>
                  <c15:dLbl>
                    <c:idx val="-1"/>
                    <c:delete val="1"/>
                    <c:extLst>
                      <c:ext uri="{CE6537A1-D6FC-4f65-9D91-7224C49458BB}"/>
                      <c:ext xmlns:c16="http://schemas.microsoft.com/office/drawing/2014/chart" uri="{C3380CC4-5D6E-409C-BE32-E72D297353CC}">
                        <c16:uniqueId val="{00000016-1245-4C22-BEE6-16F8B6F024D7}"/>
                      </c:ext>
                    </c:extLst>
                  </c15:dLbl>
                </c15:categoryFilterException>
              </c15:categoryFilterExceptions>
            </c:ext>
            <c:ext xmlns:c16="http://schemas.microsoft.com/office/drawing/2014/chart" uri="{C3380CC4-5D6E-409C-BE32-E72D297353CC}">
              <c16:uniqueId val="{00000009-8605-4A03-9860-149EC4E772B1}"/>
            </c:ext>
          </c:extLst>
        </c:ser>
        <c:ser>
          <c:idx val="5"/>
          <c:order val="1"/>
          <c:tx>
            <c:strRef>
              <c:f>'חישוב תמק'!$K$1</c:f>
              <c:strCache>
                <c:ptCount val="1"/>
                <c:pt idx="0">
                  <c:v>M1</c:v>
                </c:pt>
              </c:strCache>
            </c:strRef>
          </c:tx>
          <c:spPr>
            <a:gradFill>
              <a:gsLst>
                <a:gs pos="0">
                  <a:schemeClr val="accent3">
                    <a:lumMod val="75000"/>
                  </a:schemeClr>
                </a:gs>
                <a:gs pos="100000">
                  <a:schemeClr val="accent3">
                    <a:lumMod val="40000"/>
                    <a:lumOff val="60000"/>
                  </a:schemeClr>
                </a:gs>
              </a:gsLst>
              <a:lin ang="0" scaled="1"/>
            </a:gradFill>
            <a:ln>
              <a:noFill/>
            </a:ln>
            <a:effectLst/>
            <a:sp3d/>
          </c:spPr>
          <c:invertIfNegative val="0"/>
          <c:dPt>
            <c:idx val="0"/>
            <c:invertIfNegative val="0"/>
            <c:bubble3D val="0"/>
            <c:spPr>
              <a:gradFill>
                <a:gsLst>
                  <a:gs pos="0">
                    <a:srgbClr val="FF0000"/>
                  </a:gs>
                  <a:gs pos="100000">
                    <a:schemeClr val="accent4"/>
                  </a:gs>
                </a:gsLst>
                <a:lin ang="0" scaled="1"/>
              </a:gradFill>
              <a:ln>
                <a:noFill/>
              </a:ln>
              <a:effectLst/>
              <a:sp3d/>
            </c:spPr>
            <c:extLst>
              <c:ext xmlns:c16="http://schemas.microsoft.com/office/drawing/2014/chart" uri="{C3380CC4-5D6E-409C-BE32-E72D297353CC}">
                <c16:uniqueId val="{00000011-8605-4A03-9860-149EC4E772B1}"/>
              </c:ext>
            </c:extLst>
          </c:dPt>
          <c:dPt>
            <c:idx val="1"/>
            <c:invertIfNegative val="0"/>
            <c:bubble3D val="0"/>
            <c:spPr>
              <a:gradFill>
                <a:gsLst>
                  <a:gs pos="0">
                    <a:schemeClr val="accent1">
                      <a:lumMod val="75000"/>
                    </a:schemeClr>
                  </a:gs>
                  <a:gs pos="100000">
                    <a:schemeClr val="accent5">
                      <a:lumMod val="60000"/>
                      <a:lumOff val="40000"/>
                    </a:schemeClr>
                  </a:gs>
                </a:gsLst>
                <a:lin ang="0" scaled="1"/>
              </a:gradFill>
              <a:ln>
                <a:noFill/>
              </a:ln>
              <a:effectLst/>
              <a:sp3d/>
            </c:spPr>
            <c:extLst>
              <c:ext xmlns:c16="http://schemas.microsoft.com/office/drawing/2014/chart" uri="{C3380CC4-5D6E-409C-BE32-E72D297353CC}">
                <c16:uniqueId val="{00000014-8605-4A03-9860-149EC4E772B1}"/>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תמק'!$K$2:$K$5</c15:sqref>
                  </c15:fullRef>
                </c:ext>
              </c:extLst>
              <c:f>'חישוב תמק'!$K$3:$K$5</c:f>
              <c:numCache>
                <c:formatCode>0%</c:formatCode>
                <c:ptCount val="3"/>
                <c:pt idx="0">
                  <c:v>0.05</c:v>
                </c:pt>
                <c:pt idx="1">
                  <c:v>0.05</c:v>
                </c:pt>
                <c:pt idx="2">
                  <c:v>0.05</c:v>
                </c:pt>
              </c:numCache>
            </c:numRef>
          </c:val>
          <c:extLst>
            <c:ext xmlns:c16="http://schemas.microsoft.com/office/drawing/2014/chart" uri="{C3380CC4-5D6E-409C-BE32-E72D297353CC}">
              <c16:uniqueId val="{00000008-8605-4A03-9860-149EC4E772B1}"/>
            </c:ext>
          </c:extLst>
        </c:ser>
        <c:ser>
          <c:idx val="0"/>
          <c:order val="2"/>
          <c:tx>
            <c:strRef>
              <c:f>'חישוב תמק'!$J$1</c:f>
              <c:strCache>
                <c:ptCount val="1"/>
                <c:pt idx="0">
                  <c:v>M2</c:v>
                </c:pt>
              </c:strCache>
            </c:strRef>
          </c:tx>
          <c:spPr>
            <a:solidFill>
              <a:schemeClr val="bg1"/>
            </a:solidFill>
            <a:ln>
              <a:noFill/>
            </a:ln>
            <a:effectLst/>
            <a:sp3d/>
          </c:spPr>
          <c:invertIfNegative val="0"/>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תמק'!$J$2:$J$5</c15:sqref>
                  </c15:fullRef>
                </c:ext>
              </c:extLst>
              <c:f>'חישוב תמק'!$J$3:$J$5</c:f>
              <c:numCache>
                <c:formatCode>0%</c:formatCode>
                <c:ptCount val="3"/>
                <c:pt idx="0">
                  <c:v>0.02</c:v>
                </c:pt>
                <c:pt idx="1">
                  <c:v>0.02</c:v>
                </c:pt>
                <c:pt idx="2">
                  <c:v>0.02</c:v>
                </c:pt>
              </c:numCache>
            </c:numRef>
          </c:val>
          <c:extLst>
            <c:ext xmlns:c16="http://schemas.microsoft.com/office/drawing/2014/chart" uri="{C3380CC4-5D6E-409C-BE32-E72D297353CC}">
              <c16:uniqueId val="{00000000-8605-4A03-9860-149EC4E772B1}"/>
            </c:ext>
          </c:extLst>
        </c:ser>
        <c:ser>
          <c:idx val="7"/>
          <c:order val="3"/>
          <c:tx>
            <c:strRef>
              <c:f>'חישוב תמק'!$O$1</c:f>
              <c:strCache>
                <c:ptCount val="1"/>
                <c:pt idx="0">
                  <c:v>סיכון</c:v>
                </c:pt>
              </c:strCache>
            </c:strRef>
          </c:tx>
          <c:spPr>
            <a:solidFill>
              <a:schemeClr val="accent2">
                <a:lumMod val="60000"/>
              </a:schemeClr>
            </a:solidFill>
            <a:ln>
              <a:noFill/>
            </a:ln>
            <a:effectLst/>
            <a:sp3d/>
          </c:spPr>
          <c:invertIfNegative val="0"/>
          <c:dPt>
            <c:idx val="0"/>
            <c:invertIfNegative val="0"/>
            <c:bubble3D val="0"/>
            <c:spPr>
              <a:gradFill flip="none" rotWithShape="1">
                <a:gsLst>
                  <a:gs pos="0">
                    <a:srgbClr val="FF0000"/>
                  </a:gs>
                  <a:gs pos="100000">
                    <a:srgbClr val="FFC000"/>
                  </a:gs>
                </a:gsLst>
                <a:lin ang="0" scaled="1"/>
                <a:tileRect/>
              </a:gradFill>
              <a:ln>
                <a:noFill/>
              </a:ln>
              <a:effectLst/>
              <a:sp3d/>
            </c:spPr>
            <c:extLst>
              <c:ext xmlns:c16="http://schemas.microsoft.com/office/drawing/2014/chart" uri="{C3380CC4-5D6E-409C-BE32-E72D297353CC}">
                <c16:uniqueId val="{00000006-BA67-4FD3-AEE5-4A2CA36DF7BC}"/>
              </c:ext>
            </c:extLst>
          </c:dPt>
          <c:dPt>
            <c:idx val="1"/>
            <c:invertIfNegative val="0"/>
            <c:bubble3D val="0"/>
            <c:spPr>
              <a:gradFill>
                <a:gsLst>
                  <a:gs pos="0">
                    <a:schemeClr val="accent1">
                      <a:lumMod val="75000"/>
                    </a:schemeClr>
                  </a:gs>
                  <a:gs pos="100000">
                    <a:schemeClr val="accent5">
                      <a:lumMod val="60000"/>
                      <a:lumOff val="40000"/>
                    </a:schemeClr>
                  </a:gs>
                </a:gsLst>
                <a:lin ang="0" scaled="1"/>
              </a:gradFill>
              <a:ln>
                <a:noFill/>
              </a:ln>
              <a:effectLst/>
              <a:sp3d/>
            </c:spPr>
            <c:extLst>
              <c:ext xmlns:c16="http://schemas.microsoft.com/office/drawing/2014/chart" uri="{C3380CC4-5D6E-409C-BE32-E72D297353CC}">
                <c16:uniqueId val="{00000008-BA67-4FD3-AEE5-4A2CA36DF7BC}"/>
              </c:ext>
            </c:extLst>
          </c:dPt>
          <c:dPt>
            <c:idx val="2"/>
            <c:invertIfNegative val="0"/>
            <c:bubble3D val="0"/>
            <c:spPr>
              <a:gradFill>
                <a:gsLst>
                  <a:gs pos="0">
                    <a:schemeClr val="accent3">
                      <a:lumMod val="75000"/>
                    </a:schemeClr>
                  </a:gs>
                  <a:gs pos="100000">
                    <a:schemeClr val="accent3">
                      <a:lumMod val="60000"/>
                      <a:lumOff val="40000"/>
                    </a:schemeClr>
                  </a:gs>
                </a:gsLst>
                <a:lin ang="0" scaled="1"/>
              </a:gradFill>
              <a:ln>
                <a:noFill/>
              </a:ln>
              <a:effectLst/>
              <a:sp3d/>
            </c:spPr>
            <c:extLst>
              <c:ext xmlns:c16="http://schemas.microsoft.com/office/drawing/2014/chart" uri="{C3380CC4-5D6E-409C-BE32-E72D297353CC}">
                <c16:uniqueId val="{0000000A-BA67-4FD3-AEE5-4A2CA36DF7BC}"/>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תמק'!$O$2:$O$5</c15:sqref>
                  </c15:fullRef>
                </c:ext>
              </c:extLst>
              <c:f>'חישוב תמק'!$O$3:$O$5</c:f>
              <c:numCache>
                <c:formatCode>0%</c:formatCode>
                <c:ptCount val="3"/>
                <c:pt idx="0">
                  <c:v>0.482051282051282</c:v>
                </c:pt>
                <c:pt idx="1">
                  <c:v>0.69792903590613509</c:v>
                </c:pt>
                <c:pt idx="2">
                  <c:v>0.36519193966002478</c:v>
                </c:pt>
              </c:numCache>
            </c:numRef>
          </c:val>
          <c:extLst>
            <c:ext xmlns:c15="http://schemas.microsoft.com/office/drawing/2012/chart" uri="{02D57815-91ED-43cb-92C2-25804820EDAC}">
              <c15:categoryFilterExceptions>
                <c15:categoryFilterException>
                  <c15:sqref>'חישוב תמק'!$O$2</c15:sqref>
                  <c15:spPr xmlns:c15="http://schemas.microsoft.com/office/drawing/2012/chart">
                    <a:gradFill flip="none" rotWithShape="1">
                      <a:gsLst>
                        <a:gs pos="0">
                          <a:schemeClr val="accent6">
                            <a:lumMod val="75000"/>
                          </a:schemeClr>
                        </a:gs>
                        <a:gs pos="100000">
                          <a:schemeClr val="accent6">
                            <a:lumMod val="60000"/>
                            <a:lumOff val="40000"/>
                          </a:schemeClr>
                        </a:gs>
                      </a:gsLst>
                      <a:lin ang="0" scaled="1"/>
                      <a:tileRect/>
                    </a:gradFill>
                    <a:ln>
                      <a:noFill/>
                    </a:ln>
                    <a:effectLst/>
                    <a:sp3d/>
                  </c15:spPr>
                </c15:categoryFilterException>
              </c15:categoryFilterExceptions>
            </c:ext>
            <c:ext xmlns:c16="http://schemas.microsoft.com/office/drawing/2014/chart" uri="{C3380CC4-5D6E-409C-BE32-E72D297353CC}">
              <c16:uniqueId val="{00000021-8605-4A03-9860-149EC4E772B1}"/>
            </c:ext>
          </c:extLst>
        </c:ser>
        <c:ser>
          <c:idx val="2"/>
          <c:order val="4"/>
          <c:tx>
            <c:strRef>
              <c:f>'חישוב תמק'!$N$1</c:f>
              <c:strCache>
                <c:ptCount val="1"/>
                <c:pt idx="0">
                  <c:v>blank</c:v>
                </c:pt>
              </c:strCache>
            </c:strRef>
          </c:tx>
          <c:spPr>
            <a:solidFill>
              <a:schemeClr val="accent3"/>
            </a:solidFill>
            <a:ln>
              <a:noFill/>
            </a:ln>
            <a:effectLst/>
            <a:sp3d/>
          </c:spPr>
          <c:invertIfNegative val="0"/>
          <c:dPt>
            <c:idx val="0"/>
            <c:invertIfNegative val="0"/>
            <c:bubble3D val="0"/>
            <c:spPr>
              <a:solidFill>
                <a:schemeClr val="accent2">
                  <a:alpha val="15000"/>
                </a:schemeClr>
              </a:solidFill>
              <a:ln>
                <a:noFill/>
              </a:ln>
              <a:effectLst/>
              <a:sp3d/>
            </c:spPr>
            <c:extLst>
              <c:ext xmlns:c16="http://schemas.microsoft.com/office/drawing/2014/chart" uri="{C3380CC4-5D6E-409C-BE32-E72D297353CC}">
                <c16:uniqueId val="{0000000C-BA67-4FD3-AEE5-4A2CA36DF7BC}"/>
              </c:ext>
            </c:extLst>
          </c:dPt>
          <c:dPt>
            <c:idx val="1"/>
            <c:invertIfNegative val="0"/>
            <c:bubble3D val="0"/>
            <c:spPr>
              <a:solidFill>
                <a:schemeClr val="accent1">
                  <a:lumMod val="75000"/>
                  <a:alpha val="15000"/>
                </a:schemeClr>
              </a:solidFill>
              <a:ln>
                <a:noFill/>
              </a:ln>
              <a:effectLst/>
              <a:sp3d/>
            </c:spPr>
            <c:extLst>
              <c:ext xmlns:c16="http://schemas.microsoft.com/office/drawing/2014/chart" uri="{C3380CC4-5D6E-409C-BE32-E72D297353CC}">
                <c16:uniqueId val="{0000000E-BA67-4FD3-AEE5-4A2CA36DF7BC}"/>
              </c:ext>
            </c:extLst>
          </c:dPt>
          <c:dPt>
            <c:idx val="2"/>
            <c:invertIfNegative val="0"/>
            <c:bubble3D val="0"/>
            <c:spPr>
              <a:solidFill>
                <a:schemeClr val="accent3">
                  <a:lumMod val="75000"/>
                  <a:alpha val="15000"/>
                </a:schemeClr>
              </a:solidFill>
              <a:ln>
                <a:noFill/>
              </a:ln>
              <a:effectLst/>
              <a:sp3d/>
            </c:spPr>
            <c:extLst>
              <c:ext xmlns:c16="http://schemas.microsoft.com/office/drawing/2014/chart" uri="{C3380CC4-5D6E-409C-BE32-E72D297353CC}">
                <c16:uniqueId val="{00000028-8605-4A03-9860-149EC4E772B1}"/>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תמק'!$N$2:$N$5</c15:sqref>
                  </c15:fullRef>
                </c:ext>
              </c:extLst>
              <c:f>'חישוב תמק'!$N$3:$N$5</c:f>
              <c:numCache>
                <c:formatCode>0%</c:formatCode>
                <c:ptCount val="3"/>
                <c:pt idx="0">
                  <c:v>0.517948717948718</c:v>
                </c:pt>
                <c:pt idx="1">
                  <c:v>0.30207096409386491</c:v>
                </c:pt>
                <c:pt idx="2">
                  <c:v>0.63480806033997528</c:v>
                </c:pt>
              </c:numCache>
            </c:numRef>
          </c:val>
          <c:extLst>
            <c:ext xmlns:c15="http://schemas.microsoft.com/office/drawing/2012/chart" uri="{02D57815-91ED-43cb-92C2-25804820EDAC}">
              <c15:categoryFilterExceptions>
                <c15:categoryFilterException>
                  <c15:sqref>'חישוב תמק'!$N$2</c15:sqref>
                  <c15:spPr xmlns:c15="http://schemas.microsoft.com/office/drawing/2012/chart">
                    <a:solidFill>
                      <a:schemeClr val="accent6">
                        <a:lumMod val="60000"/>
                        <a:lumOff val="40000"/>
                        <a:alpha val="15000"/>
                      </a:schemeClr>
                    </a:solidFill>
                    <a:ln>
                      <a:noFill/>
                    </a:ln>
                    <a:effectLst/>
                    <a:sp3d/>
                  </c15:spPr>
                </c15:categoryFilterException>
              </c15:categoryFilterExceptions>
            </c:ext>
            <c:ext xmlns:c16="http://schemas.microsoft.com/office/drawing/2014/chart" uri="{C3380CC4-5D6E-409C-BE32-E72D297353CC}">
              <c16:uniqueId val="{00000020-8605-4A03-9860-149EC4E772B1}"/>
            </c:ext>
          </c:extLst>
        </c:ser>
        <c:ser>
          <c:idx val="3"/>
          <c:order val="5"/>
          <c:tx>
            <c:strRef>
              <c:f>'חישוב תמק'!$H$1</c:f>
              <c:strCache>
                <c:ptCount val="1"/>
                <c:pt idx="0">
                  <c:v>M4</c:v>
                </c:pt>
              </c:strCache>
            </c:strRef>
          </c:tx>
          <c:spPr>
            <a:solidFill>
              <a:schemeClr val="bg1"/>
            </a:solidFill>
            <a:ln>
              <a:noFill/>
            </a:ln>
            <a:effectLst/>
            <a:sp3d/>
          </c:spPr>
          <c:invertIfNegative val="0"/>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תמק'!$H$2:$H$5</c15:sqref>
                  </c15:fullRef>
                </c:ext>
              </c:extLst>
              <c:f>'חישוב תמק'!$H$3:$H$5</c:f>
              <c:numCache>
                <c:formatCode>0%</c:formatCode>
                <c:ptCount val="3"/>
                <c:pt idx="0">
                  <c:v>0.02</c:v>
                </c:pt>
                <c:pt idx="1">
                  <c:v>0.02</c:v>
                </c:pt>
                <c:pt idx="2">
                  <c:v>0.02</c:v>
                </c:pt>
              </c:numCache>
            </c:numRef>
          </c:val>
          <c:extLst>
            <c:ext xmlns:c16="http://schemas.microsoft.com/office/drawing/2014/chart" uri="{C3380CC4-5D6E-409C-BE32-E72D297353CC}">
              <c16:uniqueId val="{00000006-8605-4A03-9860-149EC4E772B1}"/>
            </c:ext>
          </c:extLst>
        </c:ser>
        <c:ser>
          <c:idx val="1"/>
          <c:order val="6"/>
          <c:tx>
            <c:strRef>
              <c:f>'חישוב תמק'!$I$1</c:f>
              <c:strCache>
                <c:ptCount val="1"/>
                <c:pt idx="0">
                  <c:v>M3</c:v>
                </c:pt>
              </c:strCache>
            </c:strRef>
          </c:tx>
          <c:spPr>
            <a:gradFill>
              <a:gsLst>
                <a:gs pos="0">
                  <a:schemeClr val="accent6">
                    <a:lumMod val="75000"/>
                  </a:schemeClr>
                </a:gs>
                <a:gs pos="100000">
                  <a:schemeClr val="accent6">
                    <a:lumMod val="60000"/>
                    <a:lumOff val="40000"/>
                  </a:schemeClr>
                </a:gs>
              </a:gsLst>
              <a:lin ang="0" scaled="1"/>
            </a:gradFill>
            <a:ln>
              <a:noFill/>
            </a:ln>
            <a:effectLst/>
            <a:sp3d/>
          </c:spPr>
          <c:invertIfNegative val="0"/>
          <c:dPt>
            <c:idx val="0"/>
            <c:invertIfNegative val="0"/>
            <c:bubble3D val="0"/>
            <c:spPr>
              <a:gradFill>
                <a:gsLst>
                  <a:gs pos="0">
                    <a:srgbClr val="FF0000"/>
                  </a:gs>
                  <a:gs pos="100000">
                    <a:schemeClr val="accent4"/>
                  </a:gs>
                </a:gsLst>
                <a:lin ang="0" scaled="1"/>
              </a:gradFill>
              <a:ln>
                <a:noFill/>
              </a:ln>
              <a:effectLst/>
              <a:sp3d/>
            </c:spPr>
            <c:extLst>
              <c:ext xmlns:c16="http://schemas.microsoft.com/office/drawing/2014/chart" uri="{C3380CC4-5D6E-409C-BE32-E72D297353CC}">
                <c16:uniqueId val="{00000027-8605-4A03-9860-149EC4E772B1}"/>
              </c:ext>
            </c:extLst>
          </c:dPt>
          <c:dPt>
            <c:idx val="1"/>
            <c:invertIfNegative val="0"/>
            <c:bubble3D val="0"/>
            <c:spPr>
              <a:gradFill>
                <a:gsLst>
                  <a:gs pos="0">
                    <a:schemeClr val="accent1">
                      <a:lumMod val="75000"/>
                    </a:schemeClr>
                  </a:gs>
                  <a:gs pos="100000">
                    <a:schemeClr val="accent5">
                      <a:lumMod val="60000"/>
                      <a:lumOff val="40000"/>
                    </a:schemeClr>
                  </a:gs>
                </a:gsLst>
                <a:lin ang="0" scaled="1"/>
              </a:gradFill>
              <a:ln>
                <a:noFill/>
              </a:ln>
              <a:effectLst/>
              <a:sp3d/>
            </c:spPr>
            <c:extLst>
              <c:ext xmlns:c16="http://schemas.microsoft.com/office/drawing/2014/chart" uri="{C3380CC4-5D6E-409C-BE32-E72D297353CC}">
                <c16:uniqueId val="{00000015-8605-4A03-9860-149EC4E772B1}"/>
              </c:ext>
            </c:extLst>
          </c:dPt>
          <c:dPt>
            <c:idx val="2"/>
            <c:invertIfNegative val="0"/>
            <c:bubble3D val="0"/>
            <c:spPr>
              <a:gradFill>
                <a:gsLst>
                  <a:gs pos="0">
                    <a:schemeClr val="accent3">
                      <a:lumMod val="75000"/>
                    </a:schemeClr>
                  </a:gs>
                  <a:gs pos="100000">
                    <a:schemeClr val="accent3">
                      <a:lumMod val="60000"/>
                      <a:lumOff val="40000"/>
                    </a:schemeClr>
                  </a:gs>
                </a:gsLst>
                <a:lin ang="0" scaled="1"/>
              </a:gradFill>
              <a:ln>
                <a:noFill/>
              </a:ln>
              <a:effectLst/>
              <a:sp3d/>
            </c:spPr>
            <c:extLst>
              <c:ext xmlns:c16="http://schemas.microsoft.com/office/drawing/2014/chart" uri="{C3380CC4-5D6E-409C-BE32-E72D297353CC}">
                <c16:uniqueId val="{00000029-8605-4A03-9860-149EC4E772B1}"/>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תמק'!$I$2:$I$5</c15:sqref>
                  </c15:fullRef>
                </c:ext>
              </c:extLst>
              <c:f>'חישוב תמק'!$I$3:$I$5</c:f>
              <c:numCache>
                <c:formatCode>0%</c:formatCode>
                <c:ptCount val="3"/>
                <c:pt idx="0">
                  <c:v>0.05</c:v>
                </c:pt>
                <c:pt idx="1">
                  <c:v>0.05</c:v>
                </c:pt>
                <c:pt idx="2">
                  <c:v>0.05</c:v>
                </c:pt>
              </c:numCache>
            </c:numRef>
          </c:val>
          <c:extLst>
            <c:ext xmlns:c16="http://schemas.microsoft.com/office/drawing/2014/chart" uri="{C3380CC4-5D6E-409C-BE32-E72D297353CC}">
              <c16:uniqueId val="{00000001-8605-4A03-9860-149EC4E772B1}"/>
            </c:ext>
          </c:extLst>
        </c:ser>
        <c:ser>
          <c:idx val="4"/>
          <c:order val="7"/>
          <c:tx>
            <c:strRef>
              <c:f>'חישוב תמק'!$L$1</c:f>
              <c:strCache>
                <c:ptCount val="1"/>
                <c:pt idx="0">
                  <c:v>upper</c:v>
                </c:pt>
              </c:strCache>
            </c:strRef>
          </c:tx>
          <c:spPr>
            <a:solidFill>
              <a:schemeClr val="bg1"/>
            </a:solidFill>
            <a:ln>
              <a:noFill/>
            </a:ln>
            <a:effectLst/>
            <a:sp3d/>
          </c:spPr>
          <c:invertIfNegative val="0"/>
          <c:dLbls>
            <c:dLbl>
              <c:idx val="0"/>
              <c:layout>
                <c:manualLayout>
                  <c:x val="0"/>
                  <c:y val="-4.5819014891180258E-3"/>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E36C0A"/>
                        </a:solidFill>
                        <a:latin typeface="Assistant" pitchFamily="2" charset="-79"/>
                        <a:ea typeface="+mn-ea"/>
                        <a:cs typeface="Assistant" pitchFamily="2" charset="-79"/>
                      </a:defRPr>
                    </a:pPr>
                    <a:fld id="{FD52060D-A6F3-493A-B3F9-05D51563DA99}" type="CELLRANGE">
                      <a:rPr lang="he-IL"/>
                      <a:pPr>
                        <a:defRPr b="1">
                          <a:solidFill>
                            <a:srgbClr val="E36C0A"/>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36C0A"/>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8605-4A03-9860-149EC4E772B1}"/>
                </c:ext>
              </c:extLst>
            </c:dLbl>
            <c:dLbl>
              <c:idx val="1"/>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Assistant" pitchFamily="2" charset="-79"/>
                        <a:ea typeface="+mn-ea"/>
                        <a:cs typeface="Assistant" pitchFamily="2" charset="-79"/>
                      </a:defRPr>
                    </a:pPr>
                    <a:fld id="{61CC50D9-D247-4F3C-8B82-1B16A9AD7E72}" type="CELLRANGE">
                      <a:rPr lang="he-IL"/>
                      <a:pPr>
                        <a:defRPr b="1">
                          <a:solidFill>
                            <a:schemeClr val="accent1"/>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8605-4A03-9860-149EC4E772B1}"/>
                </c:ext>
              </c:extLst>
            </c:dLbl>
            <c:dLbl>
              <c:idx val="2"/>
              <c:tx>
                <c:rich>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Assistant" pitchFamily="2" charset="-79"/>
                        <a:ea typeface="+mn-ea"/>
                        <a:cs typeface="Assistant" pitchFamily="2" charset="-79"/>
                      </a:defRPr>
                    </a:pPr>
                    <a:fld id="{603798EC-3BFD-4BA8-A06C-C2FBCA4FF809}" type="CELLRANGE">
                      <a:rPr lang="he-IL"/>
                      <a:pPr>
                        <a:defRPr b="1">
                          <a:solidFill>
                            <a:schemeClr val="bg1">
                              <a:lumMod val="50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8605-4A03-9860-149EC4E772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תמק'!$L$2:$L$5</c15:sqref>
                  </c15:fullRef>
                </c:ext>
              </c:extLst>
              <c:f>'חישוב תמק'!$L$3:$L$5</c:f>
              <c:numCache>
                <c:formatCode>0%</c:formatCode>
                <c:ptCount val="3"/>
                <c:pt idx="0">
                  <c:v>0.15</c:v>
                </c:pt>
                <c:pt idx="1">
                  <c:v>0.15</c:v>
                </c:pt>
                <c:pt idx="2">
                  <c:v>0.15</c:v>
                </c:pt>
              </c:numCache>
            </c:numRef>
          </c:val>
          <c:extLst>
            <c:ext xmlns:c15="http://schemas.microsoft.com/office/drawing/2012/chart" uri="{02D57815-91ED-43cb-92C2-25804820EDAC}">
              <c15:datalabelsRange>
                <c15:f>'חישוב תמק'!$P$2:$P$5</c15:f>
                <c15:dlblRangeCache>
                  <c:ptCount val="4"/>
                  <c:pt idx="0">
                    <c:v>סף רגישות כולל</c:v>
                  </c:pt>
                  <c:pt idx="1">
                    <c:v>כשירות ארגונית</c:v>
                  </c:pt>
                  <c:pt idx="2">
                    <c:v>פרופיל מערכת</c:v>
                  </c:pt>
                  <c:pt idx="3">
                    <c:v>שרשרת אספקה</c:v>
                  </c:pt>
                </c15:dlblRangeCache>
              </c15:datalabelsRange>
            </c:ext>
            <c:ext xmlns:c15="http://schemas.microsoft.com/office/drawing/2012/chart" uri="{02D57815-91ED-43cb-92C2-25804820EDAC}">
              <c15:categoryFilterExceptions>
                <c15:categoryFilterException>
                  <c15:sqref>'חישוב תמק'!$L$2</c15:sqref>
                  <c15:dLbl>
                    <c:idx val="-1"/>
                    <c:delete val="1"/>
                    <c:extLst>
                      <c:ext uri="{CE6537A1-D6FC-4f65-9D91-7224C49458BB}"/>
                      <c:ext xmlns:c16="http://schemas.microsoft.com/office/drawing/2014/chart" uri="{C3380CC4-5D6E-409C-BE32-E72D297353CC}">
                        <c16:uniqueId val="{00000019-1245-4C22-BEE6-16F8B6F024D7}"/>
                      </c:ext>
                    </c:extLst>
                  </c15:dLbl>
                </c15:categoryFilterException>
              </c15:categoryFilterExceptions>
            </c:ext>
            <c:ext xmlns:c16="http://schemas.microsoft.com/office/drawing/2014/chart" uri="{C3380CC4-5D6E-409C-BE32-E72D297353CC}">
              <c16:uniqueId val="{00000007-8605-4A03-9860-149EC4E772B1}"/>
            </c:ext>
          </c:extLst>
        </c:ser>
        <c:dLbls>
          <c:showLegendKey val="0"/>
          <c:showVal val="0"/>
          <c:showCatName val="0"/>
          <c:showSerName val="0"/>
          <c:showPercent val="0"/>
          <c:showBubbleSize val="0"/>
        </c:dLbls>
        <c:gapWidth val="45"/>
        <c:gapDepth val="0"/>
        <c:shape val="cylinder"/>
        <c:axId val="1181071376"/>
        <c:axId val="1371848336"/>
        <c:axId val="0"/>
      </c:bar3DChart>
      <c:catAx>
        <c:axId val="1181071376"/>
        <c:scaling>
          <c:orientation val="minMax"/>
        </c:scaling>
        <c:delete val="1"/>
        <c:axPos val="b"/>
        <c:numFmt formatCode="General" sourceLinked="1"/>
        <c:majorTickMark val="none"/>
        <c:minorTickMark val="none"/>
        <c:tickLblPos val="nextTo"/>
        <c:crossAx val="1371848336"/>
        <c:crosses val="autoZero"/>
        <c:auto val="1"/>
        <c:lblAlgn val="ctr"/>
        <c:lblOffset val="100"/>
        <c:noMultiLvlLbl val="0"/>
      </c:catAx>
      <c:valAx>
        <c:axId val="1371848336"/>
        <c:scaling>
          <c:orientation val="minMax"/>
        </c:scaling>
        <c:delete val="1"/>
        <c:axPos val="l"/>
        <c:numFmt formatCode="0%" sourceLinked="1"/>
        <c:majorTickMark val="none"/>
        <c:minorTickMark val="none"/>
        <c:tickLblPos val="nextTo"/>
        <c:crossAx val="118107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6"/>
          <c:order val="0"/>
          <c:tx>
            <c:strRef>
              <c:f>'חישוב תמק'!$M$1</c:f>
              <c:strCache>
                <c:ptCount val="1"/>
                <c:pt idx="0">
                  <c:v>lower</c:v>
                </c:pt>
              </c:strCache>
            </c:strRef>
          </c:tx>
          <c:spPr>
            <a:solidFill>
              <a:schemeClr val="bg1"/>
            </a:solidFill>
            <a:ln>
              <a:noFill/>
            </a:ln>
            <a:effectLst/>
            <a:sp3d/>
          </c:spPr>
          <c:invertIfNegative val="0"/>
          <c:dLbls>
            <c:dLbl>
              <c:idx val="0"/>
              <c:tx>
                <c:rich>
                  <a:bodyPr rot="0" spcFirstLastPara="1" vertOverflow="ellipsis" vert="horz" wrap="square" lIns="38100" tIns="19050" rIns="38100" bIns="19050" anchor="ctr" anchorCtr="1">
                    <a:spAutoFit/>
                  </a:bodyPr>
                  <a:lstStyle/>
                  <a:p>
                    <a:pPr>
                      <a:defRPr sz="1800" b="1" i="0" u="none" strike="noStrike" kern="1200" baseline="0">
                        <a:solidFill>
                          <a:schemeClr val="accent6">
                            <a:lumMod val="75000"/>
                          </a:schemeClr>
                        </a:solidFill>
                        <a:latin typeface="Assistant" pitchFamily="2" charset="-79"/>
                        <a:ea typeface="+mn-ea"/>
                        <a:cs typeface="Assistant" pitchFamily="2" charset="-79"/>
                      </a:defRPr>
                    </a:pPr>
                    <a:fld id="{D6A37903-7429-4529-B50B-8BDCE3A8D3E3}" type="CELLRANGE">
                      <a:rPr lang="he-IL"/>
                      <a:pPr>
                        <a:defRPr sz="1800" b="1">
                          <a:solidFill>
                            <a:schemeClr val="accent6">
                              <a:lumMod val="75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6">
                          <a:lumMod val="7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227-40A9-A86F-636D3FE6863E}"/>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תמק'!$M$2:$M$5</c15:sqref>
                  </c15:fullRef>
                </c:ext>
              </c:extLst>
              <c:f>'חישוב תמק'!$M$2</c:f>
              <c:numCache>
                <c:formatCode>0%</c:formatCode>
                <c:ptCount val="1"/>
                <c:pt idx="0">
                  <c:v>0.2</c:v>
                </c:pt>
              </c:numCache>
            </c:numRef>
          </c:val>
          <c:extLst>
            <c:ext xmlns:c15="http://schemas.microsoft.com/office/drawing/2012/chart" uri="{02D57815-91ED-43cb-92C2-25804820EDAC}">
              <c15:datalabelsRange>
                <c15:f>'חישוב תמק'!$O$2:$O$5</c15:f>
                <c15:dlblRangeCache>
                  <c:ptCount val="4"/>
                  <c:pt idx="0">
                    <c:v>75%</c:v>
                  </c:pt>
                  <c:pt idx="1">
                    <c:v>48%</c:v>
                  </c:pt>
                  <c:pt idx="2">
                    <c:v>70%</c:v>
                  </c:pt>
                  <c:pt idx="3">
                    <c:v>37%</c:v>
                  </c:pt>
                </c15:dlblRangeCache>
              </c15:datalabelsRange>
            </c:ext>
            <c:ext xmlns:c15="http://schemas.microsoft.com/office/drawing/2012/chart" uri="{02D57815-91ED-43cb-92C2-25804820EDAC}">
              <c15:categoryFilterExceptions>
                <c15:categoryFilterException>
                  <c15:sqref>'חישוב תמק'!$M$3</c15:sqref>
                  <c15:dLbl>
                    <c:idx val="0"/>
                    <c:delete val="1"/>
                    <c:extLst>
                      <c:ext uri="{CE6537A1-D6FC-4f65-9D91-7224C49458BB}"/>
                      <c:ext xmlns:c16="http://schemas.microsoft.com/office/drawing/2014/chart" uri="{C3380CC4-5D6E-409C-BE32-E72D297353CC}">
                        <c16:uniqueId val="{00000006-7C69-43FC-848D-F7BBE2B4C09F}"/>
                      </c:ext>
                    </c:extLst>
                  </c15:dLbl>
                </c15:categoryFilterException>
                <c15:categoryFilterException>
                  <c15:sqref>'חישוב תמק'!$M$4</c15:sqref>
                  <c15:dLbl>
                    <c:idx val="0"/>
                    <c:delete val="1"/>
                    <c:extLst>
                      <c:ext uri="{CE6537A1-D6FC-4f65-9D91-7224C49458BB}"/>
                      <c:ext xmlns:c16="http://schemas.microsoft.com/office/drawing/2014/chart" uri="{C3380CC4-5D6E-409C-BE32-E72D297353CC}">
                        <c16:uniqueId val="{00000007-7C69-43FC-848D-F7BBE2B4C09F}"/>
                      </c:ext>
                    </c:extLst>
                  </c15:dLbl>
                </c15:categoryFilterException>
                <c15:categoryFilterException>
                  <c15:sqref>'חישוב תמק'!$M$5</c15:sqref>
                  <c15:dLbl>
                    <c:idx val="0"/>
                    <c:layout>
                      <c:manualLayout>
                        <c:x val="8.3333333333333332E-3"/>
                        <c:y val="0"/>
                      </c:manualLayout>
                    </c:layout>
                    <c:tx>
                      <c:rich>
                        <a:bodyPr rot="0" spcFirstLastPara="1" vertOverflow="ellipsis" vert="horz" wrap="square" lIns="38100" tIns="19050" rIns="38100" bIns="19050" anchor="ctr" anchorCtr="1">
                          <a:spAutoFit/>
                        </a:bodyPr>
                        <a:lstStyle/>
                        <a:p>
                          <a:pPr>
                            <a:defRPr sz="1800" b="1" i="0" u="none" strike="noStrike" kern="1200" baseline="0">
                              <a:solidFill>
                                <a:schemeClr val="bg1">
                                  <a:lumMod val="50000"/>
                                </a:schemeClr>
                              </a:solidFill>
                              <a:latin typeface="Assistant" pitchFamily="2" charset="-79"/>
                              <a:ea typeface="+mn-ea"/>
                              <a:cs typeface="Assistant" pitchFamily="2" charset="-79"/>
                            </a:defRPr>
                          </a:pPr>
                          <a:fld id="{9C33389C-E5A9-4E02-AD08-05B72B6A901E}" type="CELLRANGE">
                            <a:rPr lang="en-US">
                              <a:solidFill>
                                <a:schemeClr val="bg1">
                                  <a:lumMod val="50000"/>
                                </a:schemeClr>
                              </a:solidFill>
                            </a:rPr>
                            <a:pPr>
                              <a:defRPr sz="1800" b="1">
                                <a:solidFill>
                                  <a:schemeClr val="bg1">
                                    <a:lumMod val="50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50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uri="{CE6537A1-D6FC-4f65-9D91-7224C49458BB}">
                        <c15:dlblFieldTable/>
                        <c15:showDataLabelsRange val="1"/>
                      </c:ext>
                      <c:ext xmlns:c16="http://schemas.microsoft.com/office/drawing/2014/chart" uri="{C3380CC4-5D6E-409C-BE32-E72D297353CC}">
                        <c16:uniqueId val="{00000008-7C69-43FC-848D-F7BBE2B4C09F}"/>
                      </c:ext>
                    </c:extLst>
                  </c15:dLbl>
                </c15:categoryFilterException>
              </c15:categoryFilterExceptions>
            </c:ext>
            <c:ext xmlns:c16="http://schemas.microsoft.com/office/drawing/2014/chart" uri="{C3380CC4-5D6E-409C-BE32-E72D297353CC}">
              <c16:uniqueId val="{00000004-D227-40A9-A86F-636D3FE6863E}"/>
            </c:ext>
          </c:extLst>
        </c:ser>
        <c:ser>
          <c:idx val="5"/>
          <c:order val="1"/>
          <c:tx>
            <c:strRef>
              <c:f>'חישוב תמק'!$K$1</c:f>
              <c:strCache>
                <c:ptCount val="1"/>
                <c:pt idx="0">
                  <c:v>M1</c:v>
                </c:pt>
              </c:strCache>
            </c:strRef>
          </c:tx>
          <c:spPr>
            <a:gradFill>
              <a:gsLst>
                <a:gs pos="0">
                  <a:schemeClr val="accent3">
                    <a:lumMod val="75000"/>
                  </a:schemeClr>
                </a:gs>
                <a:gs pos="100000">
                  <a:schemeClr val="accent3">
                    <a:lumMod val="40000"/>
                    <a:lumOff val="60000"/>
                  </a:schemeClr>
                </a:gs>
              </a:gsLst>
              <a:lin ang="0" scaled="1"/>
            </a:gradFill>
            <a:ln>
              <a:noFill/>
            </a:ln>
            <a:effectLst/>
            <a:sp3d/>
          </c:spPr>
          <c:invertIfNegative val="0"/>
          <c:dPt>
            <c:idx val="0"/>
            <c:invertIfNegative val="0"/>
            <c:bubble3D val="0"/>
            <c:spPr>
              <a:gradFill>
                <a:gsLst>
                  <a:gs pos="0">
                    <a:schemeClr val="accent6">
                      <a:lumMod val="75000"/>
                    </a:schemeClr>
                  </a:gs>
                  <a:gs pos="100000">
                    <a:schemeClr val="accent6">
                      <a:lumMod val="40000"/>
                      <a:lumOff val="60000"/>
                    </a:schemeClr>
                  </a:gs>
                </a:gsLst>
                <a:lin ang="0" scaled="1"/>
              </a:gradFill>
              <a:ln>
                <a:noFill/>
              </a:ln>
              <a:effectLst/>
              <a:sp3d/>
            </c:spPr>
            <c:extLst>
              <c:ext xmlns:c16="http://schemas.microsoft.com/office/drawing/2014/chart" uri="{C3380CC4-5D6E-409C-BE32-E72D297353CC}">
                <c16:uniqueId val="{00000026-D227-40A9-A86F-636D3FE6863E}"/>
              </c:ext>
            </c:extLst>
          </c:dPt>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תמק'!$K$2:$K$5</c15:sqref>
                  </c15:fullRef>
                </c:ext>
              </c:extLst>
              <c:f>'חישוב תמק'!$K$2</c:f>
              <c:numCache>
                <c:formatCode>0%</c:formatCode>
                <c:ptCount val="1"/>
                <c:pt idx="0">
                  <c:v>0.05</c:v>
                </c:pt>
              </c:numCache>
            </c:numRef>
          </c:val>
          <c:extLst>
            <c:ext xmlns:c16="http://schemas.microsoft.com/office/drawing/2014/chart" uri="{C3380CC4-5D6E-409C-BE32-E72D297353CC}">
              <c16:uniqueId val="{00000005-D227-40A9-A86F-636D3FE6863E}"/>
            </c:ext>
          </c:extLst>
        </c:ser>
        <c:ser>
          <c:idx val="0"/>
          <c:order val="2"/>
          <c:tx>
            <c:strRef>
              <c:f>'חישוב תמק'!$J$1</c:f>
              <c:strCache>
                <c:ptCount val="1"/>
                <c:pt idx="0">
                  <c:v>M2</c:v>
                </c:pt>
              </c:strCache>
            </c:strRef>
          </c:tx>
          <c:spPr>
            <a:solidFill>
              <a:schemeClr val="bg1"/>
            </a:solidFill>
            <a:ln>
              <a:noFill/>
            </a:ln>
            <a:effectLst/>
            <a:sp3d/>
          </c:spPr>
          <c:invertIfNegative val="0"/>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תמק'!$J$2:$J$5</c15:sqref>
                  </c15:fullRef>
                </c:ext>
              </c:extLst>
              <c:f>'חישוב תמק'!$J$2</c:f>
              <c:numCache>
                <c:formatCode>0%</c:formatCode>
                <c:ptCount val="1"/>
                <c:pt idx="0">
                  <c:v>0.02</c:v>
                </c:pt>
              </c:numCache>
            </c:numRef>
          </c:val>
          <c:extLst>
            <c:ext xmlns:c16="http://schemas.microsoft.com/office/drawing/2014/chart" uri="{C3380CC4-5D6E-409C-BE32-E72D297353CC}">
              <c16:uniqueId val="{00000006-D227-40A9-A86F-636D3FE6863E}"/>
            </c:ext>
          </c:extLst>
        </c:ser>
        <c:ser>
          <c:idx val="7"/>
          <c:order val="3"/>
          <c:tx>
            <c:strRef>
              <c:f>'חישוב תמק'!$O$1</c:f>
              <c:strCache>
                <c:ptCount val="1"/>
                <c:pt idx="0">
                  <c:v>סיכון</c:v>
                </c:pt>
              </c:strCache>
            </c:strRef>
          </c:tx>
          <c:spPr>
            <a:solidFill>
              <a:schemeClr val="accent2">
                <a:lumMod val="60000"/>
              </a:schemeClr>
            </a:solidFill>
            <a:ln>
              <a:noFill/>
            </a:ln>
            <a:effectLst/>
            <a:sp3d/>
          </c:spPr>
          <c:invertIfNegative val="0"/>
          <c:dPt>
            <c:idx val="0"/>
            <c:invertIfNegative val="0"/>
            <c:bubble3D val="0"/>
            <c:spPr>
              <a:gradFill flip="none" rotWithShape="1">
                <a:gsLst>
                  <a:gs pos="0">
                    <a:schemeClr val="accent6">
                      <a:lumMod val="75000"/>
                    </a:schemeClr>
                  </a:gs>
                  <a:gs pos="100000">
                    <a:schemeClr val="accent6">
                      <a:lumMod val="60000"/>
                      <a:lumOff val="40000"/>
                    </a:schemeClr>
                  </a:gs>
                </a:gsLst>
                <a:lin ang="0" scaled="1"/>
                <a:tileRect/>
              </a:gradFill>
              <a:ln>
                <a:noFill/>
              </a:ln>
              <a:effectLst/>
              <a:sp3d/>
            </c:spPr>
            <c:extLst>
              <c:ext xmlns:c16="http://schemas.microsoft.com/office/drawing/2014/chart" uri="{C3380CC4-5D6E-409C-BE32-E72D297353CC}">
                <c16:uniqueId val="{00000008-D227-40A9-A86F-636D3FE6863E}"/>
              </c:ext>
            </c:extLst>
          </c:dPt>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תמק'!$O$2:$O$5</c15:sqref>
                  </c15:fullRef>
                </c:ext>
              </c:extLst>
              <c:f>'חישוב תמק'!$O$2</c:f>
              <c:numCache>
                <c:formatCode>0%</c:formatCode>
                <c:ptCount val="1"/>
                <c:pt idx="0">
                  <c:v>0.75</c:v>
                </c:pt>
              </c:numCache>
            </c:numRef>
          </c:val>
          <c:extLst>
            <c:ext xmlns:c15="http://schemas.microsoft.com/office/drawing/2012/chart" uri="{02D57815-91ED-43cb-92C2-25804820EDAC}">
              <c15:categoryFilterExceptions>
                <c15:categoryFilterException>
                  <c15:sqref>'חישוב תמק'!$O$3</c15:sqref>
                  <c15:spPr xmlns:c15="http://schemas.microsoft.com/office/drawing/2012/chart">
                    <a:gradFill flip="none" rotWithShape="1">
                      <a:gsLst>
                        <a:gs pos="0">
                          <a:srgbClr val="FF0000"/>
                        </a:gs>
                        <a:gs pos="100000">
                          <a:srgbClr val="FFC000"/>
                        </a:gs>
                      </a:gsLst>
                      <a:lin ang="0" scaled="1"/>
                      <a:tileRect/>
                    </a:gradFill>
                    <a:ln>
                      <a:noFill/>
                    </a:ln>
                    <a:effectLst/>
                    <a:sp3d/>
                  </c15:spPr>
                  <c15:invertIfNegative val="0"/>
                  <c15:bubble3D val="0"/>
                </c15:categoryFilterException>
                <c15:categoryFilterException>
                  <c15:sqref>'חישוב תמק'!$O$4</c15:sqref>
                  <c15:spPr xmlns:c15="http://schemas.microsoft.com/office/drawing/2012/chart">
                    <a:gradFill>
                      <a:gsLst>
                        <a:gs pos="0">
                          <a:schemeClr val="accent1">
                            <a:lumMod val="75000"/>
                          </a:schemeClr>
                        </a:gs>
                        <a:gs pos="100000">
                          <a:schemeClr val="accent5">
                            <a:lumMod val="60000"/>
                            <a:lumOff val="40000"/>
                          </a:schemeClr>
                        </a:gs>
                      </a:gsLst>
                      <a:lin ang="0" scaled="1"/>
                    </a:gradFill>
                    <a:ln>
                      <a:noFill/>
                    </a:ln>
                    <a:effectLst/>
                    <a:sp3d/>
                  </c15:spPr>
                  <c15:invertIfNegative val="0"/>
                  <c15:bubble3D val="0"/>
                </c15:categoryFilterException>
                <c15:categoryFilterException>
                  <c15:sqref>'חישוב תמק'!$O$5</c15:sqref>
                  <c15:spPr xmlns:c15="http://schemas.microsoft.com/office/drawing/2012/chart">
                    <a:gradFill>
                      <a:gsLst>
                        <a:gs pos="0">
                          <a:schemeClr val="accent3">
                            <a:lumMod val="75000"/>
                          </a:schemeClr>
                        </a:gs>
                        <a:gs pos="100000">
                          <a:schemeClr val="accent3">
                            <a:lumMod val="60000"/>
                            <a:lumOff val="40000"/>
                          </a:schemeClr>
                        </a:gs>
                      </a:gsLst>
                      <a:lin ang="0" scaled="1"/>
                    </a:gradFill>
                    <a:ln>
                      <a:noFill/>
                    </a:ln>
                    <a:effectLst/>
                    <a:sp3d/>
                  </c15:spPr>
                  <c15:invertIfNegative val="0"/>
                  <c15:bubble3D val="0"/>
                </c15:categoryFilterException>
              </c15:categoryFilterExceptions>
            </c:ext>
            <c:ext xmlns:c16="http://schemas.microsoft.com/office/drawing/2014/chart" uri="{C3380CC4-5D6E-409C-BE32-E72D297353CC}">
              <c16:uniqueId val="{0000000F-D227-40A9-A86F-636D3FE6863E}"/>
            </c:ext>
          </c:extLst>
        </c:ser>
        <c:ser>
          <c:idx val="2"/>
          <c:order val="4"/>
          <c:tx>
            <c:strRef>
              <c:f>'חישוב תמק'!$N$1</c:f>
              <c:strCache>
                <c:ptCount val="1"/>
                <c:pt idx="0">
                  <c:v>blank</c:v>
                </c:pt>
              </c:strCache>
            </c:strRef>
          </c:tx>
          <c:spPr>
            <a:solidFill>
              <a:schemeClr val="accent3"/>
            </a:solidFill>
            <a:ln>
              <a:noFill/>
            </a:ln>
            <a:effectLst/>
            <a:sp3d/>
          </c:spPr>
          <c:invertIfNegative val="0"/>
          <c:dPt>
            <c:idx val="0"/>
            <c:invertIfNegative val="0"/>
            <c:bubble3D val="0"/>
            <c:spPr>
              <a:solidFill>
                <a:schemeClr val="accent6">
                  <a:lumMod val="60000"/>
                  <a:lumOff val="40000"/>
                  <a:alpha val="15000"/>
                </a:schemeClr>
              </a:solidFill>
              <a:ln>
                <a:noFill/>
              </a:ln>
              <a:effectLst/>
              <a:sp3d/>
            </c:spPr>
            <c:extLst>
              <c:ext xmlns:c16="http://schemas.microsoft.com/office/drawing/2014/chart" uri="{C3380CC4-5D6E-409C-BE32-E72D297353CC}">
                <c16:uniqueId val="{00000011-D227-40A9-A86F-636D3FE6863E}"/>
              </c:ext>
            </c:extLst>
          </c:dPt>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תמק'!$N$2:$N$5</c15:sqref>
                  </c15:fullRef>
                </c:ext>
              </c:extLst>
              <c:f>'חישוב תמק'!$N$2</c:f>
              <c:numCache>
                <c:formatCode>0%</c:formatCode>
                <c:ptCount val="1"/>
                <c:pt idx="0">
                  <c:v>0.25</c:v>
                </c:pt>
              </c:numCache>
            </c:numRef>
          </c:val>
          <c:extLst>
            <c:ext xmlns:c15="http://schemas.microsoft.com/office/drawing/2012/chart" uri="{02D57815-91ED-43cb-92C2-25804820EDAC}">
              <c15:categoryFilterExceptions>
                <c15:categoryFilterException>
                  <c15:sqref>'חישוב תמק'!$N$3</c15:sqref>
                  <c15:spPr xmlns:c15="http://schemas.microsoft.com/office/drawing/2012/chart">
                    <a:solidFill>
                      <a:schemeClr val="accent2">
                        <a:alpha val="15000"/>
                      </a:schemeClr>
                    </a:solidFill>
                    <a:ln>
                      <a:noFill/>
                    </a:ln>
                    <a:effectLst/>
                    <a:sp3d/>
                  </c15:spPr>
                  <c15:invertIfNegative val="0"/>
                  <c15:bubble3D val="0"/>
                </c15:categoryFilterException>
                <c15:categoryFilterException>
                  <c15:sqref>'חישוב תמק'!$N$4</c15:sqref>
                  <c15:spPr xmlns:c15="http://schemas.microsoft.com/office/drawing/2012/chart">
                    <a:solidFill>
                      <a:schemeClr val="accent1">
                        <a:lumMod val="75000"/>
                        <a:alpha val="15000"/>
                      </a:schemeClr>
                    </a:solidFill>
                    <a:ln>
                      <a:noFill/>
                    </a:ln>
                    <a:effectLst/>
                    <a:sp3d/>
                  </c15:spPr>
                  <c15:invertIfNegative val="0"/>
                  <c15:bubble3D val="0"/>
                </c15:categoryFilterException>
                <c15:categoryFilterException>
                  <c15:sqref>'חישוב תמק'!$N$5</c15:sqref>
                  <c15:spPr xmlns:c15="http://schemas.microsoft.com/office/drawing/2012/chart">
                    <a:solidFill>
                      <a:schemeClr val="accent3">
                        <a:lumMod val="75000"/>
                        <a:alpha val="15000"/>
                      </a:schemeClr>
                    </a:solidFill>
                    <a:ln>
                      <a:noFill/>
                    </a:ln>
                    <a:effectLst/>
                    <a:sp3d/>
                  </c15:spPr>
                  <c15:invertIfNegative val="0"/>
                  <c15:bubble3D val="0"/>
                </c15:categoryFilterException>
              </c15:categoryFilterExceptions>
            </c:ext>
            <c:ext xmlns:c16="http://schemas.microsoft.com/office/drawing/2014/chart" uri="{C3380CC4-5D6E-409C-BE32-E72D297353CC}">
              <c16:uniqueId val="{00000018-D227-40A9-A86F-636D3FE6863E}"/>
            </c:ext>
          </c:extLst>
        </c:ser>
        <c:ser>
          <c:idx val="3"/>
          <c:order val="5"/>
          <c:tx>
            <c:strRef>
              <c:f>'חישוב תמק'!$H$1</c:f>
              <c:strCache>
                <c:ptCount val="1"/>
                <c:pt idx="0">
                  <c:v>M4</c:v>
                </c:pt>
              </c:strCache>
            </c:strRef>
          </c:tx>
          <c:spPr>
            <a:solidFill>
              <a:schemeClr val="bg1"/>
            </a:solidFill>
            <a:ln>
              <a:noFill/>
            </a:ln>
            <a:effectLst/>
            <a:sp3d/>
          </c:spPr>
          <c:invertIfNegative val="0"/>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תמק'!$H$2:$H$5</c15:sqref>
                  </c15:fullRef>
                </c:ext>
              </c:extLst>
              <c:f>'חישוב תמק'!$H$2</c:f>
              <c:numCache>
                <c:formatCode>0%</c:formatCode>
                <c:ptCount val="1"/>
                <c:pt idx="0">
                  <c:v>0.02</c:v>
                </c:pt>
              </c:numCache>
            </c:numRef>
          </c:val>
          <c:extLst>
            <c:ext xmlns:c16="http://schemas.microsoft.com/office/drawing/2014/chart" uri="{C3380CC4-5D6E-409C-BE32-E72D297353CC}">
              <c16:uniqueId val="{00000019-D227-40A9-A86F-636D3FE6863E}"/>
            </c:ext>
          </c:extLst>
        </c:ser>
        <c:ser>
          <c:idx val="1"/>
          <c:order val="6"/>
          <c:tx>
            <c:strRef>
              <c:f>'חישוב תמק'!$I$1</c:f>
              <c:strCache>
                <c:ptCount val="1"/>
                <c:pt idx="0">
                  <c:v>M3</c:v>
                </c:pt>
              </c:strCache>
            </c:strRef>
          </c:tx>
          <c:spPr>
            <a:gradFill>
              <a:gsLst>
                <a:gs pos="0">
                  <a:schemeClr val="accent6">
                    <a:lumMod val="75000"/>
                  </a:schemeClr>
                </a:gs>
                <a:gs pos="100000">
                  <a:schemeClr val="accent6">
                    <a:lumMod val="60000"/>
                    <a:lumOff val="40000"/>
                  </a:schemeClr>
                </a:gs>
              </a:gsLst>
              <a:lin ang="0" scaled="1"/>
            </a:gradFill>
            <a:ln>
              <a:noFill/>
            </a:ln>
            <a:effectLst/>
            <a:sp3d/>
          </c:spPr>
          <c:invertIfNegative val="0"/>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תמק'!$I$2:$I$5</c15:sqref>
                  </c15:fullRef>
                </c:ext>
              </c:extLst>
              <c:f>'חישוב תמק'!$I$2</c:f>
              <c:numCache>
                <c:formatCode>0%</c:formatCode>
                <c:ptCount val="1"/>
                <c:pt idx="0">
                  <c:v>0.05</c:v>
                </c:pt>
              </c:numCache>
            </c:numRef>
          </c:val>
          <c:extLst>
            <c:ext xmlns:c15="http://schemas.microsoft.com/office/drawing/2012/chart" uri="{02D57815-91ED-43cb-92C2-25804820EDAC}">
              <c15:categoryFilterExceptions>
                <c15:categoryFilterException>
                  <c15:sqref>'חישוב תמק'!$I$3</c15:sqref>
                  <c15:spPr xmlns:c15="http://schemas.microsoft.com/office/drawing/2012/chart">
                    <a:gradFill>
                      <a:gsLst>
                        <a:gs pos="0">
                          <a:srgbClr val="FF0000"/>
                        </a:gs>
                        <a:gs pos="100000">
                          <a:schemeClr val="accent4"/>
                        </a:gs>
                      </a:gsLst>
                      <a:lin ang="0" scaled="1"/>
                    </a:gradFill>
                    <a:ln>
                      <a:noFill/>
                    </a:ln>
                    <a:effectLst/>
                    <a:sp3d/>
                  </c15:spPr>
                  <c15:invertIfNegative val="0"/>
                  <c15:bubble3D val="0"/>
                </c15:categoryFilterException>
                <c15:categoryFilterException>
                  <c15:sqref>'חישוב תמק'!$I$4</c15:sqref>
                  <c15:spPr xmlns:c15="http://schemas.microsoft.com/office/drawing/2012/chart">
                    <a:gradFill>
                      <a:gsLst>
                        <a:gs pos="0">
                          <a:schemeClr val="accent1">
                            <a:lumMod val="75000"/>
                          </a:schemeClr>
                        </a:gs>
                        <a:gs pos="100000">
                          <a:schemeClr val="accent5">
                            <a:lumMod val="60000"/>
                            <a:lumOff val="40000"/>
                          </a:schemeClr>
                        </a:gs>
                      </a:gsLst>
                      <a:lin ang="0" scaled="1"/>
                    </a:gradFill>
                    <a:ln>
                      <a:noFill/>
                    </a:ln>
                    <a:effectLst/>
                    <a:sp3d/>
                  </c15:spPr>
                  <c15:invertIfNegative val="0"/>
                  <c15:bubble3D val="0"/>
                </c15:categoryFilterException>
                <c15:categoryFilterException>
                  <c15:sqref>'חישוב תמק'!$I$5</c15:sqref>
                  <c15:spPr xmlns:c15="http://schemas.microsoft.com/office/drawing/2012/chart">
                    <a:gradFill>
                      <a:gsLst>
                        <a:gs pos="0">
                          <a:schemeClr val="accent3">
                            <a:lumMod val="75000"/>
                          </a:schemeClr>
                        </a:gs>
                        <a:gs pos="100000">
                          <a:schemeClr val="accent3">
                            <a:lumMod val="60000"/>
                            <a:lumOff val="40000"/>
                          </a:schemeClr>
                        </a:gs>
                      </a:gsLst>
                      <a:lin ang="0" scaled="1"/>
                    </a:gradFill>
                    <a:ln>
                      <a:noFill/>
                    </a:ln>
                    <a:effectLst/>
                    <a:sp3d/>
                  </c15:spPr>
                  <c15:invertIfNegative val="0"/>
                  <c15:bubble3D val="0"/>
                </c15:categoryFilterException>
              </c15:categoryFilterExceptions>
            </c:ext>
            <c:ext xmlns:c16="http://schemas.microsoft.com/office/drawing/2014/chart" uri="{C3380CC4-5D6E-409C-BE32-E72D297353CC}">
              <c16:uniqueId val="{00000020-D227-40A9-A86F-636D3FE6863E}"/>
            </c:ext>
          </c:extLst>
        </c:ser>
        <c:ser>
          <c:idx val="4"/>
          <c:order val="7"/>
          <c:tx>
            <c:strRef>
              <c:f>'חישוב תמק'!$L$1</c:f>
              <c:strCache>
                <c:ptCount val="1"/>
                <c:pt idx="0">
                  <c:v>upper</c:v>
                </c:pt>
              </c:strCache>
            </c:strRef>
          </c:tx>
          <c:spPr>
            <a:solidFill>
              <a:schemeClr val="bg1"/>
            </a:solidFill>
            <a:ln>
              <a:noFill/>
            </a:ln>
            <a:effectLst/>
            <a:sp3d/>
          </c:spPr>
          <c:invertIfNegative val="0"/>
          <c:dLbls>
            <c:dLbl>
              <c:idx val="0"/>
              <c:layout>
                <c:manualLayout>
                  <c:x val="-9.4228504122497048E-3"/>
                  <c:y val="-5.5788005578800558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accent6">
                            <a:lumMod val="75000"/>
                          </a:schemeClr>
                        </a:solidFill>
                        <a:latin typeface="Assistant" pitchFamily="2" charset="-79"/>
                        <a:ea typeface="+mn-ea"/>
                        <a:cs typeface="Assistant" pitchFamily="2" charset="-79"/>
                      </a:defRPr>
                    </a:pPr>
                    <a:fld id="{07F292B7-3171-4EFC-B1EC-CB9CE7A0E4B8}" type="CELLRANGE">
                      <a:rPr lang="he-IL"/>
                      <a:pPr>
                        <a:defRPr sz="1200" b="1">
                          <a:solidFill>
                            <a:schemeClr val="accent6">
                              <a:lumMod val="75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7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D227-40A9-A86F-636D3FE686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תמק'!$L$2:$L$5</c15:sqref>
                  </c15:fullRef>
                </c:ext>
              </c:extLst>
              <c:f>'חישוב תמק'!$L$2</c:f>
              <c:numCache>
                <c:formatCode>0%</c:formatCode>
                <c:ptCount val="1"/>
                <c:pt idx="0">
                  <c:v>0.15</c:v>
                </c:pt>
              </c:numCache>
            </c:numRef>
          </c:val>
          <c:extLst>
            <c:ext xmlns:c15="http://schemas.microsoft.com/office/drawing/2012/chart" uri="{02D57815-91ED-43cb-92C2-25804820EDAC}">
              <c15:datalabelsRange>
                <c15:f>'חישוב תמק'!$P$2:$P$5</c15:f>
                <c15:dlblRangeCache>
                  <c:ptCount val="4"/>
                  <c:pt idx="0">
                    <c:v>סף רגישות כולל</c:v>
                  </c:pt>
                  <c:pt idx="1">
                    <c:v>כשירות ארגונית</c:v>
                  </c:pt>
                  <c:pt idx="2">
                    <c:v>פרופיל מערכת</c:v>
                  </c:pt>
                  <c:pt idx="3">
                    <c:v>שרשרת אספקה</c:v>
                  </c:pt>
                </c15:dlblRangeCache>
              </c15:datalabelsRange>
            </c:ext>
            <c:ext xmlns:c15="http://schemas.microsoft.com/office/drawing/2012/chart" uri="{02D57815-91ED-43cb-92C2-25804820EDAC}">
              <c15:categoryFilterExceptions>
                <c15:categoryFilterException>
                  <c15:sqref>'חישוב תמק'!$L$3</c15:sqref>
                  <c15:dLbl>
                    <c:idx val="0"/>
                    <c:layout>
                      <c:manualLayout>
                        <c:x val="0"/>
                        <c:y val="-4.581901489118025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36C0A"/>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uri="{CE6537A1-D6FC-4f65-9D91-7224C49458BB}">
                        <c15:dlblFieldTable/>
                        <c15:showDataLabelsRange val="1"/>
                      </c:ext>
                      <c:ext xmlns:c16="http://schemas.microsoft.com/office/drawing/2014/chart" uri="{C3380CC4-5D6E-409C-BE32-E72D297353CC}">
                        <c16:uniqueId val="{0000001B-7C69-43FC-848D-F7BBE2B4C09F}"/>
                      </c:ext>
                    </c:extLst>
                  </c15:dLbl>
                </c15:categoryFilterException>
                <c15:categoryFilterException>
                  <c15:sqref>'חישוב תמק'!$L$4</c15:sqref>
                  <c15:dLbl>
                    <c:idx val="0"/>
                    <c:delete val="1"/>
                    <c:extLst>
                      <c:ext uri="{CE6537A1-D6FC-4f65-9D91-7224C49458BB}"/>
                      <c:ext xmlns:c16="http://schemas.microsoft.com/office/drawing/2014/chart" uri="{C3380CC4-5D6E-409C-BE32-E72D297353CC}">
                        <c16:uniqueId val="{0000001C-7C69-43FC-848D-F7BBE2B4C09F}"/>
                      </c:ext>
                    </c:extLst>
                  </c15:dLbl>
                </c15:categoryFilterException>
                <c15:categoryFilterException>
                  <c15:sqref>'חישוב תמק'!$L$5</c15:sqref>
                  <c15:dLbl>
                    <c:idx val="0"/>
                    <c:delete val="1"/>
                    <c:extLst>
                      <c:ext uri="{CE6537A1-D6FC-4f65-9D91-7224C49458BB}"/>
                      <c:ext xmlns:c16="http://schemas.microsoft.com/office/drawing/2014/chart" uri="{C3380CC4-5D6E-409C-BE32-E72D297353CC}">
                        <c16:uniqueId val="{0000001D-7C69-43FC-848D-F7BBE2B4C09F}"/>
                      </c:ext>
                    </c:extLst>
                  </c15:dLbl>
                </c15:categoryFilterException>
              </c15:categoryFilterExceptions>
            </c:ext>
            <c:ext xmlns:c16="http://schemas.microsoft.com/office/drawing/2014/chart" uri="{C3380CC4-5D6E-409C-BE32-E72D297353CC}">
              <c16:uniqueId val="{00000025-D227-40A9-A86F-636D3FE6863E}"/>
            </c:ext>
          </c:extLst>
        </c:ser>
        <c:dLbls>
          <c:showLegendKey val="0"/>
          <c:showVal val="0"/>
          <c:showCatName val="0"/>
          <c:showSerName val="0"/>
          <c:showPercent val="0"/>
          <c:showBubbleSize val="0"/>
        </c:dLbls>
        <c:gapWidth val="45"/>
        <c:gapDepth val="0"/>
        <c:shape val="cylinder"/>
        <c:axId val="1181071376"/>
        <c:axId val="1371848336"/>
        <c:axId val="0"/>
      </c:bar3DChart>
      <c:catAx>
        <c:axId val="1181071376"/>
        <c:scaling>
          <c:orientation val="minMax"/>
        </c:scaling>
        <c:delete val="1"/>
        <c:axPos val="b"/>
        <c:numFmt formatCode="General" sourceLinked="1"/>
        <c:majorTickMark val="none"/>
        <c:minorTickMark val="none"/>
        <c:tickLblPos val="nextTo"/>
        <c:crossAx val="1371848336"/>
        <c:crosses val="autoZero"/>
        <c:auto val="1"/>
        <c:lblAlgn val="ctr"/>
        <c:lblOffset val="100"/>
        <c:noMultiLvlLbl val="0"/>
      </c:catAx>
      <c:valAx>
        <c:axId val="1371848336"/>
        <c:scaling>
          <c:orientation val="minMax"/>
        </c:scaling>
        <c:delete val="1"/>
        <c:axPos val="l"/>
        <c:numFmt formatCode="0%" sourceLinked="1"/>
        <c:majorTickMark val="none"/>
        <c:minorTickMark val="none"/>
        <c:tickLblPos val="nextTo"/>
        <c:crossAx val="118107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70C0"/>
                </a:solidFill>
                <a:latin typeface="Assistant" pitchFamily="2" charset="-79"/>
                <a:ea typeface="+mn-ea"/>
                <a:cs typeface="Assistant" pitchFamily="2" charset="-79"/>
              </a:defRPr>
            </a:pPr>
            <a:r>
              <a:rPr lang="he-IL" sz="1200" b="1">
                <a:solidFill>
                  <a:srgbClr val="0070C0"/>
                </a:solidFill>
                <a:latin typeface="Assistant" pitchFamily="2" charset="-79"/>
                <a:cs typeface="Assistant" pitchFamily="2" charset="-79"/>
              </a:rPr>
              <a:t>זיהוי</a:t>
            </a:r>
            <a:endParaRPr lang="en-US" sz="1200" b="1">
              <a:solidFill>
                <a:srgbClr val="0070C0"/>
              </a:solidFill>
              <a:latin typeface="Assistant" pitchFamily="2" charset="-79"/>
              <a:cs typeface="Assistant" pitchFamily="2" charset="-79"/>
            </a:endParaRPr>
          </a:p>
        </c:rich>
      </c:tx>
      <c:layout>
        <c:manualLayout>
          <c:xMode val="edge"/>
          <c:yMode val="edge"/>
          <c:x val="0.36816114128693772"/>
          <c:y val="7.188977655676273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70C0"/>
              </a:solidFill>
              <a:latin typeface="Assistant" pitchFamily="2" charset="-79"/>
              <a:ea typeface="+mn-ea"/>
              <a:cs typeface="Assistant" pitchFamily="2" charset="-79"/>
            </a:defRPr>
          </a:pPr>
          <a:endParaRPr lang="he-IL"/>
        </a:p>
      </c:txPr>
    </c:title>
    <c:autoTitleDeleted val="0"/>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0070C0"/>
              </a:solidFill>
              <a:ln w="101600">
                <a:solidFill>
                  <a:srgbClr val="0070C0"/>
                </a:solidFill>
              </a:ln>
              <a:effectLst/>
            </c:spPr>
            <c:extLst>
              <c:ext xmlns:c16="http://schemas.microsoft.com/office/drawing/2014/chart" uri="{C3380CC4-5D6E-409C-BE32-E72D297353CC}">
                <c16:uniqueId val="{00000001-AD3D-4D93-B90A-B18C3B41ACA2}"/>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AD3D-4D93-B90A-B18C3B41ACA2}"/>
              </c:ext>
            </c:extLst>
          </c:dPt>
          <c:val>
            <c:numRef>
              <c:f>חישובים!$G$6:$G$7</c:f>
              <c:numCache>
                <c:formatCode>0%</c:formatCode>
                <c:ptCount val="2"/>
                <c:pt idx="0">
                  <c:v>0.95238095238095233</c:v>
                </c:pt>
                <c:pt idx="1">
                  <c:v>4.7619047619047616E-2</c:v>
                </c:pt>
              </c:numCache>
            </c:numRef>
          </c:val>
          <c:extLst>
            <c:ext xmlns:c16="http://schemas.microsoft.com/office/drawing/2014/chart" uri="{C3380CC4-5D6E-409C-BE32-E72D297353CC}">
              <c16:uniqueId val="{00000004-AD3D-4D93-B90A-B18C3B41ACA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ssistant" pitchFamily="2" charset="-79"/>
                <a:ea typeface="+mn-ea"/>
                <a:cs typeface="Assistant" pitchFamily="2" charset="-79"/>
              </a:defRPr>
            </a:pPr>
            <a:r>
              <a:rPr lang="he-IL" sz="1200" b="1">
                <a:solidFill>
                  <a:schemeClr val="accent4"/>
                </a:solidFill>
                <a:latin typeface="Assistant" pitchFamily="2" charset="-79"/>
                <a:cs typeface="Assistant" pitchFamily="2" charset="-79"/>
              </a:rPr>
              <a:t>גילוי</a:t>
            </a:r>
            <a:endParaRPr lang="en-US" sz="1200" b="1">
              <a:solidFill>
                <a:schemeClr val="accent4"/>
              </a:solidFill>
              <a:latin typeface="Assistant" pitchFamily="2" charset="-79"/>
              <a:cs typeface="Assistant" pitchFamily="2" charset="-79"/>
            </a:endParaRPr>
          </a:p>
        </c:rich>
      </c:tx>
      <c:layout>
        <c:manualLayout>
          <c:xMode val="edge"/>
          <c:yMode val="edge"/>
          <c:x val="0.39519689174581141"/>
          <c:y val="5.710427986621283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ssistant" pitchFamily="2" charset="-79"/>
              <a:ea typeface="+mn-ea"/>
              <a:cs typeface="Assistant" pitchFamily="2" charset="-79"/>
            </a:defRPr>
          </a:pPr>
          <a:endParaRPr lang="he-IL"/>
        </a:p>
      </c:txPr>
    </c:title>
    <c:autoTitleDeleted val="0"/>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FFC000"/>
              </a:solidFill>
              <a:ln w="101600">
                <a:solidFill>
                  <a:srgbClr val="FFC000"/>
                </a:solidFill>
              </a:ln>
              <a:effectLst/>
            </c:spPr>
            <c:extLst>
              <c:ext xmlns:c16="http://schemas.microsoft.com/office/drawing/2014/chart" uri="{C3380CC4-5D6E-409C-BE32-E72D297353CC}">
                <c16:uniqueId val="{00000001-C444-4FDE-B9D3-35FDC16797DE}"/>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C444-4FDE-B9D3-35FDC16797DE}"/>
              </c:ext>
            </c:extLst>
          </c:dPt>
          <c:val>
            <c:numRef>
              <c:f>חישובים!$H$6:$H$7</c:f>
              <c:numCache>
                <c:formatCode>0%</c:formatCode>
                <c:ptCount val="2"/>
                <c:pt idx="0">
                  <c:v>0.95918367346938771</c:v>
                </c:pt>
                <c:pt idx="1">
                  <c:v>4.0816326530612242E-2</c:v>
                </c:pt>
              </c:numCache>
            </c:numRef>
          </c:val>
          <c:extLst>
            <c:ext xmlns:c16="http://schemas.microsoft.com/office/drawing/2014/chart" uri="{C3380CC4-5D6E-409C-BE32-E72D297353CC}">
              <c16:uniqueId val="{00000004-C444-4FDE-B9D3-35FDC16797D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ssistant" pitchFamily="2" charset="-79"/>
                <a:ea typeface="+mn-ea"/>
                <a:cs typeface="Assistant" pitchFamily="2" charset="-79"/>
              </a:defRPr>
            </a:pPr>
            <a:r>
              <a:rPr lang="he-IL" sz="1200" b="1">
                <a:solidFill>
                  <a:srgbClr val="7030A0"/>
                </a:solidFill>
                <a:latin typeface="Assistant" pitchFamily="2" charset="-79"/>
                <a:cs typeface="Assistant" pitchFamily="2" charset="-79"/>
              </a:rPr>
              <a:t>הגנה</a:t>
            </a:r>
            <a:endParaRPr lang="en-US" sz="1200" b="1">
              <a:solidFill>
                <a:srgbClr val="7030A0"/>
              </a:solidFill>
              <a:latin typeface="Assistant" pitchFamily="2" charset="-79"/>
              <a:cs typeface="Assistant" pitchFamily="2" charset="-79"/>
            </a:endParaRPr>
          </a:p>
        </c:rich>
      </c:tx>
      <c:layout>
        <c:manualLayout>
          <c:xMode val="edge"/>
          <c:yMode val="edge"/>
          <c:x val="0.36253291241268137"/>
          <c:y val="7.8231210803545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ssistant" pitchFamily="2" charset="-79"/>
              <a:ea typeface="+mn-ea"/>
              <a:cs typeface="Assistant" pitchFamily="2" charset="-79"/>
            </a:defRPr>
          </a:pPr>
          <a:endParaRPr lang="he-IL"/>
        </a:p>
      </c:txPr>
    </c:title>
    <c:autoTitleDeleted val="0"/>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7030A0"/>
              </a:solidFill>
              <a:ln w="101600">
                <a:solidFill>
                  <a:srgbClr val="7030A0"/>
                </a:solidFill>
              </a:ln>
              <a:effectLst/>
            </c:spPr>
            <c:extLst>
              <c:ext xmlns:c16="http://schemas.microsoft.com/office/drawing/2014/chart" uri="{C3380CC4-5D6E-409C-BE32-E72D297353CC}">
                <c16:uniqueId val="{00000001-7A43-46B0-A007-E2C9E85C4858}"/>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7A43-46B0-A007-E2C9E85C4858}"/>
              </c:ext>
            </c:extLst>
          </c:dPt>
          <c:val>
            <c:numRef>
              <c:f>חישובים!$I$6:$I$7</c:f>
              <c:numCache>
                <c:formatCode>0%</c:formatCode>
                <c:ptCount val="2"/>
                <c:pt idx="0">
                  <c:v>0.94964028776978415</c:v>
                </c:pt>
                <c:pt idx="1">
                  <c:v>5.0359712230215826E-2</c:v>
                </c:pt>
              </c:numCache>
            </c:numRef>
          </c:val>
          <c:extLst>
            <c:ext xmlns:c16="http://schemas.microsoft.com/office/drawing/2014/chart" uri="{C3380CC4-5D6E-409C-BE32-E72D297353CC}">
              <c16:uniqueId val="{00000004-7A43-46B0-A007-E2C9E85C4858}"/>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ssistant" pitchFamily="2" charset="-79"/>
                <a:ea typeface="+mn-ea"/>
                <a:cs typeface="Assistant" pitchFamily="2" charset="-79"/>
              </a:defRPr>
            </a:pPr>
            <a:r>
              <a:rPr lang="he-IL" sz="1200" b="1">
                <a:solidFill>
                  <a:srgbClr val="FF5050"/>
                </a:solidFill>
                <a:latin typeface="Assistant" pitchFamily="2" charset="-79"/>
                <a:cs typeface="Assistant" pitchFamily="2" charset="-79"/>
              </a:rPr>
              <a:t>תגובה</a:t>
            </a:r>
            <a:endParaRPr lang="en-US" b="1">
              <a:solidFill>
                <a:srgbClr val="FF5050"/>
              </a:solidFill>
              <a:latin typeface="Assistant" pitchFamily="2" charset="-79"/>
              <a:cs typeface="Assistant" pitchFamily="2" charset="-79"/>
            </a:endParaRPr>
          </a:p>
        </c:rich>
      </c:tx>
      <c:layout>
        <c:manualLayout>
          <c:xMode val="edge"/>
          <c:yMode val="edge"/>
          <c:x val="0.3404385964912281"/>
          <c:y val="7.98612049986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ssistant" pitchFamily="2" charset="-79"/>
              <a:ea typeface="+mn-ea"/>
              <a:cs typeface="Assistant" pitchFamily="2" charset="-79"/>
            </a:defRPr>
          </a:pPr>
          <a:endParaRPr lang="he-IL"/>
        </a:p>
      </c:txPr>
    </c:title>
    <c:autoTitleDeleted val="0"/>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FF5050"/>
              </a:solidFill>
              <a:ln w="101600">
                <a:solidFill>
                  <a:srgbClr val="FF5050"/>
                </a:solidFill>
              </a:ln>
              <a:effectLst/>
            </c:spPr>
            <c:extLst>
              <c:ext xmlns:c16="http://schemas.microsoft.com/office/drawing/2014/chart" uri="{C3380CC4-5D6E-409C-BE32-E72D297353CC}">
                <c16:uniqueId val="{00000001-7014-4628-80A1-DC6E07D51D81}"/>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7014-4628-80A1-DC6E07D51D81}"/>
              </c:ext>
            </c:extLst>
          </c:dPt>
          <c:val>
            <c:numRef>
              <c:f>חישובים!$J$6:$J$7</c:f>
              <c:numCache>
                <c:formatCode>0%</c:formatCode>
                <c:ptCount val="2"/>
                <c:pt idx="0">
                  <c:v>1</c:v>
                </c:pt>
                <c:pt idx="1">
                  <c:v>0</c:v>
                </c:pt>
              </c:numCache>
            </c:numRef>
          </c:val>
          <c:extLst>
            <c:ext xmlns:c16="http://schemas.microsoft.com/office/drawing/2014/chart" uri="{C3380CC4-5D6E-409C-BE32-E72D297353CC}">
              <c16:uniqueId val="{00000004-7014-4628-80A1-DC6E07D51D81}"/>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solidFill>
                <a:latin typeface="Assistant" pitchFamily="2" charset="-79"/>
                <a:ea typeface="+mn-ea"/>
                <a:cs typeface="Assistant" pitchFamily="2" charset="-79"/>
              </a:defRPr>
            </a:pPr>
            <a:r>
              <a:rPr lang="he-IL" sz="1200" b="1">
                <a:solidFill>
                  <a:schemeClr val="accent6"/>
                </a:solidFill>
                <a:latin typeface="Assistant" pitchFamily="2" charset="-79"/>
                <a:cs typeface="Assistant" pitchFamily="2" charset="-79"/>
              </a:rPr>
              <a:t>התאוששות</a:t>
            </a:r>
            <a:endParaRPr lang="en-US" b="1">
              <a:solidFill>
                <a:schemeClr val="accent6"/>
              </a:solidFill>
              <a:latin typeface="Assistant" pitchFamily="2" charset="-79"/>
              <a:cs typeface="Assistant" pitchFamily="2" charset="-79"/>
            </a:endParaRPr>
          </a:p>
        </c:rich>
      </c:tx>
      <c:layout>
        <c:manualLayout>
          <c:xMode val="edge"/>
          <c:yMode val="edge"/>
          <c:x val="0.23415511778289383"/>
          <c:y val="7.1800225765539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Assistant" pitchFamily="2" charset="-79"/>
              <a:ea typeface="+mn-ea"/>
              <a:cs typeface="Assistant" pitchFamily="2" charset="-79"/>
            </a:defRPr>
          </a:pPr>
          <a:endParaRPr lang="he-IL"/>
        </a:p>
      </c:txPr>
    </c:title>
    <c:autoTitleDeleted val="0"/>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chemeClr val="accent6"/>
              </a:solidFill>
              <a:ln w="101600">
                <a:solidFill>
                  <a:schemeClr val="accent6"/>
                </a:solidFill>
              </a:ln>
              <a:effectLst/>
            </c:spPr>
            <c:extLst>
              <c:ext xmlns:c16="http://schemas.microsoft.com/office/drawing/2014/chart" uri="{C3380CC4-5D6E-409C-BE32-E72D297353CC}">
                <c16:uniqueId val="{00000001-EE18-4672-ABC7-6BFF9EA90C75}"/>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EE18-4672-ABC7-6BFF9EA90C75}"/>
              </c:ext>
            </c:extLst>
          </c:dPt>
          <c:val>
            <c:numRef>
              <c:f>חישובים!$K$6:$K$7</c:f>
              <c:numCache>
                <c:formatCode>0%</c:formatCode>
                <c:ptCount val="2"/>
                <c:pt idx="0">
                  <c:v>1</c:v>
                </c:pt>
                <c:pt idx="1">
                  <c:v>0</c:v>
                </c:pt>
              </c:numCache>
            </c:numRef>
          </c:val>
          <c:extLst>
            <c:ext xmlns:c16="http://schemas.microsoft.com/office/drawing/2014/chart" uri="{C3380CC4-5D6E-409C-BE32-E72D297353CC}">
              <c16:uniqueId val="{00000004-EE18-4672-ABC7-6BFF9EA90C75}"/>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rgbClr val="F99633"/>
              </a:solidFill>
              <a:ln w="101600">
                <a:solidFill>
                  <a:srgbClr val="F99633"/>
                </a:solidFill>
              </a:ln>
              <a:effectLst/>
            </c:spPr>
            <c:extLst>
              <c:ext xmlns:c16="http://schemas.microsoft.com/office/drawing/2014/chart" uri="{C3380CC4-5D6E-409C-BE32-E72D297353CC}">
                <c16:uniqueId val="{00000001-472A-47B1-A9D0-5692C2751F03}"/>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472A-47B1-A9D0-5692C2751F03}"/>
              </c:ext>
            </c:extLst>
          </c:dPt>
          <c:val>
            <c:numRef>
              <c:f>חישובים!$S$5:$S$6</c:f>
              <c:numCache>
                <c:formatCode>0%</c:formatCode>
                <c:ptCount val="2"/>
                <c:pt idx="0">
                  <c:v>0.48165137614678899</c:v>
                </c:pt>
                <c:pt idx="1">
                  <c:v>0.51834862385321101</c:v>
                </c:pt>
              </c:numCache>
            </c:numRef>
          </c:val>
          <c:extLst>
            <c:ext xmlns:c16="http://schemas.microsoft.com/office/drawing/2014/chart" uri="{C3380CC4-5D6E-409C-BE32-E72D297353CC}">
              <c16:uniqueId val="{00000004-472A-47B1-A9D0-5692C2751F0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spPr>
            <a:solidFill>
              <a:schemeClr val="accent1">
                <a:lumMod val="60000"/>
                <a:lumOff val="40000"/>
              </a:schemeClr>
            </a:solidFill>
          </c:spPr>
          <c:dPt>
            <c:idx val="0"/>
            <c:bubble3D val="0"/>
            <c:spPr>
              <a:solidFill>
                <a:schemeClr val="accent1">
                  <a:lumMod val="60000"/>
                  <a:lumOff val="40000"/>
                </a:schemeClr>
              </a:solidFill>
              <a:ln w="101600">
                <a:solidFill>
                  <a:schemeClr val="accent1">
                    <a:lumMod val="60000"/>
                    <a:lumOff val="40000"/>
                  </a:schemeClr>
                </a:solidFill>
              </a:ln>
              <a:effectLst/>
            </c:spPr>
            <c:extLst>
              <c:ext xmlns:c16="http://schemas.microsoft.com/office/drawing/2014/chart" uri="{C3380CC4-5D6E-409C-BE32-E72D297353CC}">
                <c16:uniqueId val="{00000001-232E-427F-B9DB-19B7F5C9CD4C}"/>
              </c:ext>
            </c:extLst>
          </c:dPt>
          <c:dPt>
            <c:idx val="1"/>
            <c:bubble3D val="0"/>
            <c:spPr>
              <a:solidFill>
                <a:schemeClr val="accent1">
                  <a:lumMod val="60000"/>
                  <a:lumOff val="40000"/>
                </a:schemeClr>
              </a:solidFill>
              <a:ln w="41275">
                <a:solidFill>
                  <a:schemeClr val="bg1">
                    <a:lumMod val="65000"/>
                  </a:schemeClr>
                </a:solidFill>
              </a:ln>
              <a:effectLst/>
            </c:spPr>
            <c:extLst>
              <c:ext xmlns:c16="http://schemas.microsoft.com/office/drawing/2014/chart" uri="{C3380CC4-5D6E-409C-BE32-E72D297353CC}">
                <c16:uniqueId val="{00000003-232E-427F-B9DB-19B7F5C9CD4C}"/>
              </c:ext>
            </c:extLst>
          </c:dPt>
          <c:val>
            <c:numRef>
              <c:f>חישובים!$T$5:$T$6</c:f>
              <c:numCache>
                <c:formatCode>0%</c:formatCode>
                <c:ptCount val="2"/>
                <c:pt idx="0">
                  <c:v>0.11467889908256881</c:v>
                </c:pt>
                <c:pt idx="1">
                  <c:v>0.88532110091743121</c:v>
                </c:pt>
              </c:numCache>
            </c:numRef>
          </c:val>
          <c:extLst>
            <c:ext xmlns:c16="http://schemas.microsoft.com/office/drawing/2014/chart" uri="{C3380CC4-5D6E-409C-BE32-E72D297353CC}">
              <c16:uniqueId val="{00000004-232E-427F-B9DB-19B7F5C9CD4C}"/>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55555555555557"/>
          <c:y val="6.0185185185185182E-2"/>
          <c:w val="0.53888888888888886"/>
          <c:h val="0.89814814814814814"/>
        </c:manualLayout>
      </c:layout>
      <c:doughnutChart>
        <c:varyColors val="1"/>
        <c:ser>
          <c:idx val="0"/>
          <c:order val="0"/>
          <c:dPt>
            <c:idx val="0"/>
            <c:bubble3D val="0"/>
            <c:spPr>
              <a:solidFill>
                <a:schemeClr val="tx1"/>
              </a:solidFill>
              <a:ln w="101600">
                <a:solidFill>
                  <a:schemeClr val="tx1"/>
                </a:solidFill>
              </a:ln>
              <a:effectLst/>
            </c:spPr>
            <c:extLst>
              <c:ext xmlns:c16="http://schemas.microsoft.com/office/drawing/2014/chart" uri="{C3380CC4-5D6E-409C-BE32-E72D297353CC}">
                <c16:uniqueId val="{00000001-9894-4CF0-931A-40CAAB109215}"/>
              </c:ext>
            </c:extLst>
          </c:dPt>
          <c:dPt>
            <c:idx val="1"/>
            <c:bubble3D val="0"/>
            <c:spPr>
              <a:solidFill>
                <a:schemeClr val="bg1">
                  <a:lumMod val="65000"/>
                </a:schemeClr>
              </a:solidFill>
              <a:ln w="41275">
                <a:solidFill>
                  <a:schemeClr val="bg1">
                    <a:lumMod val="65000"/>
                  </a:schemeClr>
                </a:solidFill>
              </a:ln>
              <a:effectLst/>
            </c:spPr>
            <c:extLst>
              <c:ext xmlns:c16="http://schemas.microsoft.com/office/drawing/2014/chart" uri="{C3380CC4-5D6E-409C-BE32-E72D297353CC}">
                <c16:uniqueId val="{00000003-9894-4CF0-931A-40CAAB109215}"/>
              </c:ext>
            </c:extLst>
          </c:dPt>
          <c:val>
            <c:numRef>
              <c:f>חישובים!$U$5:$U$6</c:f>
              <c:numCache>
                <c:formatCode>0%</c:formatCode>
                <c:ptCount val="2"/>
                <c:pt idx="0">
                  <c:v>0.56880733944954132</c:v>
                </c:pt>
                <c:pt idx="1">
                  <c:v>0</c:v>
                </c:pt>
              </c:numCache>
            </c:numRef>
          </c:val>
          <c:extLst>
            <c:ext xmlns:c16="http://schemas.microsoft.com/office/drawing/2014/chart" uri="{C3380CC4-5D6E-409C-BE32-E72D297353CC}">
              <c16:uniqueId val="{00000004-9894-4CF0-931A-40CAAB109215}"/>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6"/>
          <c:order val="0"/>
          <c:tx>
            <c:strRef>
              <c:f>'חישוב תמק'!$M$1</c:f>
              <c:strCache>
                <c:ptCount val="1"/>
                <c:pt idx="0">
                  <c:v>lower</c:v>
                </c:pt>
              </c:strCache>
            </c:strRef>
          </c:tx>
          <c:spPr>
            <a:solidFill>
              <a:schemeClr val="bg1"/>
            </a:solidFill>
            <a:ln>
              <a:noFill/>
            </a:ln>
            <a:effectLst>
              <a:outerShdw blurRad="63500" sx="102000" sy="102000" algn="ctr" rotWithShape="0">
                <a:prstClr val="black">
                  <a:alpha val="40000"/>
                </a:prstClr>
              </a:outerShdw>
            </a:effectLst>
            <a:sp3d/>
          </c:spPr>
          <c:invertIfNegative val="0"/>
          <c:dLbls>
            <c:dLbl>
              <c:idx val="0"/>
              <c:tx>
                <c:rich>
                  <a:bodyPr rot="0" spcFirstLastPara="1" vertOverflow="ellipsis" vert="horz" wrap="square" lIns="38100" tIns="19050" rIns="38100" bIns="19050" anchor="ctr" anchorCtr="1">
                    <a:spAutoFit/>
                  </a:bodyPr>
                  <a:lstStyle/>
                  <a:p>
                    <a:pPr>
                      <a:defRPr sz="1400" b="1" i="0" u="none" strike="noStrike" kern="1200" baseline="0">
                        <a:solidFill>
                          <a:srgbClr val="E36C0A"/>
                        </a:solidFill>
                        <a:latin typeface="Assistant" pitchFamily="2" charset="-79"/>
                        <a:ea typeface="+mn-ea"/>
                        <a:cs typeface="Assistant" pitchFamily="2" charset="-79"/>
                      </a:defRPr>
                    </a:pPr>
                    <a:fld id="{BB709144-6CB1-4AAF-9909-206756B7345B}" type="CELLRANGE">
                      <a:rPr lang="he-IL"/>
                      <a:pPr>
                        <a:defRPr sz="1400" b="1">
                          <a:solidFill>
                            <a:srgbClr val="E36C0A"/>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E36C0A"/>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A67-4C30-A214-D68863C0D6FA}"/>
                </c:ext>
              </c:extLst>
            </c:dLbl>
            <c:dLbl>
              <c:idx val="1"/>
              <c:tx>
                <c:rich>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Assistant" pitchFamily="2" charset="-79"/>
                        <a:ea typeface="+mn-ea"/>
                        <a:cs typeface="Assistant" pitchFamily="2" charset="-79"/>
                      </a:defRPr>
                    </a:pPr>
                    <a:fld id="{2C28B38A-C6C4-4C1B-BE84-F01D65DF4B1C}" type="CELLRANGE">
                      <a:rPr lang="he-IL"/>
                      <a:pPr>
                        <a:defRPr sz="1400" b="1">
                          <a:solidFill>
                            <a:schemeClr val="accent1"/>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A67-4C30-A214-D68863C0D6FA}"/>
                </c:ext>
              </c:extLst>
            </c:dLbl>
            <c:dLbl>
              <c:idx val="2"/>
              <c:layout>
                <c:manualLayout>
                  <c:x val="8.3333333333333332E-3"/>
                  <c:y val="0"/>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bg1">
                            <a:lumMod val="50000"/>
                          </a:schemeClr>
                        </a:solidFill>
                        <a:latin typeface="Assistant" pitchFamily="2" charset="-79"/>
                        <a:ea typeface="+mn-ea"/>
                        <a:cs typeface="Assistant" pitchFamily="2" charset="-79"/>
                      </a:defRPr>
                    </a:pPr>
                    <a:fld id="{07DD5BE2-10B7-4C2C-BEF7-0AA7B14847A2}" type="CELLRANGE">
                      <a:rPr lang="en-US" sz="1400">
                        <a:solidFill>
                          <a:schemeClr val="bg1">
                            <a:lumMod val="50000"/>
                          </a:schemeClr>
                        </a:solidFill>
                      </a:rPr>
                      <a:pPr>
                        <a:defRPr sz="1400" b="1">
                          <a:solidFill>
                            <a:schemeClr val="bg1">
                              <a:lumMod val="50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50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A67-4C30-A214-D68863C0D6F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תמק'!$M$2:$M$5</c15:sqref>
                  </c15:fullRef>
                </c:ext>
              </c:extLst>
              <c:f>'חישוב תמק'!$M$3:$M$5</c:f>
              <c:numCache>
                <c:formatCode>0%</c:formatCode>
                <c:ptCount val="3"/>
                <c:pt idx="0">
                  <c:v>0.2</c:v>
                </c:pt>
                <c:pt idx="1">
                  <c:v>0.2</c:v>
                </c:pt>
                <c:pt idx="2">
                  <c:v>0.2</c:v>
                </c:pt>
              </c:numCache>
            </c:numRef>
          </c:val>
          <c:extLst>
            <c:ext xmlns:c15="http://schemas.microsoft.com/office/drawing/2012/chart" uri="{02D57815-91ED-43cb-92C2-25804820EDAC}">
              <c15:datalabelsRange>
                <c15:f>'חישוב תמק'!$O$2:$O$5</c15:f>
                <c15:dlblRangeCache>
                  <c:ptCount val="4"/>
                  <c:pt idx="0">
                    <c:v>75%</c:v>
                  </c:pt>
                  <c:pt idx="1">
                    <c:v>48%</c:v>
                  </c:pt>
                  <c:pt idx="2">
                    <c:v>70%</c:v>
                  </c:pt>
                  <c:pt idx="3">
                    <c:v>37%</c:v>
                  </c:pt>
                </c15:dlblRangeCache>
              </c15:datalabelsRange>
            </c:ext>
            <c:ext xmlns:c15="http://schemas.microsoft.com/office/drawing/2012/chart" uri="{02D57815-91ED-43cb-92C2-25804820EDAC}">
              <c15:categoryFilterExceptions>
                <c15:categoryFilterException>
                  <c15:sqref>'חישוב תמק'!$M$2</c15:sqref>
                  <c15:dLbl>
                    <c:idx val="-1"/>
                    <c:delete val="1"/>
                    <c:extLst>
                      <c:ext uri="{CE6537A1-D6FC-4f65-9D91-7224C49458BB}"/>
                      <c:ext xmlns:c16="http://schemas.microsoft.com/office/drawing/2014/chart" uri="{C3380CC4-5D6E-409C-BE32-E72D297353CC}">
                        <c16:uniqueId val="{00000016-4F1C-4ABE-93AA-D025A0C49D39}"/>
                      </c:ext>
                    </c:extLst>
                  </c15:dLbl>
                </c15:categoryFilterException>
              </c15:categoryFilterExceptions>
            </c:ext>
            <c:ext xmlns:c16="http://schemas.microsoft.com/office/drawing/2014/chart" uri="{C3380CC4-5D6E-409C-BE32-E72D297353CC}">
              <c16:uniqueId val="{00000003-EA67-4C30-A214-D68863C0D6FA}"/>
            </c:ext>
          </c:extLst>
        </c:ser>
        <c:ser>
          <c:idx val="5"/>
          <c:order val="1"/>
          <c:tx>
            <c:strRef>
              <c:f>'חישוב תמק'!$K$1</c:f>
              <c:strCache>
                <c:ptCount val="1"/>
                <c:pt idx="0">
                  <c:v>M1</c:v>
                </c:pt>
              </c:strCache>
            </c:strRef>
          </c:tx>
          <c:spPr>
            <a:gradFill>
              <a:gsLst>
                <a:gs pos="0">
                  <a:schemeClr val="accent3">
                    <a:lumMod val="75000"/>
                  </a:schemeClr>
                </a:gs>
                <a:gs pos="100000">
                  <a:schemeClr val="accent3">
                    <a:lumMod val="40000"/>
                    <a:lumOff val="60000"/>
                  </a:schemeClr>
                </a:gs>
              </a:gsLst>
              <a:lin ang="0" scaled="1"/>
            </a:gradFill>
            <a:ln>
              <a:noFill/>
            </a:ln>
            <a:effectLst/>
            <a:sp3d/>
          </c:spPr>
          <c:invertIfNegative val="0"/>
          <c:dPt>
            <c:idx val="0"/>
            <c:invertIfNegative val="0"/>
            <c:bubble3D val="0"/>
            <c:spPr>
              <a:gradFill>
                <a:gsLst>
                  <a:gs pos="0">
                    <a:srgbClr val="FF0000"/>
                  </a:gs>
                  <a:gs pos="100000">
                    <a:schemeClr val="accent4"/>
                  </a:gs>
                </a:gsLst>
                <a:lin ang="0" scaled="1"/>
              </a:gradFill>
              <a:ln>
                <a:noFill/>
              </a:ln>
              <a:effectLst/>
              <a:sp3d/>
            </c:spPr>
            <c:extLst>
              <c:ext xmlns:c16="http://schemas.microsoft.com/office/drawing/2014/chart" uri="{C3380CC4-5D6E-409C-BE32-E72D297353CC}">
                <c16:uniqueId val="{00000005-EA67-4C30-A214-D68863C0D6FA}"/>
              </c:ext>
            </c:extLst>
          </c:dPt>
          <c:dPt>
            <c:idx val="1"/>
            <c:invertIfNegative val="0"/>
            <c:bubble3D val="0"/>
            <c:spPr>
              <a:gradFill>
                <a:gsLst>
                  <a:gs pos="0">
                    <a:schemeClr val="accent1">
                      <a:lumMod val="75000"/>
                    </a:schemeClr>
                  </a:gs>
                  <a:gs pos="100000">
                    <a:schemeClr val="accent5">
                      <a:lumMod val="60000"/>
                      <a:lumOff val="40000"/>
                    </a:schemeClr>
                  </a:gs>
                </a:gsLst>
                <a:lin ang="0" scaled="1"/>
              </a:gradFill>
              <a:ln>
                <a:noFill/>
              </a:ln>
              <a:effectLst/>
              <a:sp3d/>
            </c:spPr>
            <c:extLst>
              <c:ext xmlns:c16="http://schemas.microsoft.com/office/drawing/2014/chart" uri="{C3380CC4-5D6E-409C-BE32-E72D297353CC}">
                <c16:uniqueId val="{00000007-EA67-4C30-A214-D68863C0D6FA}"/>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תמק'!$K$2:$K$5</c15:sqref>
                  </c15:fullRef>
                </c:ext>
              </c:extLst>
              <c:f>'חישוב תמק'!$K$3:$K$5</c:f>
              <c:numCache>
                <c:formatCode>0%</c:formatCode>
                <c:ptCount val="3"/>
                <c:pt idx="0">
                  <c:v>0.05</c:v>
                </c:pt>
                <c:pt idx="1">
                  <c:v>0.05</c:v>
                </c:pt>
                <c:pt idx="2">
                  <c:v>0.05</c:v>
                </c:pt>
              </c:numCache>
            </c:numRef>
          </c:val>
          <c:extLst>
            <c:ext xmlns:c16="http://schemas.microsoft.com/office/drawing/2014/chart" uri="{C3380CC4-5D6E-409C-BE32-E72D297353CC}">
              <c16:uniqueId val="{00000008-EA67-4C30-A214-D68863C0D6FA}"/>
            </c:ext>
          </c:extLst>
        </c:ser>
        <c:ser>
          <c:idx val="0"/>
          <c:order val="2"/>
          <c:tx>
            <c:strRef>
              <c:f>'חישוב תמק'!$J$1</c:f>
              <c:strCache>
                <c:ptCount val="1"/>
                <c:pt idx="0">
                  <c:v>M2</c:v>
                </c:pt>
              </c:strCache>
            </c:strRef>
          </c:tx>
          <c:spPr>
            <a:solidFill>
              <a:schemeClr val="bg1"/>
            </a:solidFill>
            <a:ln>
              <a:noFill/>
            </a:ln>
            <a:effectLst/>
            <a:sp3d/>
          </c:spPr>
          <c:invertIfNegative val="0"/>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תמק'!$J$2:$J$5</c15:sqref>
                  </c15:fullRef>
                </c:ext>
              </c:extLst>
              <c:f>'חישוב תמק'!$J$3:$J$5</c:f>
              <c:numCache>
                <c:formatCode>0%</c:formatCode>
                <c:ptCount val="3"/>
                <c:pt idx="0">
                  <c:v>0.02</c:v>
                </c:pt>
                <c:pt idx="1">
                  <c:v>0.02</c:v>
                </c:pt>
                <c:pt idx="2">
                  <c:v>0.02</c:v>
                </c:pt>
              </c:numCache>
            </c:numRef>
          </c:val>
          <c:extLst>
            <c:ext xmlns:c16="http://schemas.microsoft.com/office/drawing/2014/chart" uri="{C3380CC4-5D6E-409C-BE32-E72D297353CC}">
              <c16:uniqueId val="{00000009-EA67-4C30-A214-D68863C0D6FA}"/>
            </c:ext>
          </c:extLst>
        </c:ser>
        <c:ser>
          <c:idx val="7"/>
          <c:order val="3"/>
          <c:tx>
            <c:strRef>
              <c:f>'חישוב תמק'!$O$1</c:f>
              <c:strCache>
                <c:ptCount val="1"/>
                <c:pt idx="0">
                  <c:v>סיכון</c:v>
                </c:pt>
              </c:strCache>
            </c:strRef>
          </c:tx>
          <c:spPr>
            <a:solidFill>
              <a:schemeClr val="accent2">
                <a:lumMod val="60000"/>
              </a:schemeClr>
            </a:solidFill>
            <a:ln>
              <a:noFill/>
            </a:ln>
            <a:effectLst/>
            <a:sp3d/>
          </c:spPr>
          <c:invertIfNegative val="0"/>
          <c:dPt>
            <c:idx val="0"/>
            <c:invertIfNegative val="0"/>
            <c:bubble3D val="0"/>
            <c:spPr>
              <a:gradFill flip="none" rotWithShape="1">
                <a:gsLst>
                  <a:gs pos="0">
                    <a:srgbClr val="FF0000"/>
                  </a:gs>
                  <a:gs pos="100000">
                    <a:srgbClr val="FFC000"/>
                  </a:gs>
                </a:gsLst>
                <a:lin ang="0" scaled="1"/>
                <a:tileRect/>
              </a:gradFill>
              <a:ln>
                <a:noFill/>
              </a:ln>
              <a:effectLst/>
              <a:sp3d/>
            </c:spPr>
            <c:extLst>
              <c:ext xmlns:c16="http://schemas.microsoft.com/office/drawing/2014/chart" uri="{C3380CC4-5D6E-409C-BE32-E72D297353CC}">
                <c16:uniqueId val="{0000000B-EA67-4C30-A214-D68863C0D6FA}"/>
              </c:ext>
            </c:extLst>
          </c:dPt>
          <c:dPt>
            <c:idx val="1"/>
            <c:invertIfNegative val="0"/>
            <c:bubble3D val="0"/>
            <c:spPr>
              <a:gradFill>
                <a:gsLst>
                  <a:gs pos="0">
                    <a:schemeClr val="accent1">
                      <a:lumMod val="75000"/>
                    </a:schemeClr>
                  </a:gs>
                  <a:gs pos="100000">
                    <a:schemeClr val="accent5">
                      <a:lumMod val="60000"/>
                      <a:lumOff val="40000"/>
                    </a:schemeClr>
                  </a:gs>
                </a:gsLst>
                <a:lin ang="0" scaled="1"/>
              </a:gradFill>
              <a:ln>
                <a:noFill/>
              </a:ln>
              <a:effectLst/>
              <a:sp3d/>
            </c:spPr>
            <c:extLst>
              <c:ext xmlns:c16="http://schemas.microsoft.com/office/drawing/2014/chart" uri="{C3380CC4-5D6E-409C-BE32-E72D297353CC}">
                <c16:uniqueId val="{0000000D-EA67-4C30-A214-D68863C0D6FA}"/>
              </c:ext>
            </c:extLst>
          </c:dPt>
          <c:dPt>
            <c:idx val="2"/>
            <c:invertIfNegative val="0"/>
            <c:bubble3D val="0"/>
            <c:spPr>
              <a:gradFill>
                <a:gsLst>
                  <a:gs pos="0">
                    <a:schemeClr val="accent3">
                      <a:lumMod val="75000"/>
                    </a:schemeClr>
                  </a:gs>
                  <a:gs pos="100000">
                    <a:schemeClr val="accent3">
                      <a:lumMod val="60000"/>
                      <a:lumOff val="40000"/>
                    </a:schemeClr>
                  </a:gs>
                </a:gsLst>
                <a:lin ang="0" scaled="1"/>
              </a:gradFill>
              <a:ln>
                <a:noFill/>
              </a:ln>
              <a:effectLst/>
              <a:sp3d/>
            </c:spPr>
            <c:extLst>
              <c:ext xmlns:c16="http://schemas.microsoft.com/office/drawing/2014/chart" uri="{C3380CC4-5D6E-409C-BE32-E72D297353CC}">
                <c16:uniqueId val="{0000000F-EA67-4C30-A214-D68863C0D6FA}"/>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תמק'!$O$2:$O$5</c15:sqref>
                  </c15:fullRef>
                </c:ext>
              </c:extLst>
              <c:f>'חישוב תמק'!$O$3:$O$5</c:f>
              <c:numCache>
                <c:formatCode>0%</c:formatCode>
                <c:ptCount val="3"/>
                <c:pt idx="0">
                  <c:v>0.482051282051282</c:v>
                </c:pt>
                <c:pt idx="1">
                  <c:v>0.69792903590613509</c:v>
                </c:pt>
                <c:pt idx="2">
                  <c:v>0.36519193966002478</c:v>
                </c:pt>
              </c:numCache>
            </c:numRef>
          </c:val>
          <c:extLst>
            <c:ext xmlns:c15="http://schemas.microsoft.com/office/drawing/2012/chart" uri="{02D57815-91ED-43cb-92C2-25804820EDAC}">
              <c15:categoryFilterExceptions>
                <c15:categoryFilterException>
                  <c15:sqref>'חישוב תמק'!$O$2</c15:sqref>
                  <c15:spPr xmlns:c15="http://schemas.microsoft.com/office/drawing/2012/chart">
                    <a:gradFill flip="none" rotWithShape="1">
                      <a:gsLst>
                        <a:gs pos="0">
                          <a:schemeClr val="accent6">
                            <a:lumMod val="75000"/>
                          </a:schemeClr>
                        </a:gs>
                        <a:gs pos="100000">
                          <a:schemeClr val="accent6">
                            <a:lumMod val="60000"/>
                            <a:lumOff val="40000"/>
                          </a:schemeClr>
                        </a:gs>
                      </a:gsLst>
                      <a:lin ang="0" scaled="1"/>
                      <a:tileRect/>
                    </a:gradFill>
                    <a:ln>
                      <a:noFill/>
                    </a:ln>
                    <a:effectLst/>
                    <a:sp3d/>
                  </c15:spPr>
                </c15:categoryFilterException>
              </c15:categoryFilterExceptions>
            </c:ext>
            <c:ext xmlns:c16="http://schemas.microsoft.com/office/drawing/2014/chart" uri="{C3380CC4-5D6E-409C-BE32-E72D297353CC}">
              <c16:uniqueId val="{00000010-EA67-4C30-A214-D68863C0D6FA}"/>
            </c:ext>
          </c:extLst>
        </c:ser>
        <c:ser>
          <c:idx val="2"/>
          <c:order val="4"/>
          <c:tx>
            <c:strRef>
              <c:f>'חישוב תמק'!$N$1</c:f>
              <c:strCache>
                <c:ptCount val="1"/>
                <c:pt idx="0">
                  <c:v>blank</c:v>
                </c:pt>
              </c:strCache>
            </c:strRef>
          </c:tx>
          <c:spPr>
            <a:solidFill>
              <a:schemeClr val="accent3"/>
            </a:solidFill>
            <a:ln>
              <a:noFill/>
            </a:ln>
            <a:effectLst/>
            <a:sp3d/>
          </c:spPr>
          <c:invertIfNegative val="0"/>
          <c:dPt>
            <c:idx val="0"/>
            <c:invertIfNegative val="0"/>
            <c:bubble3D val="0"/>
            <c:spPr>
              <a:solidFill>
                <a:schemeClr val="accent2">
                  <a:alpha val="15000"/>
                </a:schemeClr>
              </a:solidFill>
              <a:ln>
                <a:noFill/>
              </a:ln>
              <a:effectLst/>
              <a:sp3d/>
            </c:spPr>
            <c:extLst>
              <c:ext xmlns:c16="http://schemas.microsoft.com/office/drawing/2014/chart" uri="{C3380CC4-5D6E-409C-BE32-E72D297353CC}">
                <c16:uniqueId val="{00000012-EA67-4C30-A214-D68863C0D6FA}"/>
              </c:ext>
            </c:extLst>
          </c:dPt>
          <c:dPt>
            <c:idx val="1"/>
            <c:invertIfNegative val="0"/>
            <c:bubble3D val="0"/>
            <c:spPr>
              <a:solidFill>
                <a:schemeClr val="accent1">
                  <a:lumMod val="75000"/>
                  <a:alpha val="15000"/>
                </a:schemeClr>
              </a:solidFill>
              <a:ln>
                <a:noFill/>
              </a:ln>
              <a:effectLst/>
              <a:sp3d/>
            </c:spPr>
            <c:extLst>
              <c:ext xmlns:c16="http://schemas.microsoft.com/office/drawing/2014/chart" uri="{C3380CC4-5D6E-409C-BE32-E72D297353CC}">
                <c16:uniqueId val="{00000014-EA67-4C30-A214-D68863C0D6FA}"/>
              </c:ext>
            </c:extLst>
          </c:dPt>
          <c:dPt>
            <c:idx val="2"/>
            <c:invertIfNegative val="0"/>
            <c:bubble3D val="0"/>
            <c:spPr>
              <a:solidFill>
                <a:schemeClr val="accent3">
                  <a:lumMod val="75000"/>
                  <a:alpha val="15000"/>
                </a:schemeClr>
              </a:solidFill>
              <a:ln>
                <a:noFill/>
              </a:ln>
              <a:effectLst/>
              <a:sp3d/>
            </c:spPr>
            <c:extLst>
              <c:ext xmlns:c16="http://schemas.microsoft.com/office/drawing/2014/chart" uri="{C3380CC4-5D6E-409C-BE32-E72D297353CC}">
                <c16:uniqueId val="{00000016-EA67-4C30-A214-D68863C0D6FA}"/>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תמק'!$N$2:$N$5</c15:sqref>
                  </c15:fullRef>
                </c:ext>
              </c:extLst>
              <c:f>'חישוב תמק'!$N$3:$N$5</c:f>
              <c:numCache>
                <c:formatCode>0%</c:formatCode>
                <c:ptCount val="3"/>
                <c:pt idx="0">
                  <c:v>0.517948717948718</c:v>
                </c:pt>
                <c:pt idx="1">
                  <c:v>0.30207096409386491</c:v>
                </c:pt>
                <c:pt idx="2">
                  <c:v>0.63480806033997528</c:v>
                </c:pt>
              </c:numCache>
            </c:numRef>
          </c:val>
          <c:extLst>
            <c:ext xmlns:c15="http://schemas.microsoft.com/office/drawing/2012/chart" uri="{02D57815-91ED-43cb-92C2-25804820EDAC}">
              <c15:categoryFilterExceptions>
                <c15:categoryFilterException>
                  <c15:sqref>'חישוב תמק'!$N$2</c15:sqref>
                  <c15:spPr xmlns:c15="http://schemas.microsoft.com/office/drawing/2012/chart">
                    <a:solidFill>
                      <a:schemeClr val="accent6">
                        <a:lumMod val="60000"/>
                        <a:lumOff val="40000"/>
                        <a:alpha val="15000"/>
                      </a:schemeClr>
                    </a:solidFill>
                    <a:ln>
                      <a:noFill/>
                    </a:ln>
                    <a:effectLst/>
                    <a:sp3d/>
                  </c15:spPr>
                </c15:categoryFilterException>
              </c15:categoryFilterExceptions>
            </c:ext>
            <c:ext xmlns:c16="http://schemas.microsoft.com/office/drawing/2014/chart" uri="{C3380CC4-5D6E-409C-BE32-E72D297353CC}">
              <c16:uniqueId val="{00000017-EA67-4C30-A214-D68863C0D6FA}"/>
            </c:ext>
          </c:extLst>
        </c:ser>
        <c:ser>
          <c:idx val="3"/>
          <c:order val="5"/>
          <c:tx>
            <c:strRef>
              <c:f>'חישוב תמק'!$H$1</c:f>
              <c:strCache>
                <c:ptCount val="1"/>
                <c:pt idx="0">
                  <c:v>M4</c:v>
                </c:pt>
              </c:strCache>
            </c:strRef>
          </c:tx>
          <c:spPr>
            <a:solidFill>
              <a:schemeClr val="bg1"/>
            </a:solidFill>
            <a:ln>
              <a:noFill/>
            </a:ln>
            <a:effectLst/>
            <a:sp3d/>
          </c:spPr>
          <c:invertIfNegative val="0"/>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תמק'!$H$2:$H$5</c15:sqref>
                  </c15:fullRef>
                </c:ext>
              </c:extLst>
              <c:f>'חישוב תמק'!$H$3:$H$5</c:f>
              <c:numCache>
                <c:formatCode>0%</c:formatCode>
                <c:ptCount val="3"/>
                <c:pt idx="0">
                  <c:v>0.02</c:v>
                </c:pt>
                <c:pt idx="1">
                  <c:v>0.02</c:v>
                </c:pt>
                <c:pt idx="2">
                  <c:v>0.02</c:v>
                </c:pt>
              </c:numCache>
            </c:numRef>
          </c:val>
          <c:extLst>
            <c:ext xmlns:c16="http://schemas.microsoft.com/office/drawing/2014/chart" uri="{C3380CC4-5D6E-409C-BE32-E72D297353CC}">
              <c16:uniqueId val="{00000018-EA67-4C30-A214-D68863C0D6FA}"/>
            </c:ext>
          </c:extLst>
        </c:ser>
        <c:ser>
          <c:idx val="1"/>
          <c:order val="6"/>
          <c:tx>
            <c:strRef>
              <c:f>'חישוב תמק'!$I$1</c:f>
              <c:strCache>
                <c:ptCount val="1"/>
                <c:pt idx="0">
                  <c:v>M3</c:v>
                </c:pt>
              </c:strCache>
            </c:strRef>
          </c:tx>
          <c:spPr>
            <a:gradFill>
              <a:gsLst>
                <a:gs pos="0">
                  <a:schemeClr val="accent6">
                    <a:lumMod val="75000"/>
                  </a:schemeClr>
                </a:gs>
                <a:gs pos="100000">
                  <a:schemeClr val="accent6">
                    <a:lumMod val="60000"/>
                    <a:lumOff val="40000"/>
                  </a:schemeClr>
                </a:gs>
              </a:gsLst>
              <a:lin ang="0" scaled="1"/>
            </a:gradFill>
            <a:ln>
              <a:noFill/>
            </a:ln>
            <a:effectLst/>
            <a:sp3d/>
          </c:spPr>
          <c:invertIfNegative val="0"/>
          <c:dPt>
            <c:idx val="0"/>
            <c:invertIfNegative val="0"/>
            <c:bubble3D val="0"/>
            <c:spPr>
              <a:gradFill>
                <a:gsLst>
                  <a:gs pos="0">
                    <a:srgbClr val="FF0000"/>
                  </a:gs>
                  <a:gs pos="100000">
                    <a:schemeClr val="accent4"/>
                  </a:gs>
                </a:gsLst>
                <a:lin ang="0" scaled="1"/>
              </a:gradFill>
              <a:ln>
                <a:noFill/>
              </a:ln>
              <a:effectLst/>
              <a:sp3d/>
            </c:spPr>
            <c:extLst>
              <c:ext xmlns:c16="http://schemas.microsoft.com/office/drawing/2014/chart" uri="{C3380CC4-5D6E-409C-BE32-E72D297353CC}">
                <c16:uniqueId val="{0000001A-EA67-4C30-A214-D68863C0D6FA}"/>
              </c:ext>
            </c:extLst>
          </c:dPt>
          <c:dPt>
            <c:idx val="1"/>
            <c:invertIfNegative val="0"/>
            <c:bubble3D val="0"/>
            <c:spPr>
              <a:gradFill>
                <a:gsLst>
                  <a:gs pos="0">
                    <a:schemeClr val="accent1">
                      <a:lumMod val="75000"/>
                    </a:schemeClr>
                  </a:gs>
                  <a:gs pos="100000">
                    <a:schemeClr val="accent5">
                      <a:lumMod val="60000"/>
                      <a:lumOff val="40000"/>
                    </a:schemeClr>
                  </a:gs>
                </a:gsLst>
                <a:lin ang="0" scaled="1"/>
              </a:gradFill>
              <a:ln>
                <a:noFill/>
              </a:ln>
              <a:effectLst/>
              <a:sp3d/>
            </c:spPr>
            <c:extLst>
              <c:ext xmlns:c16="http://schemas.microsoft.com/office/drawing/2014/chart" uri="{C3380CC4-5D6E-409C-BE32-E72D297353CC}">
                <c16:uniqueId val="{0000001C-EA67-4C30-A214-D68863C0D6FA}"/>
              </c:ext>
            </c:extLst>
          </c:dPt>
          <c:dPt>
            <c:idx val="2"/>
            <c:invertIfNegative val="0"/>
            <c:bubble3D val="0"/>
            <c:spPr>
              <a:gradFill>
                <a:gsLst>
                  <a:gs pos="0">
                    <a:schemeClr val="accent3">
                      <a:lumMod val="75000"/>
                    </a:schemeClr>
                  </a:gs>
                  <a:gs pos="100000">
                    <a:schemeClr val="accent3">
                      <a:lumMod val="60000"/>
                      <a:lumOff val="40000"/>
                    </a:schemeClr>
                  </a:gs>
                </a:gsLst>
                <a:lin ang="0" scaled="1"/>
              </a:gradFill>
              <a:ln>
                <a:noFill/>
              </a:ln>
              <a:effectLst/>
              <a:sp3d/>
            </c:spPr>
            <c:extLst>
              <c:ext xmlns:c16="http://schemas.microsoft.com/office/drawing/2014/chart" uri="{C3380CC4-5D6E-409C-BE32-E72D297353CC}">
                <c16:uniqueId val="{0000001E-EA67-4C30-A214-D68863C0D6FA}"/>
              </c:ext>
            </c:extLst>
          </c:dPt>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תמק'!$I$2:$I$5</c15:sqref>
                  </c15:fullRef>
                </c:ext>
              </c:extLst>
              <c:f>'חישוב תמק'!$I$3:$I$5</c:f>
              <c:numCache>
                <c:formatCode>0%</c:formatCode>
                <c:ptCount val="3"/>
                <c:pt idx="0">
                  <c:v>0.05</c:v>
                </c:pt>
                <c:pt idx="1">
                  <c:v>0.05</c:v>
                </c:pt>
                <c:pt idx="2">
                  <c:v>0.05</c:v>
                </c:pt>
              </c:numCache>
            </c:numRef>
          </c:val>
          <c:extLst>
            <c:ext xmlns:c16="http://schemas.microsoft.com/office/drawing/2014/chart" uri="{C3380CC4-5D6E-409C-BE32-E72D297353CC}">
              <c16:uniqueId val="{0000001F-EA67-4C30-A214-D68863C0D6FA}"/>
            </c:ext>
          </c:extLst>
        </c:ser>
        <c:ser>
          <c:idx val="4"/>
          <c:order val="7"/>
          <c:tx>
            <c:strRef>
              <c:f>'חישוב תמק'!$L$1</c:f>
              <c:strCache>
                <c:ptCount val="1"/>
                <c:pt idx="0">
                  <c:v>upper</c:v>
                </c:pt>
              </c:strCache>
            </c:strRef>
          </c:tx>
          <c:spPr>
            <a:solidFill>
              <a:schemeClr val="bg1"/>
            </a:solidFill>
            <a:ln>
              <a:noFill/>
            </a:ln>
            <a:effectLst/>
            <a:sp3d/>
          </c:spPr>
          <c:invertIfNegative val="0"/>
          <c:dLbls>
            <c:dLbl>
              <c:idx val="0"/>
              <c:layout>
                <c:manualLayout>
                  <c:x val="0"/>
                  <c:y val="-4.5819014891180258E-3"/>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E36C0A"/>
                        </a:solidFill>
                        <a:latin typeface="Assistant" pitchFamily="2" charset="-79"/>
                        <a:ea typeface="+mn-ea"/>
                        <a:cs typeface="Assistant" pitchFamily="2" charset="-79"/>
                      </a:defRPr>
                    </a:pPr>
                    <a:fld id="{09116B90-AD9A-48AB-A78E-812B3D88D90A}" type="CELLRANGE">
                      <a:rPr lang="he-IL"/>
                      <a:pPr>
                        <a:defRPr b="1">
                          <a:solidFill>
                            <a:srgbClr val="E36C0A"/>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36C0A"/>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EA67-4C30-A214-D68863C0D6FA}"/>
                </c:ext>
              </c:extLst>
            </c:dLbl>
            <c:dLbl>
              <c:idx val="1"/>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Assistant" pitchFamily="2" charset="-79"/>
                        <a:ea typeface="+mn-ea"/>
                        <a:cs typeface="Assistant" pitchFamily="2" charset="-79"/>
                      </a:defRPr>
                    </a:pPr>
                    <a:fld id="{36E36B20-6798-4852-B087-83340587DEA7}" type="CELLRANGE">
                      <a:rPr lang="he-IL"/>
                      <a:pPr>
                        <a:defRPr b="1">
                          <a:solidFill>
                            <a:schemeClr val="accent1"/>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EA67-4C30-A214-D68863C0D6FA}"/>
                </c:ext>
              </c:extLst>
            </c:dLbl>
            <c:dLbl>
              <c:idx val="2"/>
              <c:tx>
                <c:rich>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Assistant" pitchFamily="2" charset="-79"/>
                        <a:ea typeface="+mn-ea"/>
                        <a:cs typeface="Assistant" pitchFamily="2" charset="-79"/>
                      </a:defRPr>
                    </a:pPr>
                    <a:fld id="{51B61091-EB5D-483B-9186-80A56EFFBD34}" type="CELLRANGE">
                      <a:rPr lang="he-IL"/>
                      <a:pPr>
                        <a:defRPr b="1">
                          <a:solidFill>
                            <a:schemeClr val="bg1">
                              <a:lumMod val="50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EA67-4C30-A214-D68863C0D6F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תמק'!$L$2:$L$5</c15:sqref>
                  </c15:fullRef>
                </c:ext>
              </c:extLst>
              <c:f>'חישוב תמק'!$L$3:$L$5</c:f>
              <c:numCache>
                <c:formatCode>0%</c:formatCode>
                <c:ptCount val="3"/>
                <c:pt idx="0">
                  <c:v>0.15</c:v>
                </c:pt>
                <c:pt idx="1">
                  <c:v>0.15</c:v>
                </c:pt>
                <c:pt idx="2">
                  <c:v>0.15</c:v>
                </c:pt>
              </c:numCache>
            </c:numRef>
          </c:val>
          <c:extLst>
            <c:ext xmlns:c15="http://schemas.microsoft.com/office/drawing/2012/chart" uri="{02D57815-91ED-43cb-92C2-25804820EDAC}">
              <c15:datalabelsRange>
                <c15:f>'חישוב תמק'!$P$2:$P$5</c15:f>
                <c15:dlblRangeCache>
                  <c:ptCount val="4"/>
                  <c:pt idx="0">
                    <c:v>סף רגישות כולל</c:v>
                  </c:pt>
                  <c:pt idx="1">
                    <c:v>כשירות ארגונית</c:v>
                  </c:pt>
                  <c:pt idx="2">
                    <c:v>פרופיל מערכת</c:v>
                  </c:pt>
                  <c:pt idx="3">
                    <c:v>שרשרת אספקה</c:v>
                  </c:pt>
                </c15:dlblRangeCache>
              </c15:datalabelsRange>
            </c:ext>
            <c:ext xmlns:c15="http://schemas.microsoft.com/office/drawing/2012/chart" uri="{02D57815-91ED-43cb-92C2-25804820EDAC}">
              <c15:categoryFilterExceptions>
                <c15:categoryFilterException>
                  <c15:sqref>'חישוב תמק'!$L$2</c15:sqref>
                  <c15:dLbl>
                    <c:idx val="-1"/>
                    <c:delete val="1"/>
                    <c:extLst>
                      <c:ext uri="{CE6537A1-D6FC-4f65-9D91-7224C49458BB}"/>
                      <c:ext xmlns:c16="http://schemas.microsoft.com/office/drawing/2014/chart" uri="{C3380CC4-5D6E-409C-BE32-E72D297353CC}">
                        <c16:uniqueId val="{00000019-4F1C-4ABE-93AA-D025A0C49D39}"/>
                      </c:ext>
                    </c:extLst>
                  </c15:dLbl>
                </c15:categoryFilterException>
              </c15:categoryFilterExceptions>
            </c:ext>
            <c:ext xmlns:c16="http://schemas.microsoft.com/office/drawing/2014/chart" uri="{C3380CC4-5D6E-409C-BE32-E72D297353CC}">
              <c16:uniqueId val="{00000023-EA67-4C30-A214-D68863C0D6FA}"/>
            </c:ext>
          </c:extLst>
        </c:ser>
        <c:dLbls>
          <c:showLegendKey val="0"/>
          <c:showVal val="0"/>
          <c:showCatName val="0"/>
          <c:showSerName val="0"/>
          <c:showPercent val="0"/>
          <c:showBubbleSize val="0"/>
        </c:dLbls>
        <c:gapWidth val="45"/>
        <c:gapDepth val="0"/>
        <c:shape val="cylinder"/>
        <c:axId val="1181071376"/>
        <c:axId val="1371848336"/>
        <c:axId val="0"/>
      </c:bar3DChart>
      <c:catAx>
        <c:axId val="1181071376"/>
        <c:scaling>
          <c:orientation val="minMax"/>
        </c:scaling>
        <c:delete val="1"/>
        <c:axPos val="b"/>
        <c:numFmt formatCode="General" sourceLinked="1"/>
        <c:majorTickMark val="none"/>
        <c:minorTickMark val="none"/>
        <c:tickLblPos val="nextTo"/>
        <c:crossAx val="1371848336"/>
        <c:crosses val="autoZero"/>
        <c:auto val="1"/>
        <c:lblAlgn val="ctr"/>
        <c:lblOffset val="100"/>
        <c:noMultiLvlLbl val="0"/>
      </c:catAx>
      <c:valAx>
        <c:axId val="1371848336"/>
        <c:scaling>
          <c:orientation val="minMax"/>
        </c:scaling>
        <c:delete val="1"/>
        <c:axPos val="l"/>
        <c:numFmt formatCode="0%" sourceLinked="1"/>
        <c:majorTickMark val="none"/>
        <c:minorTickMark val="none"/>
        <c:tickLblPos val="nextTo"/>
        <c:crossAx val="118107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6"/>
          <c:order val="0"/>
          <c:tx>
            <c:strRef>
              <c:f>'חישוב תמק'!$M$1</c:f>
              <c:strCache>
                <c:ptCount val="1"/>
                <c:pt idx="0">
                  <c:v>lower</c:v>
                </c:pt>
              </c:strCache>
            </c:strRef>
          </c:tx>
          <c:spPr>
            <a:solidFill>
              <a:schemeClr val="bg1"/>
            </a:solidFill>
            <a:ln>
              <a:noFill/>
            </a:ln>
            <a:effectLst>
              <a:outerShdw blurRad="63500" sx="102000" sy="102000" algn="ctr" rotWithShape="0">
                <a:prstClr val="black">
                  <a:alpha val="40000"/>
                </a:prstClr>
              </a:outerShdw>
            </a:effectLst>
            <a:sp3d/>
          </c:spPr>
          <c:invertIfNegative val="0"/>
          <c:dLbls>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Assistant" pitchFamily="2" charset="-79"/>
                        <a:ea typeface="+mn-ea"/>
                        <a:cs typeface="Assistant" pitchFamily="2" charset="-79"/>
                      </a:defRPr>
                    </a:pPr>
                    <a:fld id="{31881702-C85E-4C01-8131-D14F94A4765F}" type="CELLRANGE">
                      <a:rPr lang="en-US"/>
                      <a:pPr>
                        <a:defRPr sz="1400" b="1">
                          <a:solidFill>
                            <a:schemeClr val="accent6">
                              <a:lumMod val="75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D4F-4AF7-8C61-CA7196CA0791}"/>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תמק'!$M$2:$M$5</c15:sqref>
                  </c15:fullRef>
                </c:ext>
              </c:extLst>
              <c:f>'חישוב תמק'!$M$2</c:f>
              <c:numCache>
                <c:formatCode>0%</c:formatCode>
                <c:ptCount val="1"/>
                <c:pt idx="0">
                  <c:v>0.2</c:v>
                </c:pt>
              </c:numCache>
            </c:numRef>
          </c:val>
          <c:extLst>
            <c:ext xmlns:c15="http://schemas.microsoft.com/office/drawing/2012/chart" uri="{02D57815-91ED-43cb-92C2-25804820EDAC}">
              <c15:datalabelsRange>
                <c15:f>'חישוב תמק'!$O$2:$O$5</c15:f>
                <c15:dlblRangeCache>
                  <c:ptCount val="4"/>
                  <c:pt idx="0">
                    <c:v>75%</c:v>
                  </c:pt>
                  <c:pt idx="1">
                    <c:v>48%</c:v>
                  </c:pt>
                  <c:pt idx="2">
                    <c:v>70%</c:v>
                  </c:pt>
                  <c:pt idx="3">
                    <c:v>37%</c:v>
                  </c:pt>
                </c15:dlblRangeCache>
              </c15:datalabelsRange>
            </c:ext>
            <c:ext xmlns:c15="http://schemas.microsoft.com/office/drawing/2012/chart" uri="{02D57815-91ED-43cb-92C2-25804820EDAC}">
              <c15:categoryFilterExceptions>
                <c15:categoryFilterException>
                  <c15:sqref>'חישוב תמק'!$M$3</c15:sqref>
                  <c15:dLbl>
                    <c:idx val="0"/>
                    <c:delete val="1"/>
                    <c:extLst>
                      <c:ext uri="{CE6537A1-D6FC-4f65-9D91-7224C49458BB}"/>
                      <c:ext xmlns:c16="http://schemas.microsoft.com/office/drawing/2014/chart" uri="{C3380CC4-5D6E-409C-BE32-E72D297353CC}">
                        <c16:uniqueId val="{00000006-A201-4835-A531-BA606010C31A}"/>
                      </c:ext>
                    </c:extLst>
                  </c15:dLbl>
                </c15:categoryFilterException>
                <c15:categoryFilterException>
                  <c15:sqref>'חישוב תמק'!$M$4</c15:sqref>
                  <c15:dLbl>
                    <c:idx val="0"/>
                    <c:delete val="1"/>
                    <c:extLst>
                      <c:ext uri="{CE6537A1-D6FC-4f65-9D91-7224C49458BB}"/>
                      <c:ext xmlns:c16="http://schemas.microsoft.com/office/drawing/2014/chart" uri="{C3380CC4-5D6E-409C-BE32-E72D297353CC}">
                        <c16:uniqueId val="{00000007-A201-4835-A531-BA606010C31A}"/>
                      </c:ext>
                    </c:extLst>
                  </c15:dLbl>
                </c15:categoryFilterException>
                <c15:categoryFilterException>
                  <c15:sqref>'חישוב תמק'!$M$5</c15:sqref>
                  <c15:dLbl>
                    <c:idx val="0"/>
                    <c:layout>
                      <c:manualLayout>
                        <c:x val="8.3333333333333332E-3"/>
                        <c:y val="0"/>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bg1">
                                  <a:lumMod val="50000"/>
                                </a:schemeClr>
                              </a:solidFill>
                              <a:latin typeface="Assistant" pitchFamily="2" charset="-79"/>
                              <a:ea typeface="+mn-ea"/>
                              <a:cs typeface="Assistant" pitchFamily="2" charset="-79"/>
                            </a:defRPr>
                          </a:pPr>
                          <a:fld id="{9C33389C-E5A9-4E02-AD08-05B72B6A901E}" type="CELLRANGE">
                            <a:rPr lang="en-US" sz="1400">
                              <a:solidFill>
                                <a:schemeClr val="bg1">
                                  <a:lumMod val="50000"/>
                                </a:schemeClr>
                              </a:solidFill>
                            </a:rPr>
                            <a:pPr>
                              <a:defRPr sz="1400" b="1">
                                <a:solidFill>
                                  <a:schemeClr val="bg1">
                                    <a:lumMod val="50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50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uri="{CE6537A1-D6FC-4f65-9D91-7224C49458BB}">
                        <c15:dlblFieldTable/>
                        <c15:showDataLabelsRange val="1"/>
                      </c:ext>
                      <c:ext xmlns:c16="http://schemas.microsoft.com/office/drawing/2014/chart" uri="{C3380CC4-5D6E-409C-BE32-E72D297353CC}">
                        <c16:uniqueId val="{00000008-A201-4835-A531-BA606010C31A}"/>
                      </c:ext>
                    </c:extLst>
                  </c15:dLbl>
                </c15:categoryFilterException>
              </c15:categoryFilterExceptions>
            </c:ext>
            <c:ext xmlns:c16="http://schemas.microsoft.com/office/drawing/2014/chart" uri="{C3380CC4-5D6E-409C-BE32-E72D297353CC}">
              <c16:uniqueId val="{00000001-0D4F-4AF7-8C61-CA7196CA0791}"/>
            </c:ext>
          </c:extLst>
        </c:ser>
        <c:ser>
          <c:idx val="5"/>
          <c:order val="1"/>
          <c:tx>
            <c:strRef>
              <c:f>'חישוב תמק'!$K$1</c:f>
              <c:strCache>
                <c:ptCount val="1"/>
                <c:pt idx="0">
                  <c:v>M1</c:v>
                </c:pt>
              </c:strCache>
            </c:strRef>
          </c:tx>
          <c:spPr>
            <a:gradFill>
              <a:gsLst>
                <a:gs pos="0">
                  <a:schemeClr val="accent3">
                    <a:lumMod val="75000"/>
                  </a:schemeClr>
                </a:gs>
                <a:gs pos="100000">
                  <a:schemeClr val="accent3">
                    <a:lumMod val="40000"/>
                    <a:lumOff val="60000"/>
                  </a:schemeClr>
                </a:gs>
              </a:gsLst>
              <a:lin ang="0" scaled="1"/>
            </a:gradFill>
            <a:ln>
              <a:noFill/>
            </a:ln>
            <a:effectLst/>
            <a:sp3d/>
          </c:spPr>
          <c:invertIfNegative val="0"/>
          <c:dPt>
            <c:idx val="0"/>
            <c:invertIfNegative val="0"/>
            <c:bubble3D val="0"/>
            <c:spPr>
              <a:gradFill>
                <a:gsLst>
                  <a:gs pos="0">
                    <a:schemeClr val="accent6">
                      <a:lumMod val="75000"/>
                    </a:schemeClr>
                  </a:gs>
                  <a:gs pos="100000">
                    <a:schemeClr val="accent6">
                      <a:lumMod val="40000"/>
                      <a:lumOff val="60000"/>
                    </a:schemeClr>
                  </a:gs>
                </a:gsLst>
                <a:lin ang="0" scaled="1"/>
              </a:gradFill>
              <a:ln>
                <a:noFill/>
              </a:ln>
              <a:effectLst/>
              <a:sp3d/>
            </c:spPr>
            <c:extLst>
              <c:ext xmlns:c16="http://schemas.microsoft.com/office/drawing/2014/chart" uri="{C3380CC4-5D6E-409C-BE32-E72D297353CC}">
                <c16:uniqueId val="{00000003-0D4F-4AF7-8C61-CA7196CA0791}"/>
              </c:ext>
            </c:extLst>
          </c:dPt>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תמק'!$K$2:$K$5</c15:sqref>
                  </c15:fullRef>
                </c:ext>
              </c:extLst>
              <c:f>'חישוב תמק'!$K$2</c:f>
              <c:numCache>
                <c:formatCode>0%</c:formatCode>
                <c:ptCount val="1"/>
                <c:pt idx="0">
                  <c:v>0.05</c:v>
                </c:pt>
              </c:numCache>
            </c:numRef>
          </c:val>
          <c:extLst>
            <c:ext xmlns:c16="http://schemas.microsoft.com/office/drawing/2014/chart" uri="{C3380CC4-5D6E-409C-BE32-E72D297353CC}">
              <c16:uniqueId val="{00000004-0D4F-4AF7-8C61-CA7196CA0791}"/>
            </c:ext>
          </c:extLst>
        </c:ser>
        <c:ser>
          <c:idx val="0"/>
          <c:order val="2"/>
          <c:tx>
            <c:strRef>
              <c:f>'חישוב תמק'!$J$1</c:f>
              <c:strCache>
                <c:ptCount val="1"/>
                <c:pt idx="0">
                  <c:v>M2</c:v>
                </c:pt>
              </c:strCache>
            </c:strRef>
          </c:tx>
          <c:spPr>
            <a:solidFill>
              <a:schemeClr val="bg1"/>
            </a:solidFill>
            <a:ln>
              <a:noFill/>
            </a:ln>
            <a:effectLst/>
            <a:sp3d/>
          </c:spPr>
          <c:invertIfNegative val="0"/>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תמק'!$J$2:$J$5</c15:sqref>
                  </c15:fullRef>
                </c:ext>
              </c:extLst>
              <c:f>'חישוב תמק'!$J$2</c:f>
              <c:numCache>
                <c:formatCode>0%</c:formatCode>
                <c:ptCount val="1"/>
                <c:pt idx="0">
                  <c:v>0.02</c:v>
                </c:pt>
              </c:numCache>
            </c:numRef>
          </c:val>
          <c:extLst>
            <c:ext xmlns:c16="http://schemas.microsoft.com/office/drawing/2014/chart" uri="{C3380CC4-5D6E-409C-BE32-E72D297353CC}">
              <c16:uniqueId val="{00000005-0D4F-4AF7-8C61-CA7196CA0791}"/>
            </c:ext>
          </c:extLst>
        </c:ser>
        <c:ser>
          <c:idx val="7"/>
          <c:order val="3"/>
          <c:tx>
            <c:strRef>
              <c:f>'חישוב תמק'!$O$1</c:f>
              <c:strCache>
                <c:ptCount val="1"/>
                <c:pt idx="0">
                  <c:v>סיכון</c:v>
                </c:pt>
              </c:strCache>
            </c:strRef>
          </c:tx>
          <c:spPr>
            <a:solidFill>
              <a:schemeClr val="accent2">
                <a:lumMod val="60000"/>
              </a:schemeClr>
            </a:solidFill>
            <a:ln>
              <a:noFill/>
            </a:ln>
            <a:effectLst/>
            <a:sp3d/>
          </c:spPr>
          <c:invertIfNegative val="0"/>
          <c:dPt>
            <c:idx val="0"/>
            <c:invertIfNegative val="0"/>
            <c:bubble3D val="0"/>
            <c:spPr>
              <a:gradFill flip="none" rotWithShape="1">
                <a:gsLst>
                  <a:gs pos="0">
                    <a:schemeClr val="accent6">
                      <a:lumMod val="75000"/>
                    </a:schemeClr>
                  </a:gs>
                  <a:gs pos="100000">
                    <a:schemeClr val="accent6">
                      <a:lumMod val="60000"/>
                      <a:lumOff val="40000"/>
                    </a:schemeClr>
                  </a:gs>
                </a:gsLst>
                <a:lin ang="0" scaled="1"/>
                <a:tileRect/>
              </a:gradFill>
              <a:ln>
                <a:noFill/>
              </a:ln>
              <a:effectLst/>
              <a:sp3d/>
            </c:spPr>
            <c:extLst>
              <c:ext xmlns:c16="http://schemas.microsoft.com/office/drawing/2014/chart" uri="{C3380CC4-5D6E-409C-BE32-E72D297353CC}">
                <c16:uniqueId val="{00000007-0D4F-4AF7-8C61-CA7196CA0791}"/>
              </c:ext>
            </c:extLst>
          </c:dPt>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תמק'!$O$2:$O$5</c15:sqref>
                  </c15:fullRef>
                </c:ext>
              </c:extLst>
              <c:f>'חישוב תמק'!$O$2</c:f>
              <c:numCache>
                <c:formatCode>0%</c:formatCode>
                <c:ptCount val="1"/>
                <c:pt idx="0">
                  <c:v>0.75</c:v>
                </c:pt>
              </c:numCache>
            </c:numRef>
          </c:val>
          <c:extLst>
            <c:ext xmlns:c15="http://schemas.microsoft.com/office/drawing/2012/chart" uri="{02D57815-91ED-43cb-92C2-25804820EDAC}">
              <c15:categoryFilterExceptions>
                <c15:categoryFilterException>
                  <c15:sqref>'חישוב תמק'!$O$3</c15:sqref>
                  <c15:spPr xmlns:c15="http://schemas.microsoft.com/office/drawing/2012/chart">
                    <a:gradFill flip="none" rotWithShape="1">
                      <a:gsLst>
                        <a:gs pos="0">
                          <a:srgbClr val="FF0000"/>
                        </a:gs>
                        <a:gs pos="100000">
                          <a:srgbClr val="FFC000"/>
                        </a:gs>
                      </a:gsLst>
                      <a:lin ang="0" scaled="1"/>
                      <a:tileRect/>
                    </a:gradFill>
                    <a:ln>
                      <a:noFill/>
                    </a:ln>
                    <a:effectLst/>
                    <a:sp3d/>
                  </c15:spPr>
                  <c15:invertIfNegative val="0"/>
                  <c15:bubble3D val="0"/>
                </c15:categoryFilterException>
                <c15:categoryFilterException>
                  <c15:sqref>'חישוב תמק'!$O$4</c15:sqref>
                  <c15:spPr xmlns:c15="http://schemas.microsoft.com/office/drawing/2012/chart">
                    <a:gradFill>
                      <a:gsLst>
                        <a:gs pos="0">
                          <a:schemeClr val="accent1">
                            <a:lumMod val="75000"/>
                          </a:schemeClr>
                        </a:gs>
                        <a:gs pos="100000">
                          <a:schemeClr val="accent5">
                            <a:lumMod val="60000"/>
                            <a:lumOff val="40000"/>
                          </a:schemeClr>
                        </a:gs>
                      </a:gsLst>
                      <a:lin ang="0" scaled="1"/>
                    </a:gradFill>
                    <a:ln>
                      <a:noFill/>
                    </a:ln>
                    <a:effectLst/>
                    <a:sp3d/>
                  </c15:spPr>
                  <c15:invertIfNegative val="0"/>
                  <c15:bubble3D val="0"/>
                </c15:categoryFilterException>
                <c15:categoryFilterException>
                  <c15:sqref>'חישוב תמק'!$O$5</c15:sqref>
                  <c15:spPr xmlns:c15="http://schemas.microsoft.com/office/drawing/2012/chart">
                    <a:gradFill>
                      <a:gsLst>
                        <a:gs pos="0">
                          <a:schemeClr val="accent3">
                            <a:lumMod val="75000"/>
                          </a:schemeClr>
                        </a:gs>
                        <a:gs pos="100000">
                          <a:schemeClr val="accent3">
                            <a:lumMod val="60000"/>
                            <a:lumOff val="40000"/>
                          </a:schemeClr>
                        </a:gs>
                      </a:gsLst>
                      <a:lin ang="0" scaled="1"/>
                    </a:gradFill>
                    <a:ln>
                      <a:noFill/>
                    </a:ln>
                    <a:effectLst/>
                    <a:sp3d/>
                  </c15:spPr>
                  <c15:invertIfNegative val="0"/>
                  <c15:bubble3D val="0"/>
                </c15:categoryFilterException>
              </c15:categoryFilterExceptions>
            </c:ext>
            <c:ext xmlns:c16="http://schemas.microsoft.com/office/drawing/2014/chart" uri="{C3380CC4-5D6E-409C-BE32-E72D297353CC}">
              <c16:uniqueId val="{00000008-0D4F-4AF7-8C61-CA7196CA0791}"/>
            </c:ext>
          </c:extLst>
        </c:ser>
        <c:ser>
          <c:idx val="2"/>
          <c:order val="4"/>
          <c:tx>
            <c:strRef>
              <c:f>'חישוב תמק'!$N$1</c:f>
              <c:strCache>
                <c:ptCount val="1"/>
                <c:pt idx="0">
                  <c:v>blank</c:v>
                </c:pt>
              </c:strCache>
            </c:strRef>
          </c:tx>
          <c:spPr>
            <a:solidFill>
              <a:schemeClr val="accent3"/>
            </a:solidFill>
            <a:ln>
              <a:noFill/>
            </a:ln>
            <a:effectLst/>
            <a:sp3d/>
          </c:spPr>
          <c:invertIfNegative val="0"/>
          <c:dPt>
            <c:idx val="0"/>
            <c:invertIfNegative val="0"/>
            <c:bubble3D val="0"/>
            <c:spPr>
              <a:solidFill>
                <a:schemeClr val="accent6">
                  <a:lumMod val="60000"/>
                  <a:lumOff val="40000"/>
                  <a:alpha val="15000"/>
                </a:schemeClr>
              </a:solidFill>
              <a:ln>
                <a:noFill/>
              </a:ln>
              <a:effectLst/>
              <a:sp3d/>
            </c:spPr>
            <c:extLst>
              <c:ext xmlns:c16="http://schemas.microsoft.com/office/drawing/2014/chart" uri="{C3380CC4-5D6E-409C-BE32-E72D297353CC}">
                <c16:uniqueId val="{0000000A-0D4F-4AF7-8C61-CA7196CA0791}"/>
              </c:ext>
            </c:extLst>
          </c:dPt>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תמק'!$N$2:$N$5</c15:sqref>
                  </c15:fullRef>
                </c:ext>
              </c:extLst>
              <c:f>'חישוב תמק'!$N$2</c:f>
              <c:numCache>
                <c:formatCode>0%</c:formatCode>
                <c:ptCount val="1"/>
                <c:pt idx="0">
                  <c:v>0.25</c:v>
                </c:pt>
              </c:numCache>
            </c:numRef>
          </c:val>
          <c:extLst>
            <c:ext xmlns:c15="http://schemas.microsoft.com/office/drawing/2012/chart" uri="{02D57815-91ED-43cb-92C2-25804820EDAC}">
              <c15:categoryFilterExceptions>
                <c15:categoryFilterException>
                  <c15:sqref>'חישוב תמק'!$N$3</c15:sqref>
                  <c15:spPr xmlns:c15="http://schemas.microsoft.com/office/drawing/2012/chart">
                    <a:solidFill>
                      <a:schemeClr val="accent2">
                        <a:alpha val="15000"/>
                      </a:schemeClr>
                    </a:solidFill>
                    <a:ln>
                      <a:noFill/>
                    </a:ln>
                    <a:effectLst/>
                    <a:sp3d/>
                  </c15:spPr>
                  <c15:invertIfNegative val="0"/>
                  <c15:bubble3D val="0"/>
                </c15:categoryFilterException>
                <c15:categoryFilterException>
                  <c15:sqref>'חישוב תמק'!$N$4</c15:sqref>
                  <c15:spPr xmlns:c15="http://schemas.microsoft.com/office/drawing/2012/chart">
                    <a:solidFill>
                      <a:schemeClr val="accent1">
                        <a:lumMod val="75000"/>
                        <a:alpha val="15000"/>
                      </a:schemeClr>
                    </a:solidFill>
                    <a:ln>
                      <a:noFill/>
                    </a:ln>
                    <a:effectLst/>
                    <a:sp3d/>
                  </c15:spPr>
                  <c15:invertIfNegative val="0"/>
                  <c15:bubble3D val="0"/>
                </c15:categoryFilterException>
                <c15:categoryFilterException>
                  <c15:sqref>'חישוב תמק'!$N$5</c15:sqref>
                  <c15:spPr xmlns:c15="http://schemas.microsoft.com/office/drawing/2012/chart">
                    <a:solidFill>
                      <a:schemeClr val="accent3">
                        <a:lumMod val="75000"/>
                        <a:alpha val="15000"/>
                      </a:schemeClr>
                    </a:solidFill>
                    <a:ln>
                      <a:noFill/>
                    </a:ln>
                    <a:effectLst/>
                    <a:sp3d/>
                  </c15:spPr>
                  <c15:invertIfNegative val="0"/>
                  <c15:bubble3D val="0"/>
                </c15:categoryFilterException>
              </c15:categoryFilterExceptions>
            </c:ext>
            <c:ext xmlns:c16="http://schemas.microsoft.com/office/drawing/2014/chart" uri="{C3380CC4-5D6E-409C-BE32-E72D297353CC}">
              <c16:uniqueId val="{0000000B-0D4F-4AF7-8C61-CA7196CA0791}"/>
            </c:ext>
          </c:extLst>
        </c:ser>
        <c:ser>
          <c:idx val="3"/>
          <c:order val="5"/>
          <c:tx>
            <c:strRef>
              <c:f>'חישוב תמק'!$H$1</c:f>
              <c:strCache>
                <c:ptCount val="1"/>
                <c:pt idx="0">
                  <c:v>M4</c:v>
                </c:pt>
              </c:strCache>
            </c:strRef>
          </c:tx>
          <c:spPr>
            <a:solidFill>
              <a:schemeClr val="bg1"/>
            </a:solidFill>
            <a:ln>
              <a:noFill/>
            </a:ln>
            <a:effectLst/>
            <a:sp3d/>
          </c:spPr>
          <c:invertIfNegative val="0"/>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תמק'!$H$2:$H$5</c15:sqref>
                  </c15:fullRef>
                </c:ext>
              </c:extLst>
              <c:f>'חישוב תמק'!$H$2</c:f>
              <c:numCache>
                <c:formatCode>0%</c:formatCode>
                <c:ptCount val="1"/>
                <c:pt idx="0">
                  <c:v>0.02</c:v>
                </c:pt>
              </c:numCache>
            </c:numRef>
          </c:val>
          <c:extLst>
            <c:ext xmlns:c16="http://schemas.microsoft.com/office/drawing/2014/chart" uri="{C3380CC4-5D6E-409C-BE32-E72D297353CC}">
              <c16:uniqueId val="{0000000C-0D4F-4AF7-8C61-CA7196CA0791}"/>
            </c:ext>
          </c:extLst>
        </c:ser>
        <c:ser>
          <c:idx val="1"/>
          <c:order val="6"/>
          <c:tx>
            <c:strRef>
              <c:f>'חישוב תמק'!$I$1</c:f>
              <c:strCache>
                <c:ptCount val="1"/>
                <c:pt idx="0">
                  <c:v>M3</c:v>
                </c:pt>
              </c:strCache>
            </c:strRef>
          </c:tx>
          <c:spPr>
            <a:gradFill>
              <a:gsLst>
                <a:gs pos="0">
                  <a:schemeClr val="accent6">
                    <a:lumMod val="75000"/>
                  </a:schemeClr>
                </a:gs>
                <a:gs pos="100000">
                  <a:schemeClr val="accent6">
                    <a:lumMod val="60000"/>
                    <a:lumOff val="40000"/>
                  </a:schemeClr>
                </a:gs>
              </a:gsLst>
              <a:lin ang="0" scaled="1"/>
            </a:gradFill>
            <a:ln>
              <a:noFill/>
            </a:ln>
            <a:effectLst/>
            <a:sp3d/>
          </c:spPr>
          <c:invertIfNegative val="0"/>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תמק'!$I$2:$I$5</c15:sqref>
                  </c15:fullRef>
                </c:ext>
              </c:extLst>
              <c:f>'חישוב תמק'!$I$2</c:f>
              <c:numCache>
                <c:formatCode>0%</c:formatCode>
                <c:ptCount val="1"/>
                <c:pt idx="0">
                  <c:v>0.05</c:v>
                </c:pt>
              </c:numCache>
            </c:numRef>
          </c:val>
          <c:extLst>
            <c:ext xmlns:c15="http://schemas.microsoft.com/office/drawing/2012/chart" uri="{02D57815-91ED-43cb-92C2-25804820EDAC}">
              <c15:categoryFilterExceptions>
                <c15:categoryFilterException>
                  <c15:sqref>'חישוב תמק'!$I$3</c15:sqref>
                  <c15:spPr xmlns:c15="http://schemas.microsoft.com/office/drawing/2012/chart">
                    <a:gradFill>
                      <a:gsLst>
                        <a:gs pos="0">
                          <a:srgbClr val="FF0000"/>
                        </a:gs>
                        <a:gs pos="100000">
                          <a:schemeClr val="accent4"/>
                        </a:gs>
                      </a:gsLst>
                      <a:lin ang="0" scaled="1"/>
                    </a:gradFill>
                    <a:ln>
                      <a:noFill/>
                    </a:ln>
                    <a:effectLst/>
                    <a:sp3d/>
                  </c15:spPr>
                  <c15:invertIfNegative val="0"/>
                  <c15:bubble3D val="0"/>
                </c15:categoryFilterException>
                <c15:categoryFilterException>
                  <c15:sqref>'חישוב תמק'!$I$4</c15:sqref>
                  <c15:spPr xmlns:c15="http://schemas.microsoft.com/office/drawing/2012/chart">
                    <a:gradFill>
                      <a:gsLst>
                        <a:gs pos="0">
                          <a:schemeClr val="accent1">
                            <a:lumMod val="75000"/>
                          </a:schemeClr>
                        </a:gs>
                        <a:gs pos="100000">
                          <a:schemeClr val="accent5">
                            <a:lumMod val="60000"/>
                            <a:lumOff val="40000"/>
                          </a:schemeClr>
                        </a:gs>
                      </a:gsLst>
                      <a:lin ang="0" scaled="1"/>
                    </a:gradFill>
                    <a:ln>
                      <a:noFill/>
                    </a:ln>
                    <a:effectLst/>
                    <a:sp3d/>
                  </c15:spPr>
                  <c15:invertIfNegative val="0"/>
                  <c15:bubble3D val="0"/>
                </c15:categoryFilterException>
                <c15:categoryFilterException>
                  <c15:sqref>'חישוב תמק'!$I$5</c15:sqref>
                  <c15:spPr xmlns:c15="http://schemas.microsoft.com/office/drawing/2012/chart">
                    <a:gradFill>
                      <a:gsLst>
                        <a:gs pos="0">
                          <a:schemeClr val="accent3">
                            <a:lumMod val="75000"/>
                          </a:schemeClr>
                        </a:gs>
                        <a:gs pos="100000">
                          <a:schemeClr val="accent3">
                            <a:lumMod val="60000"/>
                            <a:lumOff val="40000"/>
                          </a:schemeClr>
                        </a:gs>
                      </a:gsLst>
                      <a:lin ang="0" scaled="1"/>
                    </a:gradFill>
                    <a:ln>
                      <a:noFill/>
                    </a:ln>
                    <a:effectLst/>
                    <a:sp3d/>
                  </c15:spPr>
                  <c15:invertIfNegative val="0"/>
                  <c15:bubble3D val="0"/>
                </c15:categoryFilterException>
              </c15:categoryFilterExceptions>
            </c:ext>
            <c:ext xmlns:c16="http://schemas.microsoft.com/office/drawing/2014/chart" uri="{C3380CC4-5D6E-409C-BE32-E72D297353CC}">
              <c16:uniqueId val="{0000000D-0D4F-4AF7-8C61-CA7196CA0791}"/>
            </c:ext>
          </c:extLst>
        </c:ser>
        <c:ser>
          <c:idx val="4"/>
          <c:order val="7"/>
          <c:tx>
            <c:strRef>
              <c:f>'חישוב תמק'!$L$1</c:f>
              <c:strCache>
                <c:ptCount val="1"/>
                <c:pt idx="0">
                  <c:v>upper</c:v>
                </c:pt>
              </c:strCache>
            </c:strRef>
          </c:tx>
          <c:spPr>
            <a:solidFill>
              <a:schemeClr val="bg1"/>
            </a:solidFill>
            <a:ln>
              <a:noFill/>
            </a:ln>
            <a:effectLst/>
            <a:sp3d/>
          </c:spPr>
          <c:invertIfNegative val="0"/>
          <c:dLbls>
            <c:dLbl>
              <c:idx val="0"/>
              <c:layout>
                <c:manualLayout>
                  <c:x val="8.8667623860332299E-3"/>
                  <c:y val="-4.0383418424988805E-2"/>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accent6">
                            <a:lumMod val="75000"/>
                          </a:schemeClr>
                        </a:solidFill>
                        <a:latin typeface="Assistant" pitchFamily="2" charset="-79"/>
                        <a:ea typeface="+mn-ea"/>
                        <a:cs typeface="Assistant" pitchFamily="2" charset="-79"/>
                      </a:defRPr>
                    </a:pPr>
                    <a:fld id="{0626C0B0-114B-46C4-B477-DBFFEF72A592}" type="CELLRANGE">
                      <a:rPr lang="he-IL"/>
                      <a:pPr>
                        <a:defRPr sz="1400" b="1">
                          <a:solidFill>
                            <a:schemeClr val="accent6">
                              <a:lumMod val="75000"/>
                            </a:schemeClr>
                          </a:solidFill>
                          <a:latin typeface="Assistant" pitchFamily="2" charset="-79"/>
                          <a:cs typeface="Assistant" pitchFamily="2" charset="-79"/>
                        </a:defRPr>
                      </a:pPr>
                      <a:t>[CELLRANGE]</a:t>
                    </a:fld>
                    <a:endParaRPr lang="he-IL"/>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accent6">
                          <a:lumMod val="7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xmlns:c15="http://schemas.microsoft.com/office/drawing/2012/chart" uri="{CE6537A1-D6FC-4f65-9D91-7224C49458BB}">
                  <c15:layout>
                    <c:manualLayout>
                      <c:w val="0.50405607215531312"/>
                      <c:h val="0.22589651209696984"/>
                    </c:manualLayout>
                  </c15:layout>
                  <c15:dlblFieldTable/>
                  <c15:showDataLabelsRange val="1"/>
                </c:ext>
                <c:ext xmlns:c16="http://schemas.microsoft.com/office/drawing/2014/chart" uri="{C3380CC4-5D6E-409C-BE32-E72D297353CC}">
                  <c16:uniqueId val="{0000000E-0D4F-4AF7-8C61-CA7196CA079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ssistant" pitchFamily="2" charset="-79"/>
                    <a:ea typeface="+mn-ea"/>
                    <a:cs typeface="Assistant" pitchFamily="2" charset="-79"/>
                  </a:defRPr>
                </a:pPr>
                <a:endParaRPr lang="he-I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'חישוב תמק'!$L$2:$L$5</c15:sqref>
                  </c15:fullRef>
                </c:ext>
              </c:extLst>
              <c:f>'חישוב תמק'!$L$2</c:f>
              <c:numCache>
                <c:formatCode>0%</c:formatCode>
                <c:ptCount val="1"/>
                <c:pt idx="0">
                  <c:v>0.15</c:v>
                </c:pt>
              </c:numCache>
            </c:numRef>
          </c:val>
          <c:extLst>
            <c:ext xmlns:c15="http://schemas.microsoft.com/office/drawing/2012/chart" uri="{02D57815-91ED-43cb-92C2-25804820EDAC}">
              <c15:datalabelsRange>
                <c15:f>'חישוב תמק'!$P$2:$P$5</c15:f>
                <c15:dlblRangeCache>
                  <c:ptCount val="4"/>
                  <c:pt idx="0">
                    <c:v>סף רגישות כולל</c:v>
                  </c:pt>
                  <c:pt idx="1">
                    <c:v>כשירות ארגונית</c:v>
                  </c:pt>
                  <c:pt idx="2">
                    <c:v>פרופיל מערכת</c:v>
                  </c:pt>
                  <c:pt idx="3">
                    <c:v>שרשרת אספקה</c:v>
                  </c:pt>
                </c15:dlblRangeCache>
              </c15:datalabelsRange>
            </c:ext>
            <c:ext xmlns:c15="http://schemas.microsoft.com/office/drawing/2012/chart" uri="{02D57815-91ED-43cb-92C2-25804820EDAC}">
              <c15:categoryFilterExceptions>
                <c15:categoryFilterException>
                  <c15:sqref>'חישוב תמק'!$L$3</c15:sqref>
                  <c15:dLbl>
                    <c:idx val="0"/>
                    <c:layout>
                      <c:manualLayout>
                        <c:x val="0"/>
                        <c:y val="-4.581901489118025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36C0A"/>
                            </a:solidFill>
                            <a:latin typeface="Assistant" pitchFamily="2" charset="-79"/>
                            <a:ea typeface="+mn-ea"/>
                            <a:cs typeface="Assistant" pitchFamily="2" charset="-79"/>
                          </a:defRPr>
                        </a:pPr>
                        <a:endParaRPr lang="he-IL"/>
                      </a:p>
                    </c:txPr>
                    <c:showLegendKey val="0"/>
                    <c:showVal val="0"/>
                    <c:showCatName val="0"/>
                    <c:showSerName val="0"/>
                    <c:showPercent val="0"/>
                    <c:showBubbleSize val="0"/>
                    <c:extLst>
                      <c:ext uri="{CE6537A1-D6FC-4f65-9D91-7224C49458BB}">
                        <c15:dlblFieldTable/>
                        <c15:showDataLabelsRange val="1"/>
                      </c:ext>
                      <c:ext xmlns:c16="http://schemas.microsoft.com/office/drawing/2014/chart" uri="{C3380CC4-5D6E-409C-BE32-E72D297353CC}">
                        <c16:uniqueId val="{0000001B-A201-4835-A531-BA606010C31A}"/>
                      </c:ext>
                    </c:extLst>
                  </c15:dLbl>
                </c15:categoryFilterException>
                <c15:categoryFilterException>
                  <c15:sqref>'חישוב תמק'!$L$4</c15:sqref>
                  <c15:dLbl>
                    <c:idx val="0"/>
                    <c:delete val="1"/>
                    <c:extLst>
                      <c:ext uri="{CE6537A1-D6FC-4f65-9D91-7224C49458BB}"/>
                      <c:ext xmlns:c16="http://schemas.microsoft.com/office/drawing/2014/chart" uri="{C3380CC4-5D6E-409C-BE32-E72D297353CC}">
                        <c16:uniqueId val="{0000001C-A201-4835-A531-BA606010C31A}"/>
                      </c:ext>
                    </c:extLst>
                  </c15:dLbl>
                </c15:categoryFilterException>
                <c15:categoryFilterException>
                  <c15:sqref>'חישוב תמק'!$L$5</c15:sqref>
                  <c15:dLbl>
                    <c:idx val="0"/>
                    <c:delete val="1"/>
                    <c:extLst>
                      <c:ext uri="{CE6537A1-D6FC-4f65-9D91-7224C49458BB}"/>
                      <c:ext xmlns:c16="http://schemas.microsoft.com/office/drawing/2014/chart" uri="{C3380CC4-5D6E-409C-BE32-E72D297353CC}">
                        <c16:uniqueId val="{0000001D-A201-4835-A531-BA606010C31A}"/>
                      </c:ext>
                    </c:extLst>
                  </c15:dLbl>
                </c15:categoryFilterException>
              </c15:categoryFilterExceptions>
            </c:ext>
            <c:ext xmlns:c16="http://schemas.microsoft.com/office/drawing/2014/chart" uri="{C3380CC4-5D6E-409C-BE32-E72D297353CC}">
              <c16:uniqueId val="{0000000F-0D4F-4AF7-8C61-CA7196CA0791}"/>
            </c:ext>
          </c:extLst>
        </c:ser>
        <c:dLbls>
          <c:showLegendKey val="0"/>
          <c:showVal val="0"/>
          <c:showCatName val="0"/>
          <c:showSerName val="0"/>
          <c:showPercent val="0"/>
          <c:showBubbleSize val="0"/>
        </c:dLbls>
        <c:gapWidth val="45"/>
        <c:gapDepth val="0"/>
        <c:shape val="cylinder"/>
        <c:axId val="1181071376"/>
        <c:axId val="1371848336"/>
        <c:axId val="0"/>
      </c:bar3DChart>
      <c:catAx>
        <c:axId val="1181071376"/>
        <c:scaling>
          <c:orientation val="minMax"/>
        </c:scaling>
        <c:delete val="1"/>
        <c:axPos val="b"/>
        <c:numFmt formatCode="General" sourceLinked="1"/>
        <c:majorTickMark val="none"/>
        <c:minorTickMark val="none"/>
        <c:tickLblPos val="nextTo"/>
        <c:crossAx val="1371848336"/>
        <c:crosses val="autoZero"/>
        <c:auto val="1"/>
        <c:lblAlgn val="ctr"/>
        <c:lblOffset val="100"/>
        <c:noMultiLvlLbl val="0"/>
      </c:catAx>
      <c:valAx>
        <c:axId val="1371848336"/>
        <c:scaling>
          <c:orientation val="minMax"/>
        </c:scaling>
        <c:delete val="1"/>
        <c:axPos val="l"/>
        <c:numFmt formatCode="0%" sourceLinked="1"/>
        <c:majorTickMark val="none"/>
        <c:minorTickMark val="none"/>
        <c:tickLblPos val="nextTo"/>
        <c:crossAx val="118107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xdr:col>
      <xdr:colOff>1342465</xdr:colOff>
      <xdr:row>0</xdr:row>
      <xdr:rowOff>107577</xdr:rowOff>
    </xdr:from>
    <xdr:to>
      <xdr:col>2</xdr:col>
      <xdr:colOff>1555254</xdr:colOff>
      <xdr:row>1</xdr:row>
      <xdr:rowOff>164727</xdr:rowOff>
    </xdr:to>
    <xdr:sp macro="" textlink="">
      <xdr:nvSpPr>
        <xdr:cNvPr id="3" name="Rectangle 2">
          <a:extLst>
            <a:ext uri="{FF2B5EF4-FFF2-40B4-BE49-F238E27FC236}">
              <a16:creationId xmlns:a16="http://schemas.microsoft.com/office/drawing/2014/main" id="{916C093F-3D1C-9B03-A96C-5B32BAF8421C}"/>
            </a:ext>
          </a:extLst>
        </xdr:cNvPr>
        <xdr:cNvSpPr/>
      </xdr:nvSpPr>
      <xdr:spPr>
        <a:xfrm>
          <a:off x="2624540" y="107577"/>
          <a:ext cx="3552142" cy="359709"/>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rtl="1"/>
          <a:r>
            <a:rPr lang="he-IL" sz="1100">
              <a:latin typeface="Assistant" pitchFamily="2" charset="-79"/>
              <a:cs typeface="Assistant" pitchFamily="2" charset="-79"/>
            </a:rPr>
            <a:t>גרסה מספר</a:t>
          </a:r>
          <a:r>
            <a:rPr lang="he-IL" sz="1100" baseline="0">
              <a:latin typeface="Assistant" pitchFamily="2" charset="-79"/>
              <a:cs typeface="Assistant" pitchFamily="2" charset="-79"/>
            </a:rPr>
            <a:t> 2.0</a:t>
          </a:r>
          <a:endParaRPr lang="en-US" sz="1100">
            <a:latin typeface="Assistant" pitchFamily="2" charset="-79"/>
            <a:cs typeface="Assistant" pitchFamily="2" charset="-79"/>
          </a:endParaRPr>
        </a:p>
      </xdr:txBody>
    </xdr:sp>
    <xdr:clientData/>
  </xdr:twoCellAnchor>
  <xdr:twoCellAnchor>
    <xdr:from>
      <xdr:col>1</xdr:col>
      <xdr:colOff>2690497</xdr:colOff>
      <xdr:row>0</xdr:row>
      <xdr:rowOff>137747</xdr:rowOff>
    </xdr:from>
    <xdr:to>
      <xdr:col>2</xdr:col>
      <xdr:colOff>393687</xdr:colOff>
      <xdr:row>1</xdr:row>
      <xdr:rowOff>121290</xdr:rowOff>
    </xdr:to>
    <xdr:pic>
      <xdr:nvPicPr>
        <xdr:cNvPr id="2" name="תמונה 3" descr="תמונה שמכילה טקסט&#10;&#10;התיאור נוצר באופן אוטומטי">
          <a:extLst>
            <a:ext uri="{FF2B5EF4-FFF2-40B4-BE49-F238E27FC236}">
              <a16:creationId xmlns:a16="http://schemas.microsoft.com/office/drawing/2014/main" id="{99C13CC5-F195-4A89-A836-A3310EA1219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89986" y="137747"/>
          <a:ext cx="1036940" cy="291274"/>
        </a:xfrm>
        <a:prstGeom prst="rect">
          <a:avLst/>
        </a:prstGeom>
        <a:noFill/>
      </xdr:spPr>
    </xdr:pic>
    <xdr:clientData/>
  </xdr:twoCellAnchor>
  <xdr:twoCellAnchor>
    <xdr:from>
      <xdr:col>2</xdr:col>
      <xdr:colOff>621632</xdr:colOff>
      <xdr:row>0</xdr:row>
      <xdr:rowOff>127724</xdr:rowOff>
    </xdr:from>
    <xdr:to>
      <xdr:col>2</xdr:col>
      <xdr:colOff>1516675</xdr:colOff>
      <xdr:row>1</xdr:row>
      <xdr:rowOff>158493</xdr:rowOff>
    </xdr:to>
    <xdr:grpSp>
      <xdr:nvGrpSpPr>
        <xdr:cNvPr id="9" name="Group 8">
          <a:extLst>
            <a:ext uri="{FF2B5EF4-FFF2-40B4-BE49-F238E27FC236}">
              <a16:creationId xmlns:a16="http://schemas.microsoft.com/office/drawing/2014/main" id="{A66B3244-3A05-D0F9-646D-505F22C850A5}"/>
            </a:ext>
          </a:extLst>
        </xdr:cNvPr>
        <xdr:cNvGrpSpPr/>
      </xdr:nvGrpSpPr>
      <xdr:grpSpPr>
        <a:xfrm>
          <a:off x="3245825" y="127724"/>
          <a:ext cx="895043" cy="340332"/>
          <a:chOff x="2667756" y="127724"/>
          <a:chExt cx="895043" cy="332941"/>
        </a:xfrm>
      </xdr:grpSpPr>
      <xdr:pic>
        <xdr:nvPicPr>
          <xdr:cNvPr id="7" name="Picture 6">
            <a:extLst>
              <a:ext uri="{FF2B5EF4-FFF2-40B4-BE49-F238E27FC236}">
                <a16:creationId xmlns:a16="http://schemas.microsoft.com/office/drawing/2014/main" id="{AC07427A-35C4-45CC-7DC1-5458FAF2146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a:ext>
            </a:extLst>
          </a:blip>
          <a:srcRect r="-1462"/>
          <a:stretch/>
        </xdr:blipFill>
        <xdr:spPr>
          <a:xfrm>
            <a:off x="2667756" y="183172"/>
            <a:ext cx="702008" cy="206922"/>
          </a:xfrm>
          <a:prstGeom prst="rect">
            <a:avLst/>
          </a:prstGeom>
        </xdr:spPr>
      </xdr:pic>
      <xdr:pic>
        <xdr:nvPicPr>
          <xdr:cNvPr id="5" name="Picture 4">
            <a:extLst>
              <a:ext uri="{FF2B5EF4-FFF2-40B4-BE49-F238E27FC236}">
                <a16:creationId xmlns:a16="http://schemas.microsoft.com/office/drawing/2014/main" id="{A42AB1E8-FE4F-E823-9C6F-ABDC76700039}"/>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a:ext>
            </a:extLst>
          </a:blip>
          <a:srcRect/>
          <a:stretch/>
        </xdr:blipFill>
        <xdr:spPr>
          <a:xfrm>
            <a:off x="3256996" y="127724"/>
            <a:ext cx="305803" cy="332941"/>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1671228</xdr:colOff>
      <xdr:row>0</xdr:row>
      <xdr:rowOff>66835</xdr:rowOff>
    </xdr:from>
    <xdr:to>
      <xdr:col>3</xdr:col>
      <xdr:colOff>666749</xdr:colOff>
      <xdr:row>1</xdr:row>
      <xdr:rowOff>123985</xdr:rowOff>
    </xdr:to>
    <xdr:sp macro="" textlink="">
      <xdr:nvSpPr>
        <xdr:cNvPr id="2" name="Rectangle 1">
          <a:extLst>
            <a:ext uri="{FF2B5EF4-FFF2-40B4-BE49-F238E27FC236}">
              <a16:creationId xmlns:a16="http://schemas.microsoft.com/office/drawing/2014/main" id="{64B56D89-7867-4FED-9FB1-73E6E262145C}"/>
            </a:ext>
          </a:extLst>
        </xdr:cNvPr>
        <xdr:cNvSpPr/>
      </xdr:nvSpPr>
      <xdr:spPr>
        <a:xfrm>
          <a:off x="3914776" y="66835"/>
          <a:ext cx="2815046" cy="247650"/>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rtl="1"/>
          <a:r>
            <a:rPr lang="he-IL" sz="1100">
              <a:latin typeface="Assistant" pitchFamily="2" charset="-79"/>
              <a:cs typeface="Assistant" pitchFamily="2" charset="-79"/>
            </a:rPr>
            <a:t>גרסה מספר</a:t>
          </a:r>
          <a:r>
            <a:rPr lang="he-IL" sz="1100" baseline="0">
              <a:latin typeface="Assistant" pitchFamily="2" charset="-79"/>
              <a:cs typeface="Assistant" pitchFamily="2" charset="-79"/>
            </a:rPr>
            <a:t> 2.0</a:t>
          </a:r>
        </a:p>
        <a:p>
          <a:pPr algn="ctr" rtl="1"/>
          <a:endParaRPr lang="en-US" sz="1100">
            <a:latin typeface="Assistant" pitchFamily="2" charset="-79"/>
            <a:cs typeface="Assistant" pitchFamily="2" charset="-79"/>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1741714</xdr:colOff>
      <xdr:row>0</xdr:row>
      <xdr:rowOff>95410</xdr:rowOff>
    </xdr:from>
    <xdr:to>
      <xdr:col>3</xdr:col>
      <xdr:colOff>191018</xdr:colOff>
      <xdr:row>1</xdr:row>
      <xdr:rowOff>152560</xdr:rowOff>
    </xdr:to>
    <xdr:sp macro="" textlink="">
      <xdr:nvSpPr>
        <xdr:cNvPr id="20" name="Rectangle 19">
          <a:extLst>
            <a:ext uri="{FF2B5EF4-FFF2-40B4-BE49-F238E27FC236}">
              <a16:creationId xmlns:a16="http://schemas.microsoft.com/office/drawing/2014/main" id="{81AB8A20-A8F3-455B-A6AC-4DC91D7FE7B1}"/>
            </a:ext>
          </a:extLst>
        </xdr:cNvPr>
        <xdr:cNvSpPr/>
      </xdr:nvSpPr>
      <xdr:spPr>
        <a:xfrm>
          <a:off x="2661040" y="95410"/>
          <a:ext cx="3641789" cy="361950"/>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rtl="1"/>
          <a:r>
            <a:rPr lang="he-IL" sz="1100">
              <a:latin typeface="Assistant" pitchFamily="2" charset="-79"/>
              <a:cs typeface="Assistant" pitchFamily="2" charset="-79"/>
            </a:rPr>
            <a:t>גרסה מספר</a:t>
          </a:r>
          <a:r>
            <a:rPr lang="he-IL" sz="1100" baseline="0">
              <a:latin typeface="Assistant" pitchFamily="2" charset="-79"/>
              <a:cs typeface="Assistant" pitchFamily="2" charset="-79"/>
            </a:rPr>
            <a:t> 2.0</a:t>
          </a:r>
          <a:endParaRPr lang="en-US" sz="1100">
            <a:latin typeface="Assistant" pitchFamily="2" charset="-79"/>
            <a:cs typeface="Assistant" pitchFamily="2" charset="-79"/>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381000</xdr:colOff>
      <xdr:row>7</xdr:row>
      <xdr:rowOff>19050</xdr:rowOff>
    </xdr:from>
    <xdr:to>
      <xdr:col>7</xdr:col>
      <xdr:colOff>166480</xdr:colOff>
      <xdr:row>13</xdr:row>
      <xdr:rowOff>110158</xdr:rowOff>
    </xdr:to>
    <xdr:grpSp>
      <xdr:nvGrpSpPr>
        <xdr:cNvPr id="8" name="Group 7">
          <a:extLst>
            <a:ext uri="{FF2B5EF4-FFF2-40B4-BE49-F238E27FC236}">
              <a16:creationId xmlns:a16="http://schemas.microsoft.com/office/drawing/2014/main" id="{11CABFEB-557D-1F45-E553-C532E124E6AF}"/>
            </a:ext>
          </a:extLst>
        </xdr:cNvPr>
        <xdr:cNvGrpSpPr/>
      </xdr:nvGrpSpPr>
      <xdr:grpSpPr>
        <a:xfrm>
          <a:off x="9986026400" y="2061210"/>
          <a:ext cx="1431400" cy="1188388"/>
          <a:chOff x="9983595620" y="1943100"/>
          <a:chExt cx="1404730" cy="1234108"/>
        </a:xfrm>
      </xdr:grpSpPr>
      <xdr:graphicFrame macro="">
        <xdr:nvGraphicFramePr>
          <xdr:cNvPr id="6" name="Chart 5">
            <a:extLst>
              <a:ext uri="{FF2B5EF4-FFF2-40B4-BE49-F238E27FC236}">
                <a16:creationId xmlns:a16="http://schemas.microsoft.com/office/drawing/2014/main" id="{76D55DCE-B2B1-48CE-BE03-E462EDFFBECD}"/>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1"/>
          </a:graphicData>
        </a:graphic>
      </xdr:graphicFrame>
      <xdr:sp macro="" textlink="$G$6">
        <xdr:nvSpPr>
          <xdr:cNvPr id="7" name="Rectangle 6">
            <a:extLst>
              <a:ext uri="{FF2B5EF4-FFF2-40B4-BE49-F238E27FC236}">
                <a16:creationId xmlns:a16="http://schemas.microsoft.com/office/drawing/2014/main" id="{195F3A2C-0ABC-7BAF-9253-B12FC1F60B5C}"/>
              </a:ext>
            </a:extLst>
          </xdr:cNvPr>
          <xdr:cNvSpPr/>
        </xdr:nvSpPr>
        <xdr:spPr>
          <a:xfrm>
            <a:off x="9983971650" y="2333625"/>
            <a:ext cx="609600"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7FE05306-8ED8-4A49-B209-9CD7CDFE9554}" type="TxLink">
              <a:rPr lang="en-US" sz="1600" b="0" i="0" u="none" strike="noStrike">
                <a:solidFill>
                  <a:schemeClr val="accent5">
                    <a:lumMod val="75000"/>
                  </a:schemeClr>
                </a:solidFill>
                <a:latin typeface="KPMG Cyrillic Bold" panose="020B0803030202040204" pitchFamily="34" charset="0"/>
                <a:cs typeface="Calibri"/>
              </a:rPr>
              <a:pPr algn="ctr" rtl="1"/>
              <a:t>95%</a:t>
            </a:fld>
            <a:endParaRPr lang="en-US" sz="1600">
              <a:solidFill>
                <a:schemeClr val="accent5">
                  <a:lumMod val="75000"/>
                </a:schemeClr>
              </a:solidFill>
              <a:latin typeface="KPMG Cyrillic Bold" panose="020B0803030202040204" pitchFamily="34" charset="0"/>
            </a:endParaRPr>
          </a:p>
        </xdr:txBody>
      </xdr:sp>
    </xdr:grpSp>
    <xdr:clientData/>
  </xdr:twoCellAnchor>
  <xdr:twoCellAnchor>
    <xdr:from>
      <xdr:col>6</xdr:col>
      <xdr:colOff>771525</xdr:colOff>
      <xdr:row>7</xdr:row>
      <xdr:rowOff>19050</xdr:rowOff>
    </xdr:from>
    <xdr:to>
      <xdr:col>8</xdr:col>
      <xdr:colOff>242680</xdr:colOff>
      <xdr:row>13</xdr:row>
      <xdr:rowOff>110158</xdr:rowOff>
    </xdr:to>
    <xdr:grpSp>
      <xdr:nvGrpSpPr>
        <xdr:cNvPr id="15" name="Group 14">
          <a:extLst>
            <a:ext uri="{FF2B5EF4-FFF2-40B4-BE49-F238E27FC236}">
              <a16:creationId xmlns:a16="http://schemas.microsoft.com/office/drawing/2014/main" id="{0878EFBC-71E5-77A7-A545-6E92C64E7019}"/>
            </a:ext>
          </a:extLst>
        </xdr:cNvPr>
        <xdr:cNvGrpSpPr/>
      </xdr:nvGrpSpPr>
      <xdr:grpSpPr>
        <a:xfrm>
          <a:off x="9984997700" y="2061210"/>
          <a:ext cx="1459975" cy="1188388"/>
          <a:chOff x="9983595620" y="1943100"/>
          <a:chExt cx="1404730" cy="1234108"/>
        </a:xfrm>
      </xdr:grpSpPr>
      <xdr:graphicFrame macro="">
        <xdr:nvGraphicFramePr>
          <xdr:cNvPr id="16" name="Chart 15">
            <a:extLst>
              <a:ext uri="{FF2B5EF4-FFF2-40B4-BE49-F238E27FC236}">
                <a16:creationId xmlns:a16="http://schemas.microsoft.com/office/drawing/2014/main" id="{82EFBF77-8F78-473F-83AD-BF9C6F2B0EA4}"/>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2"/>
          </a:graphicData>
        </a:graphic>
      </xdr:graphicFrame>
      <xdr:sp macro="" textlink="$H$6">
        <xdr:nvSpPr>
          <xdr:cNvPr id="17" name="Rectangle 16">
            <a:extLst>
              <a:ext uri="{FF2B5EF4-FFF2-40B4-BE49-F238E27FC236}">
                <a16:creationId xmlns:a16="http://schemas.microsoft.com/office/drawing/2014/main" id="{9CF4B1DD-CB15-EF90-B01E-0692387A2A00}"/>
              </a:ext>
            </a:extLst>
          </xdr:cNvPr>
          <xdr:cNvSpPr/>
        </xdr:nvSpPr>
        <xdr:spPr>
          <a:xfrm>
            <a:off x="9983962126" y="2333625"/>
            <a:ext cx="619124"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0BD5051D-E96E-4F7C-8C73-019065B59032}" type="TxLink">
              <a:rPr lang="en-US" sz="1600" b="0" i="0" u="none" strike="noStrike">
                <a:solidFill>
                  <a:srgbClr val="FFC000"/>
                </a:solidFill>
                <a:latin typeface="KPMG Cyrillic Bold" panose="020B0803030202040204" pitchFamily="34" charset="0"/>
                <a:cs typeface="Calibri"/>
              </a:rPr>
              <a:pPr algn="ctr" rtl="1"/>
              <a:t>96%</a:t>
            </a:fld>
            <a:endParaRPr lang="en-US" sz="1600">
              <a:solidFill>
                <a:srgbClr val="FFC000"/>
              </a:solidFill>
              <a:latin typeface="KPMG Cyrillic Bold" panose="020B0803030202040204" pitchFamily="34" charset="0"/>
            </a:endParaRPr>
          </a:p>
        </xdr:txBody>
      </xdr:sp>
    </xdr:grpSp>
    <xdr:clientData/>
  </xdr:twoCellAnchor>
  <xdr:twoCellAnchor>
    <xdr:from>
      <xdr:col>7</xdr:col>
      <xdr:colOff>714375</xdr:colOff>
      <xdr:row>7</xdr:row>
      <xdr:rowOff>28575</xdr:rowOff>
    </xdr:from>
    <xdr:to>
      <xdr:col>9</xdr:col>
      <xdr:colOff>176005</xdr:colOff>
      <xdr:row>13</xdr:row>
      <xdr:rowOff>119683</xdr:rowOff>
    </xdr:to>
    <xdr:grpSp>
      <xdr:nvGrpSpPr>
        <xdr:cNvPr id="21" name="Group 20">
          <a:extLst>
            <a:ext uri="{FF2B5EF4-FFF2-40B4-BE49-F238E27FC236}">
              <a16:creationId xmlns:a16="http://schemas.microsoft.com/office/drawing/2014/main" id="{E95CECEA-C0DD-4F53-BAC8-4CDE0CBC8154}"/>
            </a:ext>
          </a:extLst>
        </xdr:cNvPr>
        <xdr:cNvGrpSpPr/>
      </xdr:nvGrpSpPr>
      <xdr:grpSpPr>
        <a:xfrm>
          <a:off x="9984012815" y="2070735"/>
          <a:ext cx="1465690" cy="1188388"/>
          <a:chOff x="9983595620" y="1943100"/>
          <a:chExt cx="1404730" cy="1234108"/>
        </a:xfrm>
      </xdr:grpSpPr>
      <xdr:graphicFrame macro="">
        <xdr:nvGraphicFramePr>
          <xdr:cNvPr id="22" name="Chart 21">
            <a:extLst>
              <a:ext uri="{FF2B5EF4-FFF2-40B4-BE49-F238E27FC236}">
                <a16:creationId xmlns:a16="http://schemas.microsoft.com/office/drawing/2014/main" id="{9D2777EB-E4FD-8AEB-0DE7-4DC10FBC63F7}"/>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3"/>
          </a:graphicData>
        </a:graphic>
      </xdr:graphicFrame>
      <xdr:sp macro="" textlink="$I$6">
        <xdr:nvSpPr>
          <xdr:cNvPr id="23" name="Rectangle 22">
            <a:extLst>
              <a:ext uri="{FF2B5EF4-FFF2-40B4-BE49-F238E27FC236}">
                <a16:creationId xmlns:a16="http://schemas.microsoft.com/office/drawing/2014/main" id="{09F43717-D5F1-00DC-BAF1-F6FB28E19DA4}"/>
              </a:ext>
            </a:extLst>
          </xdr:cNvPr>
          <xdr:cNvSpPr/>
        </xdr:nvSpPr>
        <xdr:spPr>
          <a:xfrm>
            <a:off x="9984038325" y="2333625"/>
            <a:ext cx="571499"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0306B9B7-91F5-490C-95B1-9C4C93E86ED7}" type="TxLink">
              <a:rPr lang="en-US" sz="1600" b="0" i="0" u="none" strike="noStrike">
                <a:solidFill>
                  <a:srgbClr val="7030A0"/>
                </a:solidFill>
                <a:latin typeface="KPMG Cyrillic Bold" panose="020B0803030202040204" pitchFamily="34" charset="0"/>
                <a:cs typeface="Calibri"/>
              </a:rPr>
              <a:pPr algn="ctr" rtl="1"/>
              <a:t>95%</a:t>
            </a:fld>
            <a:endParaRPr lang="en-US" sz="1600">
              <a:solidFill>
                <a:srgbClr val="7030A0"/>
              </a:solidFill>
              <a:latin typeface="KPMG Cyrillic Bold" panose="020B0803030202040204" pitchFamily="34" charset="0"/>
            </a:endParaRPr>
          </a:p>
        </xdr:txBody>
      </xdr:sp>
    </xdr:grpSp>
    <xdr:clientData/>
  </xdr:twoCellAnchor>
  <xdr:twoCellAnchor>
    <xdr:from>
      <xdr:col>8</xdr:col>
      <xdr:colOff>895350</xdr:colOff>
      <xdr:row>7</xdr:row>
      <xdr:rowOff>133350</xdr:rowOff>
    </xdr:from>
    <xdr:to>
      <xdr:col>10</xdr:col>
      <xdr:colOff>171450</xdr:colOff>
      <xdr:row>13</xdr:row>
      <xdr:rowOff>72058</xdr:rowOff>
    </xdr:to>
    <xdr:grpSp>
      <xdr:nvGrpSpPr>
        <xdr:cNvPr id="24" name="Group 23">
          <a:extLst>
            <a:ext uri="{FF2B5EF4-FFF2-40B4-BE49-F238E27FC236}">
              <a16:creationId xmlns:a16="http://schemas.microsoft.com/office/drawing/2014/main" id="{512B9AF1-2F92-5FF9-F487-54B6A39EBE58}"/>
            </a:ext>
          </a:extLst>
        </xdr:cNvPr>
        <xdr:cNvGrpSpPr/>
      </xdr:nvGrpSpPr>
      <xdr:grpSpPr>
        <a:xfrm>
          <a:off x="9982828650" y="2175510"/>
          <a:ext cx="1516380" cy="1035988"/>
          <a:chOff x="9983595620" y="1943100"/>
          <a:chExt cx="1404730" cy="1234108"/>
        </a:xfrm>
      </xdr:grpSpPr>
      <xdr:graphicFrame macro="">
        <xdr:nvGraphicFramePr>
          <xdr:cNvPr id="25" name="Chart 24">
            <a:extLst>
              <a:ext uri="{FF2B5EF4-FFF2-40B4-BE49-F238E27FC236}">
                <a16:creationId xmlns:a16="http://schemas.microsoft.com/office/drawing/2014/main" id="{3097011D-F5B3-6549-748F-1C861DACDCC3}"/>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4"/>
          </a:graphicData>
        </a:graphic>
      </xdr:graphicFrame>
      <xdr:sp macro="" textlink="$J$6">
        <xdr:nvSpPr>
          <xdr:cNvPr id="26" name="Rectangle 25">
            <a:extLst>
              <a:ext uri="{FF2B5EF4-FFF2-40B4-BE49-F238E27FC236}">
                <a16:creationId xmlns:a16="http://schemas.microsoft.com/office/drawing/2014/main" id="{AD0A2D13-01A1-18BB-2854-0AB8666E80B4}"/>
              </a:ext>
            </a:extLst>
          </xdr:cNvPr>
          <xdr:cNvSpPr/>
        </xdr:nvSpPr>
        <xdr:spPr>
          <a:xfrm>
            <a:off x="9984057702" y="2333625"/>
            <a:ext cx="51232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A2811A74-D8D1-40A9-9452-FF6E410950F8}" type="TxLink">
              <a:rPr lang="en-US" sz="1600" b="0" i="0" u="none" strike="noStrike">
                <a:solidFill>
                  <a:srgbClr val="FF5050"/>
                </a:solidFill>
                <a:latin typeface="KPMG Cyrillic Bold" panose="020B0803030202040204" pitchFamily="34" charset="0"/>
                <a:cs typeface="Calibri"/>
              </a:rPr>
              <a:pPr algn="ctr" rtl="1"/>
              <a:t>100%</a:t>
            </a:fld>
            <a:endParaRPr lang="en-US" sz="2400">
              <a:solidFill>
                <a:srgbClr val="FF5050"/>
              </a:solidFill>
              <a:latin typeface="KPMG Cyrillic Bold" panose="020B0803030202040204" pitchFamily="34" charset="0"/>
            </a:endParaRPr>
          </a:p>
        </xdr:txBody>
      </xdr:sp>
    </xdr:grpSp>
    <xdr:clientData/>
  </xdr:twoCellAnchor>
  <xdr:twoCellAnchor>
    <xdr:from>
      <xdr:col>9</xdr:col>
      <xdr:colOff>1000125</xdr:colOff>
      <xdr:row>7</xdr:row>
      <xdr:rowOff>133350</xdr:rowOff>
    </xdr:from>
    <xdr:to>
      <xdr:col>11</xdr:col>
      <xdr:colOff>47625</xdr:colOff>
      <xdr:row>13</xdr:row>
      <xdr:rowOff>72058</xdr:rowOff>
    </xdr:to>
    <xdr:grpSp>
      <xdr:nvGrpSpPr>
        <xdr:cNvPr id="30" name="Group 29">
          <a:extLst>
            <a:ext uri="{FF2B5EF4-FFF2-40B4-BE49-F238E27FC236}">
              <a16:creationId xmlns:a16="http://schemas.microsoft.com/office/drawing/2014/main" id="{348B0D77-395C-4E0E-A11E-3FDBFBF29740}"/>
            </a:ext>
          </a:extLst>
        </xdr:cNvPr>
        <xdr:cNvGrpSpPr/>
      </xdr:nvGrpSpPr>
      <xdr:grpSpPr>
        <a:xfrm>
          <a:off x="9981672315" y="2175510"/>
          <a:ext cx="1516380" cy="1035988"/>
          <a:chOff x="9983595620" y="1943100"/>
          <a:chExt cx="1404730" cy="1234108"/>
        </a:xfrm>
      </xdr:grpSpPr>
      <xdr:graphicFrame macro="">
        <xdr:nvGraphicFramePr>
          <xdr:cNvPr id="31" name="Chart 30">
            <a:extLst>
              <a:ext uri="{FF2B5EF4-FFF2-40B4-BE49-F238E27FC236}">
                <a16:creationId xmlns:a16="http://schemas.microsoft.com/office/drawing/2014/main" id="{D7788CC1-7B05-5170-F45E-4A61F4B6D461}"/>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5"/>
          </a:graphicData>
        </a:graphic>
      </xdr:graphicFrame>
      <xdr:sp macro="" textlink="$K$6">
        <xdr:nvSpPr>
          <xdr:cNvPr id="32" name="Rectangle 31">
            <a:extLst>
              <a:ext uri="{FF2B5EF4-FFF2-40B4-BE49-F238E27FC236}">
                <a16:creationId xmlns:a16="http://schemas.microsoft.com/office/drawing/2014/main" id="{4CBD5AE5-2427-178D-657C-7D0D7D4D9954}"/>
              </a:ext>
            </a:extLst>
          </xdr:cNvPr>
          <xdr:cNvSpPr/>
        </xdr:nvSpPr>
        <xdr:spPr>
          <a:xfrm>
            <a:off x="9984057702" y="2333625"/>
            <a:ext cx="51232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6B811278-484A-469E-8568-7C03B4F8E07B}" type="TxLink">
              <a:rPr lang="en-US" sz="1600" b="0" i="0" u="none" strike="noStrike">
                <a:solidFill>
                  <a:schemeClr val="accent6"/>
                </a:solidFill>
                <a:latin typeface="KPMG Cyrillic Bold" panose="020B0803030202040204" pitchFamily="34" charset="0"/>
                <a:cs typeface="Calibri"/>
              </a:rPr>
              <a:pPr algn="ctr" rtl="1"/>
              <a:t>100%</a:t>
            </a:fld>
            <a:endParaRPr lang="en-US" sz="4000">
              <a:solidFill>
                <a:schemeClr val="accent6"/>
              </a:solidFill>
              <a:latin typeface="KPMG Cyrillic Bold" panose="020B0803030202040204" pitchFamily="34" charset="0"/>
            </a:endParaRPr>
          </a:p>
        </xdr:txBody>
      </xdr:sp>
    </xdr:grpSp>
    <xdr:clientData/>
  </xdr:twoCellAnchor>
  <xdr:twoCellAnchor>
    <xdr:from>
      <xdr:col>16</xdr:col>
      <xdr:colOff>180975</xdr:colOff>
      <xdr:row>8</xdr:row>
      <xdr:rowOff>47625</xdr:rowOff>
    </xdr:from>
    <xdr:to>
      <xdr:col>18</xdr:col>
      <xdr:colOff>409575</xdr:colOff>
      <xdr:row>13</xdr:row>
      <xdr:rowOff>176833</xdr:rowOff>
    </xdr:to>
    <xdr:grpSp>
      <xdr:nvGrpSpPr>
        <xdr:cNvPr id="2" name="Group 1">
          <a:extLst>
            <a:ext uri="{FF2B5EF4-FFF2-40B4-BE49-F238E27FC236}">
              <a16:creationId xmlns:a16="http://schemas.microsoft.com/office/drawing/2014/main" id="{62182D40-B032-8D0E-9F36-A93AD9145EB5}"/>
            </a:ext>
          </a:extLst>
        </xdr:cNvPr>
        <xdr:cNvGrpSpPr/>
      </xdr:nvGrpSpPr>
      <xdr:grpSpPr>
        <a:xfrm>
          <a:off x="9976342125" y="2272665"/>
          <a:ext cx="1447800" cy="1043608"/>
          <a:chOff x="9983595620" y="1943100"/>
          <a:chExt cx="1404730" cy="1234108"/>
        </a:xfrm>
      </xdr:grpSpPr>
      <xdr:graphicFrame macro="">
        <xdr:nvGraphicFramePr>
          <xdr:cNvPr id="3" name="Chart 2">
            <a:extLst>
              <a:ext uri="{FF2B5EF4-FFF2-40B4-BE49-F238E27FC236}">
                <a16:creationId xmlns:a16="http://schemas.microsoft.com/office/drawing/2014/main" id="{69810E5C-E554-F39E-AF09-4FEA4BE26E02}"/>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6"/>
          </a:graphicData>
        </a:graphic>
      </xdr:graphicFrame>
      <xdr:sp macro="" textlink="$S$5">
        <xdr:nvSpPr>
          <xdr:cNvPr id="4" name="Rectangle 3">
            <a:extLst>
              <a:ext uri="{FF2B5EF4-FFF2-40B4-BE49-F238E27FC236}">
                <a16:creationId xmlns:a16="http://schemas.microsoft.com/office/drawing/2014/main" id="{B83F4049-A13D-F2D2-414C-C10E09A76F14}"/>
              </a:ext>
            </a:extLst>
          </xdr:cNvPr>
          <xdr:cNvSpPr/>
        </xdr:nvSpPr>
        <xdr:spPr>
          <a:xfrm>
            <a:off x="9984002252" y="2333625"/>
            <a:ext cx="56777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8A46BAA2-94D4-44E8-9DE8-9545A7A0D424}" type="TxLink">
              <a:rPr lang="en-US" sz="1600" b="0" i="0" u="none" strike="noStrike">
                <a:solidFill>
                  <a:srgbClr val="F99633"/>
                </a:solidFill>
                <a:latin typeface="KPMG Cyrillic Bold" panose="020B0803030202040204" pitchFamily="34" charset="0"/>
                <a:cs typeface="Calibri"/>
              </a:rPr>
              <a:pPr algn="ctr" rtl="1"/>
              <a:t>48%</a:t>
            </a:fld>
            <a:endParaRPr lang="en-US" sz="2400">
              <a:solidFill>
                <a:srgbClr val="F99633"/>
              </a:solidFill>
              <a:latin typeface="KPMG Cyrillic Bold" panose="020B0803030202040204" pitchFamily="34" charset="0"/>
            </a:endParaRPr>
          </a:p>
        </xdr:txBody>
      </xdr:sp>
    </xdr:grpSp>
    <xdr:clientData/>
  </xdr:twoCellAnchor>
  <xdr:twoCellAnchor>
    <xdr:from>
      <xdr:col>17</xdr:col>
      <xdr:colOff>552450</xdr:colOff>
      <xdr:row>8</xdr:row>
      <xdr:rowOff>47625</xdr:rowOff>
    </xdr:from>
    <xdr:to>
      <xdr:col>20</xdr:col>
      <xdr:colOff>171450</xdr:colOff>
      <xdr:row>13</xdr:row>
      <xdr:rowOff>176833</xdr:rowOff>
    </xdr:to>
    <xdr:grpSp>
      <xdr:nvGrpSpPr>
        <xdr:cNvPr id="5" name="Group 4">
          <a:extLst>
            <a:ext uri="{FF2B5EF4-FFF2-40B4-BE49-F238E27FC236}">
              <a16:creationId xmlns:a16="http://schemas.microsoft.com/office/drawing/2014/main" id="{E21DE001-4F9B-8F7F-7DA1-CFD6E69F38A2}"/>
            </a:ext>
          </a:extLst>
        </xdr:cNvPr>
        <xdr:cNvGrpSpPr/>
      </xdr:nvGrpSpPr>
      <xdr:grpSpPr>
        <a:xfrm>
          <a:off x="9975322950" y="2272665"/>
          <a:ext cx="1485900" cy="1043608"/>
          <a:chOff x="9983595620" y="1943100"/>
          <a:chExt cx="1404730" cy="1234108"/>
        </a:xfrm>
      </xdr:grpSpPr>
      <xdr:graphicFrame macro="">
        <xdr:nvGraphicFramePr>
          <xdr:cNvPr id="9" name="Chart 8">
            <a:extLst>
              <a:ext uri="{FF2B5EF4-FFF2-40B4-BE49-F238E27FC236}">
                <a16:creationId xmlns:a16="http://schemas.microsoft.com/office/drawing/2014/main" id="{6AE24E83-D527-7C18-0DDE-7CD950B3187D}"/>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7"/>
          </a:graphicData>
        </a:graphic>
      </xdr:graphicFrame>
      <xdr:sp macro="" textlink="$T$5">
        <xdr:nvSpPr>
          <xdr:cNvPr id="10" name="Rectangle 9">
            <a:extLst>
              <a:ext uri="{FF2B5EF4-FFF2-40B4-BE49-F238E27FC236}">
                <a16:creationId xmlns:a16="http://schemas.microsoft.com/office/drawing/2014/main" id="{95948323-D9C7-F097-A9EF-1AC768192F9A}"/>
              </a:ext>
            </a:extLst>
          </xdr:cNvPr>
          <xdr:cNvSpPr/>
        </xdr:nvSpPr>
        <xdr:spPr>
          <a:xfrm>
            <a:off x="9984002252" y="2333625"/>
            <a:ext cx="56777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F7754E1A-33FE-45AD-8FCB-0D188562F340}" type="TxLink">
              <a:rPr lang="en-US" sz="1600" b="0" i="0" u="none" strike="noStrike">
                <a:solidFill>
                  <a:schemeClr val="accent1">
                    <a:lumMod val="60000"/>
                    <a:lumOff val="40000"/>
                  </a:schemeClr>
                </a:solidFill>
                <a:latin typeface="KPMG Cyrillic Bold" panose="020B0803030202040204" pitchFamily="34" charset="0"/>
                <a:cs typeface="Calibri"/>
              </a:rPr>
              <a:pPr algn="ctr" rtl="1"/>
              <a:t>11%</a:t>
            </a:fld>
            <a:endParaRPr lang="en-US" sz="3600">
              <a:solidFill>
                <a:schemeClr val="accent1">
                  <a:lumMod val="60000"/>
                  <a:lumOff val="40000"/>
                </a:schemeClr>
              </a:solidFill>
              <a:latin typeface="KPMG Cyrillic Bold" panose="020B0803030202040204" pitchFamily="34" charset="0"/>
            </a:endParaRPr>
          </a:p>
        </xdr:txBody>
      </xdr:sp>
    </xdr:grpSp>
    <xdr:clientData/>
  </xdr:twoCellAnchor>
  <xdr:twoCellAnchor>
    <xdr:from>
      <xdr:col>19</xdr:col>
      <xdr:colOff>390525</xdr:colOff>
      <xdr:row>8</xdr:row>
      <xdr:rowOff>47625</xdr:rowOff>
    </xdr:from>
    <xdr:to>
      <xdr:col>22</xdr:col>
      <xdr:colOff>9525</xdr:colOff>
      <xdr:row>13</xdr:row>
      <xdr:rowOff>176833</xdr:rowOff>
    </xdr:to>
    <xdr:grpSp>
      <xdr:nvGrpSpPr>
        <xdr:cNvPr id="14" name="Group 13">
          <a:extLst>
            <a:ext uri="{FF2B5EF4-FFF2-40B4-BE49-F238E27FC236}">
              <a16:creationId xmlns:a16="http://schemas.microsoft.com/office/drawing/2014/main" id="{0932DAFA-8CED-E5EC-6143-5BC4952E3227}"/>
            </a:ext>
          </a:extLst>
        </xdr:cNvPr>
        <xdr:cNvGrpSpPr/>
      </xdr:nvGrpSpPr>
      <xdr:grpSpPr>
        <a:xfrm>
          <a:off x="9974265675" y="2272665"/>
          <a:ext cx="1447800" cy="1043608"/>
          <a:chOff x="9983595620" y="1943100"/>
          <a:chExt cx="1404730" cy="1234108"/>
        </a:xfrm>
      </xdr:grpSpPr>
      <xdr:graphicFrame macro="">
        <xdr:nvGraphicFramePr>
          <xdr:cNvPr id="18" name="Chart 17">
            <a:extLst>
              <a:ext uri="{FF2B5EF4-FFF2-40B4-BE49-F238E27FC236}">
                <a16:creationId xmlns:a16="http://schemas.microsoft.com/office/drawing/2014/main" id="{53940BED-1CDC-3B27-0BD7-396F32CA5421}"/>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8"/>
          </a:graphicData>
        </a:graphic>
      </xdr:graphicFrame>
      <xdr:sp macro="" textlink="$U$5">
        <xdr:nvSpPr>
          <xdr:cNvPr id="19" name="Rectangle 18">
            <a:extLst>
              <a:ext uri="{FF2B5EF4-FFF2-40B4-BE49-F238E27FC236}">
                <a16:creationId xmlns:a16="http://schemas.microsoft.com/office/drawing/2014/main" id="{95931C14-E674-BBB4-08B1-2BCE38D2986F}"/>
              </a:ext>
            </a:extLst>
          </xdr:cNvPr>
          <xdr:cNvSpPr/>
        </xdr:nvSpPr>
        <xdr:spPr>
          <a:xfrm>
            <a:off x="9984002252" y="2333625"/>
            <a:ext cx="56777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9CE7978A-3B92-450F-B9F6-C1DCDB18BB0F}" type="TxLink">
              <a:rPr lang="en-US" sz="1600" b="0" i="0" u="none" strike="noStrike">
                <a:solidFill>
                  <a:srgbClr val="000000"/>
                </a:solidFill>
                <a:latin typeface="KPMG Cyrillic Bold" panose="020B0803030202040204" pitchFamily="34" charset="0"/>
                <a:cs typeface="Calibri"/>
              </a:rPr>
              <a:pPr algn="ctr" rtl="1"/>
              <a:t>57%</a:t>
            </a:fld>
            <a:endParaRPr lang="en-US" sz="4800">
              <a:solidFill>
                <a:schemeClr val="accent1">
                  <a:lumMod val="60000"/>
                  <a:lumOff val="40000"/>
                </a:schemeClr>
              </a:solidFill>
              <a:latin typeface="KPMG Cyrillic Bold" panose="020B0803030202040204"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17</xdr:col>
      <xdr:colOff>129988</xdr:colOff>
      <xdr:row>2</xdr:row>
      <xdr:rowOff>126850</xdr:rowOff>
    </xdr:from>
    <xdr:to>
      <xdr:col>23</xdr:col>
      <xdr:colOff>411928</xdr:colOff>
      <xdr:row>13</xdr:row>
      <xdr:rowOff>102869</xdr:rowOff>
    </xdr:to>
    <xdr:graphicFrame macro="">
      <xdr:nvGraphicFramePr>
        <xdr:cNvPr id="3" name="Chart 2">
          <a:extLst>
            <a:ext uri="{FF2B5EF4-FFF2-40B4-BE49-F238E27FC236}">
              <a16:creationId xmlns:a16="http://schemas.microsoft.com/office/drawing/2014/main" id="{F0042631-7C30-B3CB-B9CA-36520C9F4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128196</xdr:colOff>
      <xdr:row>13</xdr:row>
      <xdr:rowOff>148366</xdr:rowOff>
    </xdr:from>
    <xdr:to>
      <xdr:col>23</xdr:col>
      <xdr:colOff>410136</xdr:colOff>
      <xdr:row>25</xdr:row>
      <xdr:rowOff>89872</xdr:rowOff>
    </xdr:to>
    <xdr:graphicFrame macro="">
      <xdr:nvGraphicFramePr>
        <xdr:cNvPr id="11" name="Chart 10">
          <a:extLst>
            <a:ext uri="{FF2B5EF4-FFF2-40B4-BE49-F238E27FC236}">
              <a16:creationId xmlns:a16="http://schemas.microsoft.com/office/drawing/2014/main" id="{D8069106-36F9-4412-B96B-8E2C6AA53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138952</xdr:colOff>
      <xdr:row>26</xdr:row>
      <xdr:rowOff>8069</xdr:rowOff>
    </xdr:from>
    <xdr:to>
      <xdr:col>23</xdr:col>
      <xdr:colOff>417755</xdr:colOff>
      <xdr:row>38</xdr:row>
      <xdr:rowOff>4259</xdr:rowOff>
    </xdr:to>
    <xdr:graphicFrame macro="">
      <xdr:nvGraphicFramePr>
        <xdr:cNvPr id="12" name="Chart 11">
          <a:extLst>
            <a:ext uri="{FF2B5EF4-FFF2-40B4-BE49-F238E27FC236}">
              <a16:creationId xmlns:a16="http://schemas.microsoft.com/office/drawing/2014/main" id="{290D835A-4D4F-4EE2-9D94-AC42B869C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1242172</xdr:colOff>
      <xdr:row>39</xdr:row>
      <xdr:rowOff>133350</xdr:rowOff>
    </xdr:from>
    <xdr:to>
      <xdr:col>13</xdr:col>
      <xdr:colOff>152400</xdr:colOff>
      <xdr:row>57</xdr:row>
      <xdr:rowOff>66674</xdr:rowOff>
    </xdr:to>
    <xdr:graphicFrame macro="">
      <xdr:nvGraphicFramePr>
        <xdr:cNvPr id="13" name="Chart 12">
          <a:extLst>
            <a:ext uri="{FF2B5EF4-FFF2-40B4-BE49-F238E27FC236}">
              <a16:creationId xmlns:a16="http://schemas.microsoft.com/office/drawing/2014/main" id="{6BD68BFA-4D63-FA26-4294-F879F58D0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183216</xdr:colOff>
      <xdr:row>17</xdr:row>
      <xdr:rowOff>53789</xdr:rowOff>
    </xdr:from>
    <xdr:to>
      <xdr:col>12</xdr:col>
      <xdr:colOff>488016</xdr:colOff>
      <xdr:row>32</xdr:row>
      <xdr:rowOff>53789</xdr:rowOff>
    </xdr:to>
    <xdr:graphicFrame macro="">
      <xdr:nvGraphicFramePr>
        <xdr:cNvPr id="23" name="Chart 22">
          <a:extLst>
            <a:ext uri="{FF2B5EF4-FFF2-40B4-BE49-F238E27FC236}">
              <a16:creationId xmlns:a16="http://schemas.microsoft.com/office/drawing/2014/main" id="{A02C56AB-D996-F7D3-20E6-396132922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38100</xdr:colOff>
      <xdr:row>9</xdr:row>
      <xdr:rowOff>114300</xdr:rowOff>
    </xdr:from>
    <xdr:to>
      <xdr:col>16</xdr:col>
      <xdr:colOff>295275</xdr:colOff>
      <xdr:row>33</xdr:row>
      <xdr:rowOff>57150</xdr:rowOff>
    </xdr:to>
    <xdr:graphicFrame macro="">
      <xdr:nvGraphicFramePr>
        <xdr:cNvPr id="24" name="Chart 23">
          <a:extLst>
            <a:ext uri="{FF2B5EF4-FFF2-40B4-BE49-F238E27FC236}">
              <a16:creationId xmlns:a16="http://schemas.microsoft.com/office/drawing/2014/main" id="{A3D46867-EA9F-4898-9ACD-F56F6C8C2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1741714</xdr:colOff>
      <xdr:row>0</xdr:row>
      <xdr:rowOff>95410</xdr:rowOff>
    </xdr:from>
    <xdr:to>
      <xdr:col>3</xdr:col>
      <xdr:colOff>191018</xdr:colOff>
      <xdr:row>1</xdr:row>
      <xdr:rowOff>152560</xdr:rowOff>
    </xdr:to>
    <xdr:sp macro="" textlink="">
      <xdr:nvSpPr>
        <xdr:cNvPr id="2" name="Rectangle 1">
          <a:extLst>
            <a:ext uri="{FF2B5EF4-FFF2-40B4-BE49-F238E27FC236}">
              <a16:creationId xmlns:a16="http://schemas.microsoft.com/office/drawing/2014/main" id="{29490A7D-29D6-4B7D-9E16-77273C4BDCD4}"/>
            </a:ext>
          </a:extLst>
        </xdr:cNvPr>
        <xdr:cNvSpPr/>
      </xdr:nvSpPr>
      <xdr:spPr>
        <a:xfrm>
          <a:off x="10235770222" y="95410"/>
          <a:ext cx="6328384" cy="262890"/>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rtl="1"/>
          <a:r>
            <a:rPr lang="he-IL" sz="1100">
              <a:latin typeface="Assistant" pitchFamily="2" charset="-79"/>
              <a:cs typeface="Assistant" pitchFamily="2" charset="-79"/>
            </a:rPr>
            <a:t>גרסה מספר</a:t>
          </a:r>
          <a:r>
            <a:rPr lang="he-IL" sz="1100" baseline="0">
              <a:latin typeface="Assistant" pitchFamily="2" charset="-79"/>
              <a:cs typeface="Assistant" pitchFamily="2" charset="-79"/>
            </a:rPr>
            <a:t> 2.0</a:t>
          </a:r>
          <a:endParaRPr lang="en-US" sz="1100">
            <a:latin typeface="Assistant" pitchFamily="2" charset="-79"/>
            <a:cs typeface="Assistant" pitchFamily="2" charset="-79"/>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1741714</xdr:colOff>
      <xdr:row>0</xdr:row>
      <xdr:rowOff>95410</xdr:rowOff>
    </xdr:from>
    <xdr:to>
      <xdr:col>3</xdr:col>
      <xdr:colOff>191018</xdr:colOff>
      <xdr:row>1</xdr:row>
      <xdr:rowOff>152560</xdr:rowOff>
    </xdr:to>
    <xdr:sp macro="" textlink="">
      <xdr:nvSpPr>
        <xdr:cNvPr id="2" name="Rectangle 1">
          <a:extLst>
            <a:ext uri="{FF2B5EF4-FFF2-40B4-BE49-F238E27FC236}">
              <a16:creationId xmlns:a16="http://schemas.microsoft.com/office/drawing/2014/main" id="{1EFA6DC7-FCF3-4B36-802A-5B8E4E82B4C3}"/>
            </a:ext>
          </a:extLst>
        </xdr:cNvPr>
        <xdr:cNvSpPr/>
      </xdr:nvSpPr>
      <xdr:spPr>
        <a:xfrm>
          <a:off x="10235762602" y="95410"/>
          <a:ext cx="3996664" cy="247650"/>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rtl="1"/>
          <a:r>
            <a:rPr lang="he-IL" sz="1100">
              <a:latin typeface="Assistant" pitchFamily="2" charset="-79"/>
              <a:cs typeface="Assistant" pitchFamily="2" charset="-79"/>
            </a:rPr>
            <a:t>גרסה מספר</a:t>
          </a:r>
          <a:r>
            <a:rPr lang="he-IL" sz="1100" baseline="0">
              <a:latin typeface="Assistant" pitchFamily="2" charset="-79"/>
              <a:cs typeface="Assistant" pitchFamily="2" charset="-79"/>
            </a:rPr>
            <a:t> 2.0</a:t>
          </a:r>
          <a:endParaRPr lang="en-US" sz="1100">
            <a:latin typeface="Assistant" pitchFamily="2" charset="-79"/>
            <a:cs typeface="Assistant" pitchFamily="2" charset="-79"/>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1741714</xdr:colOff>
      <xdr:row>0</xdr:row>
      <xdr:rowOff>95410</xdr:rowOff>
    </xdr:from>
    <xdr:to>
      <xdr:col>3</xdr:col>
      <xdr:colOff>191018</xdr:colOff>
      <xdr:row>1</xdr:row>
      <xdr:rowOff>152560</xdr:rowOff>
    </xdr:to>
    <xdr:sp macro="" textlink="">
      <xdr:nvSpPr>
        <xdr:cNvPr id="2" name="Rectangle 1">
          <a:extLst>
            <a:ext uri="{FF2B5EF4-FFF2-40B4-BE49-F238E27FC236}">
              <a16:creationId xmlns:a16="http://schemas.microsoft.com/office/drawing/2014/main" id="{27959CCA-9783-4AFE-99A6-9E81801B6B5D}"/>
            </a:ext>
          </a:extLst>
        </xdr:cNvPr>
        <xdr:cNvSpPr/>
      </xdr:nvSpPr>
      <xdr:spPr>
        <a:xfrm>
          <a:off x="10235770222" y="95410"/>
          <a:ext cx="6328384" cy="262890"/>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rtl="1"/>
          <a:r>
            <a:rPr lang="he-IL" sz="1100">
              <a:latin typeface="Assistant" pitchFamily="2" charset="-79"/>
              <a:cs typeface="Assistant" pitchFamily="2" charset="-79"/>
            </a:rPr>
            <a:t>גרסה מספר</a:t>
          </a:r>
          <a:r>
            <a:rPr lang="he-IL" sz="1100" baseline="0">
              <a:latin typeface="Assistant" pitchFamily="2" charset="-79"/>
              <a:cs typeface="Assistant" pitchFamily="2" charset="-79"/>
            </a:rPr>
            <a:t> 2.0</a:t>
          </a:r>
          <a:endParaRPr lang="en-US" sz="1100">
            <a:latin typeface="Assistant" pitchFamily="2" charset="-79"/>
            <a:cs typeface="Assistant" pitchFamily="2" charset="-79"/>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737147</xdr:colOff>
      <xdr:row>4</xdr:row>
      <xdr:rowOff>339916</xdr:rowOff>
    </xdr:from>
    <xdr:to>
      <xdr:col>2</xdr:col>
      <xdr:colOff>236877</xdr:colOff>
      <xdr:row>6</xdr:row>
      <xdr:rowOff>99394</xdr:rowOff>
    </xdr:to>
    <xdr:grpSp>
      <xdr:nvGrpSpPr>
        <xdr:cNvPr id="3" name="Group 2">
          <a:extLst>
            <a:ext uri="{FF2B5EF4-FFF2-40B4-BE49-F238E27FC236}">
              <a16:creationId xmlns:a16="http://schemas.microsoft.com/office/drawing/2014/main" id="{9A5FE496-CED7-4642-9399-8B4D730389CD}"/>
            </a:ext>
          </a:extLst>
        </xdr:cNvPr>
        <xdr:cNvGrpSpPr/>
      </xdr:nvGrpSpPr>
      <xdr:grpSpPr>
        <a:xfrm>
          <a:off x="10704449" y="1333829"/>
          <a:ext cx="1678056" cy="1581652"/>
          <a:chOff x="9983594220" y="1943101"/>
          <a:chExt cx="1404730" cy="1234108"/>
        </a:xfrm>
      </xdr:grpSpPr>
      <xdr:graphicFrame macro="">
        <xdr:nvGraphicFramePr>
          <xdr:cNvPr id="4" name="Chart 3">
            <a:extLst>
              <a:ext uri="{FF2B5EF4-FFF2-40B4-BE49-F238E27FC236}">
                <a16:creationId xmlns:a16="http://schemas.microsoft.com/office/drawing/2014/main" id="{B951867B-F3A9-1385-9AEE-30E0C98097C2}"/>
              </a:ext>
            </a:extLst>
          </xdr:cNvPr>
          <xdr:cNvGraphicFramePr>
            <a:graphicFrameLocks/>
          </xdr:cNvGraphicFramePr>
        </xdr:nvGraphicFramePr>
        <xdr:xfrm>
          <a:off x="9983594220" y="1943101"/>
          <a:ext cx="1404730" cy="1234108"/>
        </xdr:xfrm>
        <a:graphic>
          <a:graphicData uri="http://schemas.openxmlformats.org/drawingml/2006/chart">
            <c:chart xmlns:c="http://schemas.openxmlformats.org/drawingml/2006/chart" xmlns:r="http://schemas.openxmlformats.org/officeDocument/2006/relationships" r:id="rId1"/>
          </a:graphicData>
        </a:graphic>
      </xdr:graphicFrame>
      <xdr:sp macro="" textlink="חישובים!$G$6">
        <xdr:nvSpPr>
          <xdr:cNvPr id="5" name="Rectangle 4">
            <a:extLst>
              <a:ext uri="{FF2B5EF4-FFF2-40B4-BE49-F238E27FC236}">
                <a16:creationId xmlns:a16="http://schemas.microsoft.com/office/drawing/2014/main" id="{25DE7B68-FB38-7E9F-D0C0-CB498A9780B1}"/>
              </a:ext>
            </a:extLst>
          </xdr:cNvPr>
          <xdr:cNvSpPr/>
        </xdr:nvSpPr>
        <xdr:spPr>
          <a:xfrm>
            <a:off x="9983988214" y="2354304"/>
            <a:ext cx="609600"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B0F6A54C-7150-4F08-8A45-1ACEEB3DF293}" type="TxLink">
              <a:rPr lang="en-US" sz="1600" b="0" i="0" u="none" strike="noStrike">
                <a:solidFill>
                  <a:srgbClr val="0070C0"/>
                </a:solidFill>
                <a:latin typeface="KPMG Cyrillic Bold" panose="020B0803030202040204" pitchFamily="34" charset="0"/>
                <a:cs typeface="Calibri"/>
              </a:rPr>
              <a:pPr algn="ctr" rtl="1"/>
              <a:t>95%</a:t>
            </a:fld>
            <a:endParaRPr lang="en-US" sz="2400">
              <a:solidFill>
                <a:srgbClr val="0070C0"/>
              </a:solidFill>
              <a:latin typeface="KPMG Cyrillic Bold" panose="020B0803030202040204" pitchFamily="34" charset="0"/>
            </a:endParaRPr>
          </a:p>
        </xdr:txBody>
      </xdr:sp>
    </xdr:grpSp>
    <xdr:clientData/>
  </xdr:twoCellAnchor>
  <xdr:twoCellAnchor>
    <xdr:from>
      <xdr:col>1</xdr:col>
      <xdr:colOff>960019</xdr:colOff>
      <xdr:row>4</xdr:row>
      <xdr:rowOff>356482</xdr:rowOff>
    </xdr:from>
    <xdr:to>
      <xdr:col>3</xdr:col>
      <xdr:colOff>547958</xdr:colOff>
      <xdr:row>6</xdr:row>
      <xdr:rowOff>82827</xdr:rowOff>
    </xdr:to>
    <xdr:grpSp>
      <xdr:nvGrpSpPr>
        <xdr:cNvPr id="6" name="Group 5">
          <a:extLst>
            <a:ext uri="{FF2B5EF4-FFF2-40B4-BE49-F238E27FC236}">
              <a16:creationId xmlns:a16="http://schemas.microsoft.com/office/drawing/2014/main" id="{F3B777EB-CF7A-473B-81D4-2DB35F07B314}"/>
            </a:ext>
          </a:extLst>
        </xdr:cNvPr>
        <xdr:cNvGrpSpPr/>
      </xdr:nvGrpSpPr>
      <xdr:grpSpPr>
        <a:xfrm>
          <a:off x="9482281" y="1350395"/>
          <a:ext cx="1724852" cy="1548519"/>
          <a:chOff x="9983594367" y="1943100"/>
          <a:chExt cx="1404730" cy="1234108"/>
        </a:xfrm>
      </xdr:grpSpPr>
      <xdr:graphicFrame macro="">
        <xdr:nvGraphicFramePr>
          <xdr:cNvPr id="7" name="Chart 6">
            <a:extLst>
              <a:ext uri="{FF2B5EF4-FFF2-40B4-BE49-F238E27FC236}">
                <a16:creationId xmlns:a16="http://schemas.microsoft.com/office/drawing/2014/main" id="{81E74B09-A085-734B-79DE-B3DA7E5396BF}"/>
              </a:ext>
            </a:extLst>
          </xdr:cNvPr>
          <xdr:cNvGraphicFramePr>
            <a:graphicFrameLocks/>
          </xdr:cNvGraphicFramePr>
        </xdr:nvGraphicFramePr>
        <xdr:xfrm>
          <a:off x="9983594367" y="1943100"/>
          <a:ext cx="1404730" cy="1234108"/>
        </xdr:xfrm>
        <a:graphic>
          <a:graphicData uri="http://schemas.openxmlformats.org/drawingml/2006/chart">
            <c:chart xmlns:c="http://schemas.openxmlformats.org/drawingml/2006/chart" xmlns:r="http://schemas.openxmlformats.org/officeDocument/2006/relationships" r:id="rId2"/>
          </a:graphicData>
        </a:graphic>
      </xdr:graphicFrame>
      <xdr:sp macro="" textlink="חישובים!$H$6">
        <xdr:nvSpPr>
          <xdr:cNvPr id="8" name="Rectangle 7">
            <a:extLst>
              <a:ext uri="{FF2B5EF4-FFF2-40B4-BE49-F238E27FC236}">
                <a16:creationId xmlns:a16="http://schemas.microsoft.com/office/drawing/2014/main" id="{B77815EF-0FF2-933F-9985-46C1668B2EE3}"/>
              </a:ext>
            </a:extLst>
          </xdr:cNvPr>
          <xdr:cNvSpPr/>
        </xdr:nvSpPr>
        <xdr:spPr>
          <a:xfrm>
            <a:off x="9984003539" y="2354304"/>
            <a:ext cx="619124"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EC56C393-207C-43AB-89C5-F579F9D3AC50}" type="TxLink">
              <a:rPr lang="en-US" sz="1600" b="0" i="0" u="none" strike="noStrike">
                <a:solidFill>
                  <a:schemeClr val="accent4"/>
                </a:solidFill>
                <a:latin typeface="KPMG Cyrillic Bold" panose="020B0803030202040204" pitchFamily="34" charset="0"/>
                <a:cs typeface="Calibri"/>
              </a:rPr>
              <a:pPr algn="ctr" rtl="1"/>
              <a:t>96%</a:t>
            </a:fld>
            <a:endParaRPr lang="en-US" sz="2400">
              <a:solidFill>
                <a:schemeClr val="accent4"/>
              </a:solidFill>
              <a:latin typeface="KPMG Cyrillic Bold" panose="020B0803030202040204" pitchFamily="34" charset="0"/>
            </a:endParaRPr>
          </a:p>
        </xdr:txBody>
      </xdr:sp>
    </xdr:grpSp>
    <xdr:clientData/>
  </xdr:twoCellAnchor>
  <xdr:twoCellAnchor>
    <xdr:from>
      <xdr:col>3</xdr:col>
      <xdr:colOff>246414</xdr:colOff>
      <xdr:row>4</xdr:row>
      <xdr:rowOff>314739</xdr:rowOff>
    </xdr:from>
    <xdr:to>
      <xdr:col>4</xdr:col>
      <xdr:colOff>641909</xdr:colOff>
      <xdr:row>6</xdr:row>
      <xdr:rowOff>107676</xdr:rowOff>
    </xdr:to>
    <xdr:grpSp>
      <xdr:nvGrpSpPr>
        <xdr:cNvPr id="9" name="Group 8">
          <a:extLst>
            <a:ext uri="{FF2B5EF4-FFF2-40B4-BE49-F238E27FC236}">
              <a16:creationId xmlns:a16="http://schemas.microsoft.com/office/drawing/2014/main" id="{F0DAC248-D450-47A8-B2E9-CFD0789FDA7E}"/>
            </a:ext>
          </a:extLst>
        </xdr:cNvPr>
        <xdr:cNvGrpSpPr/>
      </xdr:nvGrpSpPr>
      <xdr:grpSpPr>
        <a:xfrm>
          <a:off x="8129373" y="1308652"/>
          <a:ext cx="1654452" cy="1615111"/>
          <a:chOff x="9983597568" y="1943100"/>
          <a:chExt cx="1404730" cy="1234108"/>
        </a:xfrm>
      </xdr:grpSpPr>
      <xdr:graphicFrame macro="">
        <xdr:nvGraphicFramePr>
          <xdr:cNvPr id="10" name="Chart 9">
            <a:extLst>
              <a:ext uri="{FF2B5EF4-FFF2-40B4-BE49-F238E27FC236}">
                <a16:creationId xmlns:a16="http://schemas.microsoft.com/office/drawing/2014/main" id="{FE58D444-D6A2-C3D6-A5F6-FDA589962744}"/>
              </a:ext>
            </a:extLst>
          </xdr:cNvPr>
          <xdr:cNvGraphicFramePr>
            <a:graphicFrameLocks/>
          </xdr:cNvGraphicFramePr>
        </xdr:nvGraphicFramePr>
        <xdr:xfrm>
          <a:off x="9983597568" y="1943100"/>
          <a:ext cx="1404730" cy="1234108"/>
        </xdr:xfrm>
        <a:graphic>
          <a:graphicData uri="http://schemas.openxmlformats.org/drawingml/2006/chart">
            <c:chart xmlns:c="http://schemas.openxmlformats.org/drawingml/2006/chart" xmlns:r="http://schemas.openxmlformats.org/officeDocument/2006/relationships" r:id="rId3"/>
          </a:graphicData>
        </a:graphic>
      </xdr:graphicFrame>
      <xdr:sp macro="" textlink="חישובים!$I$6">
        <xdr:nvSpPr>
          <xdr:cNvPr id="11" name="Rectangle 10">
            <a:extLst>
              <a:ext uri="{FF2B5EF4-FFF2-40B4-BE49-F238E27FC236}">
                <a16:creationId xmlns:a16="http://schemas.microsoft.com/office/drawing/2014/main" id="{61409229-68D6-4B7A-A601-B0E16E7B47B2}"/>
              </a:ext>
            </a:extLst>
          </xdr:cNvPr>
          <xdr:cNvSpPr/>
        </xdr:nvSpPr>
        <xdr:spPr>
          <a:xfrm>
            <a:off x="9984013477" y="2340064"/>
            <a:ext cx="571499"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2A884B21-06A1-4670-88BF-45B171DFABD7}" type="TxLink">
              <a:rPr lang="en-US" sz="1600" b="0" i="0" u="none" strike="noStrike">
                <a:solidFill>
                  <a:srgbClr val="7030A0"/>
                </a:solidFill>
                <a:latin typeface="KPMG Cyrillic Bold" panose="020B0803030202040204" pitchFamily="34" charset="0"/>
                <a:cs typeface="Calibri"/>
              </a:rPr>
              <a:pPr algn="ctr" rtl="1"/>
              <a:t>95%</a:t>
            </a:fld>
            <a:endParaRPr lang="en-US" sz="2400">
              <a:solidFill>
                <a:srgbClr val="7030A0"/>
              </a:solidFill>
              <a:latin typeface="KPMG Cyrillic Bold" panose="020B0803030202040204" pitchFamily="34" charset="0"/>
            </a:endParaRPr>
          </a:p>
        </xdr:txBody>
      </xdr:sp>
    </xdr:grpSp>
    <xdr:clientData/>
  </xdr:twoCellAnchor>
  <xdr:twoCellAnchor>
    <xdr:from>
      <xdr:col>4</xdr:col>
      <xdr:colOff>133765</xdr:colOff>
      <xdr:row>4</xdr:row>
      <xdr:rowOff>356153</xdr:rowOff>
    </xdr:from>
    <xdr:to>
      <xdr:col>4</xdr:col>
      <xdr:colOff>1581565</xdr:colOff>
      <xdr:row>6</xdr:row>
      <xdr:rowOff>115956</xdr:rowOff>
    </xdr:to>
    <xdr:grpSp>
      <xdr:nvGrpSpPr>
        <xdr:cNvPr id="65" name="Group 11">
          <a:extLst>
            <a:ext uri="{FF2B5EF4-FFF2-40B4-BE49-F238E27FC236}">
              <a16:creationId xmlns:a16="http://schemas.microsoft.com/office/drawing/2014/main" id="{A4BE5DFF-54F3-4DB7-9E2D-7BECB2EC0560}"/>
            </a:ext>
          </a:extLst>
        </xdr:cNvPr>
        <xdr:cNvGrpSpPr/>
      </xdr:nvGrpSpPr>
      <xdr:grpSpPr>
        <a:xfrm>
          <a:off x="7189717" y="1350066"/>
          <a:ext cx="1447800" cy="1581977"/>
          <a:chOff x="9983595620" y="1943100"/>
          <a:chExt cx="1404730" cy="1166465"/>
        </a:xfrm>
      </xdr:grpSpPr>
      <xdr:graphicFrame macro="">
        <xdr:nvGraphicFramePr>
          <xdr:cNvPr id="66" name="Chart 12">
            <a:extLst>
              <a:ext uri="{FF2B5EF4-FFF2-40B4-BE49-F238E27FC236}">
                <a16:creationId xmlns:a16="http://schemas.microsoft.com/office/drawing/2014/main" id="{755D542B-1153-1339-9CDC-ECCF6BF61443}"/>
              </a:ext>
            </a:extLst>
          </xdr:cNvPr>
          <xdr:cNvGraphicFramePr>
            <a:graphicFrameLocks/>
          </xdr:cNvGraphicFramePr>
        </xdr:nvGraphicFramePr>
        <xdr:xfrm>
          <a:off x="9983595620" y="1943100"/>
          <a:ext cx="1404730" cy="1166465"/>
        </xdr:xfrm>
        <a:graphic>
          <a:graphicData uri="http://schemas.openxmlformats.org/drawingml/2006/chart">
            <c:chart xmlns:c="http://schemas.openxmlformats.org/drawingml/2006/chart" xmlns:r="http://schemas.openxmlformats.org/officeDocument/2006/relationships" r:id="rId4"/>
          </a:graphicData>
        </a:graphic>
      </xdr:graphicFrame>
      <xdr:sp macro="" textlink="חישובים!J6">
        <xdr:nvSpPr>
          <xdr:cNvPr id="67" name="Rectangle 13">
            <a:extLst>
              <a:ext uri="{FF2B5EF4-FFF2-40B4-BE49-F238E27FC236}">
                <a16:creationId xmlns:a16="http://schemas.microsoft.com/office/drawing/2014/main" id="{BD9AB851-DD8B-325B-7CDA-F72F7BE72938}"/>
              </a:ext>
            </a:extLst>
          </xdr:cNvPr>
          <xdr:cNvSpPr/>
        </xdr:nvSpPr>
        <xdr:spPr>
          <a:xfrm>
            <a:off x="9984057702" y="2302353"/>
            <a:ext cx="51232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1354DC45-D43C-4D21-BD06-A0AFE2DD328E}" type="TxLink">
              <a:rPr lang="en-US" sz="1600" b="0" i="0" u="none" strike="noStrike">
                <a:solidFill>
                  <a:srgbClr val="FF5050"/>
                </a:solidFill>
                <a:latin typeface="KPMG Cyrillic Bold" panose="020B0803030202040204" pitchFamily="34" charset="0"/>
                <a:cs typeface="Calibri"/>
              </a:rPr>
              <a:pPr algn="ctr" rtl="1"/>
              <a:t>100%</a:t>
            </a:fld>
            <a:endParaRPr lang="en-US" sz="3600">
              <a:solidFill>
                <a:srgbClr val="FF5050"/>
              </a:solidFill>
              <a:latin typeface="KPMG Cyrillic Bold" panose="020B0803030202040204" pitchFamily="34" charset="0"/>
            </a:endParaRPr>
          </a:p>
        </xdr:txBody>
      </xdr:sp>
    </xdr:grpSp>
    <xdr:clientData/>
  </xdr:twoCellAnchor>
  <xdr:twoCellAnchor>
    <xdr:from>
      <xdr:col>4</xdr:col>
      <xdr:colOff>1224584</xdr:colOff>
      <xdr:row>4</xdr:row>
      <xdr:rowOff>354497</xdr:rowOff>
    </xdr:from>
    <xdr:to>
      <xdr:col>4</xdr:col>
      <xdr:colOff>2655819</xdr:colOff>
      <xdr:row>6</xdr:row>
      <xdr:rowOff>115958</xdr:rowOff>
    </xdr:to>
    <xdr:grpSp>
      <xdr:nvGrpSpPr>
        <xdr:cNvPr id="55" name="Group 14">
          <a:extLst>
            <a:ext uri="{FF2B5EF4-FFF2-40B4-BE49-F238E27FC236}">
              <a16:creationId xmlns:a16="http://schemas.microsoft.com/office/drawing/2014/main" id="{1DD5C62F-E65D-4F2C-A938-7E114416B0FA}"/>
            </a:ext>
          </a:extLst>
        </xdr:cNvPr>
        <xdr:cNvGrpSpPr/>
      </xdr:nvGrpSpPr>
      <xdr:grpSpPr>
        <a:xfrm>
          <a:off x="6115463" y="1348410"/>
          <a:ext cx="1431235" cy="1583635"/>
          <a:chOff x="9983595620" y="1943100"/>
          <a:chExt cx="1404730" cy="1234108"/>
        </a:xfrm>
      </xdr:grpSpPr>
      <xdr:graphicFrame macro="">
        <xdr:nvGraphicFramePr>
          <xdr:cNvPr id="56" name="Chart 15">
            <a:extLst>
              <a:ext uri="{FF2B5EF4-FFF2-40B4-BE49-F238E27FC236}">
                <a16:creationId xmlns:a16="http://schemas.microsoft.com/office/drawing/2014/main" id="{45CBB40F-31B8-44B8-35FB-DE41EA8E9B15}"/>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5"/>
          </a:graphicData>
        </a:graphic>
      </xdr:graphicFrame>
      <xdr:sp macro="" textlink="#REF!">
        <xdr:nvSpPr>
          <xdr:cNvPr id="57" name="Rectangle 16">
            <a:extLst>
              <a:ext uri="{FF2B5EF4-FFF2-40B4-BE49-F238E27FC236}">
                <a16:creationId xmlns:a16="http://schemas.microsoft.com/office/drawing/2014/main" id="{4A43DA88-36DE-63B4-6921-D05B76EADCB8}"/>
              </a:ext>
            </a:extLst>
          </xdr:cNvPr>
          <xdr:cNvSpPr/>
        </xdr:nvSpPr>
        <xdr:spPr>
          <a:xfrm>
            <a:off x="9984057702" y="2333625"/>
            <a:ext cx="51232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6B811278-484A-469E-8568-7C03B4F8E07B}" type="TxLink">
              <a:rPr lang="en-US" sz="1600" b="0" i="0" u="none" strike="noStrike">
                <a:solidFill>
                  <a:schemeClr val="accent6"/>
                </a:solidFill>
                <a:latin typeface="KPMG Cyrillic Bold" panose="020B0803030202040204" pitchFamily="34" charset="0"/>
                <a:cs typeface="Calibri"/>
              </a:rPr>
              <a:pPr algn="ctr" rtl="1"/>
              <a:t>100%</a:t>
            </a:fld>
            <a:endParaRPr lang="en-US" sz="4000">
              <a:solidFill>
                <a:schemeClr val="accent6"/>
              </a:solidFill>
              <a:latin typeface="KPMG Cyrillic Bold" panose="020B0803030202040204" pitchFamily="34" charset="0"/>
            </a:endParaRPr>
          </a:p>
        </xdr:txBody>
      </xdr:sp>
    </xdr:grpSp>
    <xdr:clientData/>
  </xdr:twoCellAnchor>
  <xdr:twoCellAnchor>
    <xdr:from>
      <xdr:col>4</xdr:col>
      <xdr:colOff>2534477</xdr:colOff>
      <xdr:row>4</xdr:row>
      <xdr:rowOff>157369</xdr:rowOff>
    </xdr:from>
    <xdr:to>
      <xdr:col>4</xdr:col>
      <xdr:colOff>2534477</xdr:colOff>
      <xdr:row>6</xdr:row>
      <xdr:rowOff>8283</xdr:rowOff>
    </xdr:to>
    <xdr:cxnSp macro="">
      <xdr:nvCxnSpPr>
        <xdr:cNvPr id="24" name="Straight Connector 23">
          <a:extLst>
            <a:ext uri="{FF2B5EF4-FFF2-40B4-BE49-F238E27FC236}">
              <a16:creationId xmlns:a16="http://schemas.microsoft.com/office/drawing/2014/main" id="{317C3B1D-CFC7-053B-D036-4616FDB386FB}"/>
            </a:ext>
          </a:extLst>
        </xdr:cNvPr>
        <xdr:cNvCxnSpPr/>
      </xdr:nvCxnSpPr>
      <xdr:spPr>
        <a:xfrm>
          <a:off x="13160493718" y="902804"/>
          <a:ext cx="0" cy="16813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2552785</xdr:colOff>
      <xdr:row>4</xdr:row>
      <xdr:rowOff>40106</xdr:rowOff>
    </xdr:from>
    <xdr:to>
      <xdr:col>5</xdr:col>
      <xdr:colOff>614656</xdr:colOff>
      <xdr:row>4</xdr:row>
      <xdr:rowOff>793380</xdr:rowOff>
    </xdr:to>
    <xdr:sp macro="" textlink="">
      <xdr:nvSpPr>
        <xdr:cNvPr id="28" name="Rectangle 27">
          <a:extLst>
            <a:ext uri="{FF2B5EF4-FFF2-40B4-BE49-F238E27FC236}">
              <a16:creationId xmlns:a16="http://schemas.microsoft.com/office/drawing/2014/main" id="{5DD7998F-61FB-B978-9284-A272B2E60C0F}"/>
            </a:ext>
          </a:extLst>
        </xdr:cNvPr>
        <xdr:cNvSpPr/>
      </xdr:nvSpPr>
      <xdr:spPr>
        <a:xfrm>
          <a:off x="13137839476" y="1042738"/>
          <a:ext cx="1220160" cy="7532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b="1">
              <a:solidFill>
                <a:srgbClr val="F99633"/>
              </a:solidFill>
              <a:latin typeface="Assistant" pitchFamily="2" charset="-79"/>
              <a:cs typeface="Assistant" pitchFamily="2" charset="-79"/>
            </a:rPr>
            <a:t>כמות בקרות להם יש בקרת טכנית מומלצת</a:t>
          </a:r>
          <a:r>
            <a:rPr lang="he-IL" sz="1100" b="1" baseline="0">
              <a:solidFill>
                <a:srgbClr val="F99633"/>
              </a:solidFill>
              <a:latin typeface="Assistant" pitchFamily="2" charset="-79"/>
              <a:cs typeface="Assistant" pitchFamily="2" charset="-79"/>
            </a:rPr>
            <a:t> של הספק</a:t>
          </a:r>
          <a:endParaRPr lang="he-IL" sz="1100" b="1">
            <a:solidFill>
              <a:srgbClr val="F99633"/>
            </a:solidFill>
            <a:latin typeface="Assistant" pitchFamily="2" charset="-79"/>
            <a:cs typeface="Assistant" pitchFamily="2" charset="-79"/>
          </a:endParaRPr>
        </a:p>
      </xdr:txBody>
    </xdr:sp>
    <xdr:clientData/>
  </xdr:twoCellAnchor>
  <xdr:twoCellAnchor>
    <xdr:from>
      <xdr:col>4</xdr:col>
      <xdr:colOff>2501357</xdr:colOff>
      <xdr:row>4</xdr:row>
      <xdr:rowOff>629482</xdr:rowOff>
    </xdr:from>
    <xdr:to>
      <xdr:col>5</xdr:col>
      <xdr:colOff>785201</xdr:colOff>
      <xdr:row>5</xdr:row>
      <xdr:rowOff>71234</xdr:rowOff>
    </xdr:to>
    <xdr:grpSp>
      <xdr:nvGrpSpPr>
        <xdr:cNvPr id="29" name="Group 28">
          <a:extLst>
            <a:ext uri="{FF2B5EF4-FFF2-40B4-BE49-F238E27FC236}">
              <a16:creationId xmlns:a16="http://schemas.microsoft.com/office/drawing/2014/main" id="{5F4ECDB3-7B6D-4EBA-A85A-2C6C8DD8E1DD}"/>
            </a:ext>
          </a:extLst>
        </xdr:cNvPr>
        <xdr:cNvGrpSpPr/>
      </xdr:nvGrpSpPr>
      <xdr:grpSpPr>
        <a:xfrm>
          <a:off x="4366581" y="1623395"/>
          <a:ext cx="1903344" cy="1081709"/>
          <a:chOff x="9983595620" y="1943100"/>
          <a:chExt cx="1404730" cy="1234108"/>
        </a:xfrm>
      </xdr:grpSpPr>
      <xdr:graphicFrame macro="">
        <xdr:nvGraphicFramePr>
          <xdr:cNvPr id="30" name="Chart 29">
            <a:extLst>
              <a:ext uri="{FF2B5EF4-FFF2-40B4-BE49-F238E27FC236}">
                <a16:creationId xmlns:a16="http://schemas.microsoft.com/office/drawing/2014/main" id="{3C947880-5C10-EA4B-6A15-C9D2A4F4BE8B}"/>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6"/>
          </a:graphicData>
        </a:graphic>
      </xdr:graphicFrame>
      <xdr:sp macro="" textlink="חישובים!S5">
        <xdr:nvSpPr>
          <xdr:cNvPr id="31" name="Rectangle 30">
            <a:extLst>
              <a:ext uri="{FF2B5EF4-FFF2-40B4-BE49-F238E27FC236}">
                <a16:creationId xmlns:a16="http://schemas.microsoft.com/office/drawing/2014/main" id="{B5233391-56D0-D091-E192-68125FBAA74D}"/>
              </a:ext>
            </a:extLst>
          </xdr:cNvPr>
          <xdr:cNvSpPr/>
        </xdr:nvSpPr>
        <xdr:spPr>
          <a:xfrm>
            <a:off x="9984002252" y="2333625"/>
            <a:ext cx="56777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5910B3C2-F29C-41E6-8933-CD79F711F110}" type="TxLink">
              <a:rPr lang="en-US" sz="1600" b="0" i="0" u="none" strike="noStrike">
                <a:solidFill>
                  <a:srgbClr val="F99633"/>
                </a:solidFill>
                <a:latin typeface="KPMG Cyrillic Bold" panose="020B0803030202040204" pitchFamily="34" charset="0"/>
                <a:cs typeface="Calibri"/>
              </a:rPr>
              <a:pPr algn="ctr" rtl="1"/>
              <a:t>48%</a:t>
            </a:fld>
            <a:endParaRPr lang="en-US" sz="3600">
              <a:solidFill>
                <a:srgbClr val="F99633"/>
              </a:solidFill>
              <a:latin typeface="KPMG Cyrillic Bold" panose="020B0803030202040204" pitchFamily="34" charset="0"/>
            </a:endParaRPr>
          </a:p>
        </xdr:txBody>
      </xdr:sp>
    </xdr:grpSp>
    <xdr:clientData/>
  </xdr:twoCellAnchor>
  <xdr:twoCellAnchor>
    <xdr:from>
      <xdr:col>5</xdr:col>
      <xdr:colOff>339588</xdr:colOff>
      <xdr:row>4</xdr:row>
      <xdr:rowOff>637764</xdr:rowOff>
    </xdr:from>
    <xdr:to>
      <xdr:col>8</xdr:col>
      <xdr:colOff>387627</xdr:colOff>
      <xdr:row>5</xdr:row>
      <xdr:rowOff>79516</xdr:rowOff>
    </xdr:to>
    <xdr:grpSp>
      <xdr:nvGrpSpPr>
        <xdr:cNvPr id="32" name="Group 31">
          <a:extLst>
            <a:ext uri="{FF2B5EF4-FFF2-40B4-BE49-F238E27FC236}">
              <a16:creationId xmlns:a16="http://schemas.microsoft.com/office/drawing/2014/main" id="{D6DD794D-D2D0-4FD8-8DF7-270B645741D6}"/>
            </a:ext>
          </a:extLst>
        </xdr:cNvPr>
        <xdr:cNvGrpSpPr/>
      </xdr:nvGrpSpPr>
      <xdr:grpSpPr>
        <a:xfrm>
          <a:off x="2213112" y="1631677"/>
          <a:ext cx="2599082" cy="1081709"/>
          <a:chOff x="9983595620" y="1943100"/>
          <a:chExt cx="1404730" cy="1234108"/>
        </a:xfrm>
      </xdr:grpSpPr>
      <xdr:graphicFrame macro="">
        <xdr:nvGraphicFramePr>
          <xdr:cNvPr id="33" name="Chart 32">
            <a:extLst>
              <a:ext uri="{FF2B5EF4-FFF2-40B4-BE49-F238E27FC236}">
                <a16:creationId xmlns:a16="http://schemas.microsoft.com/office/drawing/2014/main" id="{213D3E12-9622-A292-67CD-B311AF007509}"/>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7"/>
          </a:graphicData>
        </a:graphic>
      </xdr:graphicFrame>
      <xdr:sp macro="" textlink="חישובים!T5">
        <xdr:nvSpPr>
          <xdr:cNvPr id="34" name="Rectangle 33">
            <a:extLst>
              <a:ext uri="{FF2B5EF4-FFF2-40B4-BE49-F238E27FC236}">
                <a16:creationId xmlns:a16="http://schemas.microsoft.com/office/drawing/2014/main" id="{4652B8E3-07EC-76E4-BB57-BEF995159CF5}"/>
              </a:ext>
            </a:extLst>
          </xdr:cNvPr>
          <xdr:cNvSpPr/>
        </xdr:nvSpPr>
        <xdr:spPr>
          <a:xfrm>
            <a:off x="9984002252" y="2333625"/>
            <a:ext cx="56777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06F58272-BABA-4C16-9F06-7848ADFAAB05}" type="TxLink">
              <a:rPr lang="en-US" sz="1600" b="0" i="0" u="none" strike="noStrike">
                <a:solidFill>
                  <a:schemeClr val="accent1">
                    <a:lumMod val="60000"/>
                    <a:lumOff val="40000"/>
                  </a:schemeClr>
                </a:solidFill>
                <a:latin typeface="KPMG Cyrillic Bold" panose="020B0803030202040204" pitchFamily="34" charset="0"/>
                <a:cs typeface="Calibri"/>
              </a:rPr>
              <a:pPr algn="ctr" rtl="1"/>
              <a:t>11%</a:t>
            </a:fld>
            <a:endParaRPr lang="en-US" sz="4800">
              <a:solidFill>
                <a:schemeClr val="accent1">
                  <a:lumMod val="60000"/>
                  <a:lumOff val="40000"/>
                </a:schemeClr>
              </a:solidFill>
              <a:latin typeface="KPMG Cyrillic Bold" panose="020B0803030202040204" pitchFamily="34" charset="0"/>
            </a:endParaRPr>
          </a:p>
        </xdr:txBody>
      </xdr:sp>
    </xdr:grpSp>
    <xdr:clientData/>
  </xdr:twoCellAnchor>
  <xdr:twoCellAnchor>
    <xdr:from>
      <xdr:col>5</xdr:col>
      <xdr:colOff>503254</xdr:colOff>
      <xdr:row>3</xdr:row>
      <xdr:rowOff>17935</xdr:rowOff>
    </xdr:from>
    <xdr:to>
      <xdr:col>8</xdr:col>
      <xdr:colOff>205081</xdr:colOff>
      <xdr:row>4</xdr:row>
      <xdr:rowOff>1014027</xdr:rowOff>
    </xdr:to>
    <xdr:sp macro="" textlink="">
      <xdr:nvSpPr>
        <xdr:cNvPr id="35" name="Rectangle 34">
          <a:extLst>
            <a:ext uri="{FF2B5EF4-FFF2-40B4-BE49-F238E27FC236}">
              <a16:creationId xmlns:a16="http://schemas.microsoft.com/office/drawing/2014/main" id="{B887CB8F-8170-E405-109B-004A2BC1FADE}"/>
            </a:ext>
          </a:extLst>
        </xdr:cNvPr>
        <xdr:cNvSpPr/>
      </xdr:nvSpPr>
      <xdr:spPr>
        <a:xfrm>
          <a:off x="2072637" y="763370"/>
          <a:ext cx="1938131" cy="12445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b="1">
              <a:solidFill>
                <a:schemeClr val="accent1">
                  <a:lumMod val="60000"/>
                  <a:lumOff val="40000"/>
                </a:schemeClr>
              </a:solidFill>
              <a:latin typeface="Assistant" pitchFamily="2" charset="-79"/>
              <a:cs typeface="Assistant" pitchFamily="2" charset="-79"/>
            </a:rPr>
            <a:t>כמות בקרות</a:t>
          </a:r>
          <a:r>
            <a:rPr lang="en-US" sz="1100" b="1" baseline="0">
              <a:solidFill>
                <a:schemeClr val="accent1">
                  <a:lumMod val="60000"/>
                  <a:lumOff val="40000"/>
                </a:schemeClr>
              </a:solidFill>
              <a:latin typeface="Assistant" pitchFamily="2" charset="-79"/>
              <a:cs typeface="Assistant" pitchFamily="2" charset="-79"/>
            </a:rPr>
            <a:t> </a:t>
          </a:r>
          <a:r>
            <a:rPr lang="he-IL" sz="1100" b="1" baseline="0">
              <a:solidFill>
                <a:schemeClr val="accent1">
                  <a:lumMod val="60000"/>
                  <a:lumOff val="40000"/>
                </a:schemeClr>
              </a:solidFill>
              <a:latin typeface="Assistant" pitchFamily="2" charset="-79"/>
              <a:cs typeface="Assistant" pitchFamily="2" charset="-79"/>
            </a:rPr>
            <a:t>שמתקבלות כברירת מחדל </a:t>
          </a:r>
          <a:r>
            <a:rPr lang="he-IL" sz="1100" b="1">
              <a:solidFill>
                <a:schemeClr val="accent1">
                  <a:lumMod val="60000"/>
                  <a:lumOff val="40000"/>
                </a:schemeClr>
              </a:solidFill>
              <a:latin typeface="Assistant" pitchFamily="2" charset="-79"/>
              <a:cs typeface="Assistant" pitchFamily="2" charset="-79"/>
            </a:rPr>
            <a:t> ב-</a:t>
          </a:r>
          <a:r>
            <a:rPr lang="en-US" sz="1100" b="1">
              <a:solidFill>
                <a:schemeClr val="accent1">
                  <a:lumMod val="60000"/>
                  <a:lumOff val="40000"/>
                </a:schemeClr>
              </a:solidFill>
              <a:latin typeface="Assistant" pitchFamily="2" charset="-79"/>
              <a:cs typeface="Assistant" pitchFamily="2" charset="-79"/>
            </a:rPr>
            <a:t>LZ</a:t>
          </a:r>
          <a:r>
            <a:rPr lang="he-IL" sz="1100" b="1" baseline="0">
              <a:solidFill>
                <a:schemeClr val="accent1">
                  <a:lumMod val="60000"/>
                  <a:lumOff val="40000"/>
                </a:schemeClr>
              </a:solidFill>
              <a:latin typeface="Assistant" pitchFamily="2" charset="-79"/>
              <a:cs typeface="Assistant" pitchFamily="2" charset="-79"/>
            </a:rPr>
            <a:t> הממשלתי</a:t>
          </a:r>
          <a:endParaRPr lang="he-IL" sz="1100" b="1">
            <a:solidFill>
              <a:schemeClr val="accent1">
                <a:lumMod val="60000"/>
                <a:lumOff val="40000"/>
              </a:schemeClr>
            </a:solidFill>
            <a:latin typeface="Assistant" pitchFamily="2" charset="-79"/>
            <a:cs typeface="Assistant" pitchFamily="2" charset="-79"/>
          </a:endParaRPr>
        </a:p>
      </xdr:txBody>
    </xdr:sp>
    <xdr:clientData/>
  </xdr:twoCellAnchor>
  <xdr:twoCellAnchor>
    <xdr:from>
      <xdr:col>7</xdr:col>
      <xdr:colOff>530091</xdr:colOff>
      <xdr:row>4</xdr:row>
      <xdr:rowOff>646047</xdr:rowOff>
    </xdr:from>
    <xdr:to>
      <xdr:col>9</xdr:col>
      <xdr:colOff>81174</xdr:colOff>
      <xdr:row>5</xdr:row>
      <xdr:rowOff>87799</xdr:rowOff>
    </xdr:to>
    <xdr:grpSp>
      <xdr:nvGrpSpPr>
        <xdr:cNvPr id="39" name="Group 38">
          <a:extLst>
            <a:ext uri="{FF2B5EF4-FFF2-40B4-BE49-F238E27FC236}">
              <a16:creationId xmlns:a16="http://schemas.microsoft.com/office/drawing/2014/main" id="{2D6978CB-691D-4C6F-A032-36FF6C7D1A6D}"/>
            </a:ext>
          </a:extLst>
        </xdr:cNvPr>
        <xdr:cNvGrpSpPr/>
      </xdr:nvGrpSpPr>
      <xdr:grpSpPr>
        <a:xfrm>
          <a:off x="995565" y="1639960"/>
          <a:ext cx="1721126" cy="1081709"/>
          <a:chOff x="9983595620" y="1943100"/>
          <a:chExt cx="1404730" cy="1234108"/>
        </a:xfrm>
      </xdr:grpSpPr>
      <xdr:graphicFrame macro="">
        <xdr:nvGraphicFramePr>
          <xdr:cNvPr id="40" name="Chart 39">
            <a:extLst>
              <a:ext uri="{FF2B5EF4-FFF2-40B4-BE49-F238E27FC236}">
                <a16:creationId xmlns:a16="http://schemas.microsoft.com/office/drawing/2014/main" id="{7D021E91-6C14-1B1B-139E-45E6A484FDB2}"/>
              </a:ext>
            </a:extLst>
          </xdr:cNvPr>
          <xdr:cNvGraphicFramePr>
            <a:graphicFrameLocks/>
          </xdr:cNvGraphicFramePr>
        </xdr:nvGraphicFramePr>
        <xdr:xfrm>
          <a:off x="9983595620" y="1943100"/>
          <a:ext cx="1404730" cy="1234108"/>
        </xdr:xfrm>
        <a:graphic>
          <a:graphicData uri="http://schemas.openxmlformats.org/drawingml/2006/chart">
            <c:chart xmlns:c="http://schemas.openxmlformats.org/drawingml/2006/chart" xmlns:r="http://schemas.openxmlformats.org/officeDocument/2006/relationships" r:id="rId8"/>
          </a:graphicData>
        </a:graphic>
      </xdr:graphicFrame>
      <xdr:sp macro="" textlink="חישובים!U5">
        <xdr:nvSpPr>
          <xdr:cNvPr id="41" name="Rectangle 40">
            <a:extLst>
              <a:ext uri="{FF2B5EF4-FFF2-40B4-BE49-F238E27FC236}">
                <a16:creationId xmlns:a16="http://schemas.microsoft.com/office/drawing/2014/main" id="{6D36E15C-0367-E84C-5A8C-EEDFA11DC8C7}"/>
              </a:ext>
            </a:extLst>
          </xdr:cNvPr>
          <xdr:cNvSpPr/>
        </xdr:nvSpPr>
        <xdr:spPr>
          <a:xfrm>
            <a:off x="9984018326" y="2324175"/>
            <a:ext cx="567773" cy="41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845C11FE-6A5D-4A0D-8AB5-F06AD5997538}" type="TxLink">
              <a:rPr lang="en-US" sz="1600" b="0" i="0" u="none" strike="noStrike">
                <a:solidFill>
                  <a:srgbClr val="000000"/>
                </a:solidFill>
                <a:latin typeface="KPMG Cyrillic Bold" panose="020B0803030202040204" pitchFamily="34" charset="0"/>
                <a:cs typeface="Calibri"/>
              </a:rPr>
              <a:pPr algn="ctr" rtl="1"/>
              <a:t>57%</a:t>
            </a:fld>
            <a:endParaRPr lang="en-US" sz="6600">
              <a:solidFill>
                <a:schemeClr val="accent1">
                  <a:lumMod val="60000"/>
                  <a:lumOff val="40000"/>
                </a:schemeClr>
              </a:solidFill>
              <a:latin typeface="KPMG Cyrillic Bold" panose="020B0803030202040204" pitchFamily="34" charset="0"/>
            </a:endParaRPr>
          </a:p>
        </xdr:txBody>
      </xdr:sp>
    </xdr:grpSp>
    <xdr:clientData/>
  </xdr:twoCellAnchor>
  <xdr:twoCellAnchor>
    <xdr:from>
      <xdr:col>8</xdr:col>
      <xdr:colOff>225371</xdr:colOff>
      <xdr:row>3</xdr:row>
      <xdr:rowOff>44025</xdr:rowOff>
    </xdr:from>
    <xdr:to>
      <xdr:col>8</xdr:col>
      <xdr:colOff>1310395</xdr:colOff>
      <xdr:row>4</xdr:row>
      <xdr:rowOff>1040117</xdr:rowOff>
    </xdr:to>
    <xdr:sp macro="" textlink="">
      <xdr:nvSpPr>
        <xdr:cNvPr id="42" name="Rectangle 41">
          <a:extLst>
            <a:ext uri="{FF2B5EF4-FFF2-40B4-BE49-F238E27FC236}">
              <a16:creationId xmlns:a16="http://schemas.microsoft.com/office/drawing/2014/main" id="{AB28EEFB-791C-B240-50C1-6551F92C4190}"/>
            </a:ext>
          </a:extLst>
        </xdr:cNvPr>
        <xdr:cNvSpPr/>
      </xdr:nvSpPr>
      <xdr:spPr>
        <a:xfrm>
          <a:off x="13135740053" y="795999"/>
          <a:ext cx="1085024" cy="1246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b="1">
              <a:solidFill>
                <a:sysClr val="windowText" lastClr="000000"/>
              </a:solidFill>
              <a:latin typeface="Assistant" pitchFamily="2" charset="-79"/>
              <a:cs typeface="Assistant" pitchFamily="2" charset="-79"/>
            </a:rPr>
            <a:t>כמות</a:t>
          </a:r>
          <a:r>
            <a:rPr lang="he-IL" sz="1100" b="1" baseline="0">
              <a:solidFill>
                <a:sysClr val="windowText" lastClr="000000"/>
              </a:solidFill>
              <a:latin typeface="Assistant" pitchFamily="2" charset="-79"/>
              <a:cs typeface="Assistant" pitchFamily="2" charset="-79"/>
            </a:rPr>
            <a:t> בקרות רוחביות לארגון</a:t>
          </a:r>
          <a:endParaRPr lang="he-IL" sz="1100" b="1">
            <a:solidFill>
              <a:sysClr val="windowText" lastClr="000000"/>
            </a:solidFill>
            <a:latin typeface="Assistant" pitchFamily="2" charset="-79"/>
            <a:cs typeface="Assistant" pitchFamily="2" charset="-79"/>
          </a:endParaRPr>
        </a:p>
      </xdr:txBody>
    </xdr:sp>
    <xdr:clientData/>
  </xdr:twoCellAnchor>
  <xdr:twoCellAnchor>
    <xdr:from>
      <xdr:col>1</xdr:col>
      <xdr:colOff>273326</xdr:colOff>
      <xdr:row>4</xdr:row>
      <xdr:rowOff>1615109</xdr:rowOff>
    </xdr:from>
    <xdr:to>
      <xdr:col>1</xdr:col>
      <xdr:colOff>927653</xdr:colOff>
      <xdr:row>6</xdr:row>
      <xdr:rowOff>16566</xdr:rowOff>
    </xdr:to>
    <xdr:sp macro="" textlink="חישובים!G2">
      <xdr:nvSpPr>
        <xdr:cNvPr id="43" name="Rectangle 42">
          <a:extLst>
            <a:ext uri="{FF2B5EF4-FFF2-40B4-BE49-F238E27FC236}">
              <a16:creationId xmlns:a16="http://schemas.microsoft.com/office/drawing/2014/main" id="{D495B71D-0410-7B6B-3798-C7E6E602A74F}"/>
            </a:ext>
          </a:extLst>
        </xdr:cNvPr>
        <xdr:cNvSpPr/>
      </xdr:nvSpPr>
      <xdr:spPr>
        <a:xfrm>
          <a:off x="13165073999" y="2360544"/>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301D8A9F-424A-4297-B8DD-786E8211ACBB}" type="TxLink">
            <a:rPr lang="en-US" sz="1100" b="0" i="0" u="none" strike="noStrike">
              <a:solidFill>
                <a:srgbClr val="000000"/>
              </a:solidFill>
              <a:latin typeface="Calibri"/>
              <a:cs typeface="Calibri"/>
            </a:rPr>
            <a:pPr algn="ctr" rtl="1"/>
            <a:t>20/21</a:t>
          </a:fld>
          <a:endParaRPr lang="en-US" sz="1100"/>
        </a:p>
      </xdr:txBody>
    </xdr:sp>
    <xdr:clientData/>
  </xdr:twoCellAnchor>
  <xdr:twoCellAnchor>
    <xdr:from>
      <xdr:col>2</xdr:col>
      <xdr:colOff>281608</xdr:colOff>
      <xdr:row>4</xdr:row>
      <xdr:rowOff>1631674</xdr:rowOff>
    </xdr:from>
    <xdr:to>
      <xdr:col>3</xdr:col>
      <xdr:colOff>132522</xdr:colOff>
      <xdr:row>6</xdr:row>
      <xdr:rowOff>33131</xdr:rowOff>
    </xdr:to>
    <xdr:sp macro="" textlink="חישובים!H2">
      <xdr:nvSpPr>
        <xdr:cNvPr id="44" name="Rectangle 43">
          <a:extLst>
            <a:ext uri="{FF2B5EF4-FFF2-40B4-BE49-F238E27FC236}">
              <a16:creationId xmlns:a16="http://schemas.microsoft.com/office/drawing/2014/main" id="{6336E671-16EE-A804-3138-1E923CD4B867}"/>
            </a:ext>
          </a:extLst>
        </xdr:cNvPr>
        <xdr:cNvSpPr/>
      </xdr:nvSpPr>
      <xdr:spPr>
        <a:xfrm>
          <a:off x="13163988978" y="2377109"/>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FD809A90-0687-4F54-941F-BBF9875AE957}" type="TxLink">
            <a:rPr lang="en-US" sz="1100" b="0" i="0" u="none" strike="noStrike">
              <a:solidFill>
                <a:srgbClr val="000000"/>
              </a:solidFill>
              <a:latin typeface="Calibri"/>
              <a:cs typeface="Calibri"/>
            </a:rPr>
            <a:pPr algn="ctr" rtl="1"/>
            <a:t>47/49</a:t>
          </a:fld>
          <a:endParaRPr lang="en-US" sz="1100"/>
        </a:p>
      </xdr:txBody>
    </xdr:sp>
    <xdr:clientData/>
  </xdr:twoCellAnchor>
  <xdr:twoCellAnchor>
    <xdr:from>
      <xdr:col>3</xdr:col>
      <xdr:colOff>596347</xdr:colOff>
      <xdr:row>4</xdr:row>
      <xdr:rowOff>1631674</xdr:rowOff>
    </xdr:from>
    <xdr:to>
      <xdr:col>4</xdr:col>
      <xdr:colOff>157369</xdr:colOff>
      <xdr:row>6</xdr:row>
      <xdr:rowOff>33131</xdr:rowOff>
    </xdr:to>
    <xdr:sp macro="" textlink="חישובים!I2">
      <xdr:nvSpPr>
        <xdr:cNvPr id="45" name="Rectangle 44">
          <a:extLst>
            <a:ext uri="{FF2B5EF4-FFF2-40B4-BE49-F238E27FC236}">
              <a16:creationId xmlns:a16="http://schemas.microsoft.com/office/drawing/2014/main" id="{3FAE4990-6840-CDF4-004D-2DCAC196FE1E}"/>
            </a:ext>
          </a:extLst>
        </xdr:cNvPr>
        <xdr:cNvSpPr/>
      </xdr:nvSpPr>
      <xdr:spPr>
        <a:xfrm>
          <a:off x="13162870826" y="2377109"/>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A582BE3D-0A2B-4C0C-B3B2-486DFBD641ED}" type="TxLink">
            <a:rPr lang="en-US" sz="1100" b="0" i="0" u="none" strike="noStrike">
              <a:solidFill>
                <a:srgbClr val="000000"/>
              </a:solidFill>
              <a:latin typeface="Calibri"/>
              <a:cs typeface="Calibri"/>
            </a:rPr>
            <a:pPr algn="ctr" rtl="1"/>
            <a:t>132/139</a:t>
          </a:fld>
          <a:endParaRPr lang="en-US" sz="1100"/>
        </a:p>
      </xdr:txBody>
    </xdr:sp>
    <xdr:clientData/>
  </xdr:twoCellAnchor>
  <xdr:twoCellAnchor>
    <xdr:from>
      <xdr:col>4</xdr:col>
      <xdr:colOff>521803</xdr:colOff>
      <xdr:row>4</xdr:row>
      <xdr:rowOff>1631674</xdr:rowOff>
    </xdr:from>
    <xdr:to>
      <xdr:col>4</xdr:col>
      <xdr:colOff>1176130</xdr:colOff>
      <xdr:row>6</xdr:row>
      <xdr:rowOff>33131</xdr:rowOff>
    </xdr:to>
    <xdr:sp macro="" textlink="חישובים!J2">
      <xdr:nvSpPr>
        <xdr:cNvPr id="46" name="Rectangle 45">
          <a:extLst>
            <a:ext uri="{FF2B5EF4-FFF2-40B4-BE49-F238E27FC236}">
              <a16:creationId xmlns:a16="http://schemas.microsoft.com/office/drawing/2014/main" id="{0EA7B3E9-0226-4079-A2F1-AE6CB7B3FF1B}"/>
            </a:ext>
          </a:extLst>
        </xdr:cNvPr>
        <xdr:cNvSpPr/>
      </xdr:nvSpPr>
      <xdr:spPr>
        <a:xfrm>
          <a:off x="13161852065" y="2377109"/>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83D84ED3-16F0-4540-824D-DE55113F2C9C}" type="TxLink">
            <a:rPr lang="en-US" sz="1100" b="0" i="0" u="none" strike="noStrike">
              <a:solidFill>
                <a:srgbClr val="000000"/>
              </a:solidFill>
              <a:latin typeface="Calibri"/>
              <a:cs typeface="Calibri"/>
            </a:rPr>
            <a:pPr algn="ctr" rtl="1"/>
            <a:t>12/12</a:t>
          </a:fld>
          <a:endParaRPr lang="en-US" sz="1100"/>
        </a:p>
      </xdr:txBody>
    </xdr:sp>
    <xdr:clientData/>
  </xdr:twoCellAnchor>
  <xdr:twoCellAnchor>
    <xdr:from>
      <xdr:col>4</xdr:col>
      <xdr:colOff>1623390</xdr:colOff>
      <xdr:row>4</xdr:row>
      <xdr:rowOff>1631674</xdr:rowOff>
    </xdr:from>
    <xdr:to>
      <xdr:col>4</xdr:col>
      <xdr:colOff>2277717</xdr:colOff>
      <xdr:row>6</xdr:row>
      <xdr:rowOff>33131</xdr:rowOff>
    </xdr:to>
    <xdr:sp macro="" textlink="חישובים!K2">
      <xdr:nvSpPr>
        <xdr:cNvPr id="47" name="Rectangle 46">
          <a:extLst>
            <a:ext uri="{FF2B5EF4-FFF2-40B4-BE49-F238E27FC236}">
              <a16:creationId xmlns:a16="http://schemas.microsoft.com/office/drawing/2014/main" id="{106FAE52-3ED2-21A6-C46E-686A771C0080}"/>
            </a:ext>
          </a:extLst>
        </xdr:cNvPr>
        <xdr:cNvSpPr/>
      </xdr:nvSpPr>
      <xdr:spPr>
        <a:xfrm>
          <a:off x="13160750478" y="2377109"/>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5E0EBBEC-84DF-4294-AAEF-8E108AD46D50}" type="TxLink">
            <a:rPr lang="en-US" sz="1100" b="0" i="0" u="none" strike="noStrike">
              <a:solidFill>
                <a:srgbClr val="000000"/>
              </a:solidFill>
              <a:latin typeface="Calibri"/>
              <a:cs typeface="Calibri"/>
            </a:rPr>
            <a:pPr algn="ctr" rtl="1"/>
            <a:t>7/7</a:t>
          </a:fld>
          <a:endParaRPr lang="en-US" sz="1100"/>
        </a:p>
      </xdr:txBody>
    </xdr:sp>
    <xdr:clientData/>
  </xdr:twoCellAnchor>
  <xdr:twoCellAnchor>
    <xdr:from>
      <xdr:col>1</xdr:col>
      <xdr:colOff>702192</xdr:colOff>
      <xdr:row>4</xdr:row>
      <xdr:rowOff>157631</xdr:rowOff>
    </xdr:from>
    <xdr:to>
      <xdr:col>4</xdr:col>
      <xdr:colOff>2168213</xdr:colOff>
      <xdr:row>4</xdr:row>
      <xdr:rowOff>323283</xdr:rowOff>
    </xdr:to>
    <xdr:sp macro="" textlink="">
      <xdr:nvSpPr>
        <xdr:cNvPr id="49" name="Rectangle 48">
          <a:extLst>
            <a:ext uri="{FF2B5EF4-FFF2-40B4-BE49-F238E27FC236}">
              <a16:creationId xmlns:a16="http://schemas.microsoft.com/office/drawing/2014/main" id="{BA9E9174-F451-FC93-C60F-DE2A5A3E0B91}"/>
            </a:ext>
          </a:extLst>
        </xdr:cNvPr>
        <xdr:cNvSpPr/>
      </xdr:nvSpPr>
      <xdr:spPr>
        <a:xfrm>
          <a:off x="13533678945" y="1120157"/>
          <a:ext cx="4530063" cy="1656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b="1" u="sng" baseline="0">
              <a:solidFill>
                <a:sysClr val="windowText" lastClr="000000"/>
              </a:solidFill>
              <a:latin typeface="Assistant" pitchFamily="2" charset="-79"/>
              <a:cs typeface="Assistant" pitchFamily="2" charset="-79"/>
            </a:rPr>
            <a:t>מספר הבקרות האבטחה בכל תחום (מתוך          בקרות דרושות)</a:t>
          </a:r>
          <a:endParaRPr lang="he-IL" sz="1100" b="1" u="sng">
            <a:solidFill>
              <a:sysClr val="windowText" lastClr="000000"/>
            </a:solidFill>
            <a:latin typeface="Assistant" pitchFamily="2" charset="-79"/>
            <a:cs typeface="Assistant" pitchFamily="2" charset="-79"/>
          </a:endParaRPr>
        </a:p>
      </xdr:txBody>
    </xdr:sp>
    <xdr:clientData/>
  </xdr:twoCellAnchor>
  <xdr:twoCellAnchor>
    <xdr:from>
      <xdr:col>4</xdr:col>
      <xdr:colOff>173932</xdr:colOff>
      <xdr:row>4</xdr:row>
      <xdr:rowOff>132521</xdr:rowOff>
    </xdr:from>
    <xdr:to>
      <xdr:col>4</xdr:col>
      <xdr:colOff>828259</xdr:colOff>
      <xdr:row>4</xdr:row>
      <xdr:rowOff>356152</xdr:rowOff>
    </xdr:to>
    <xdr:sp macro="" textlink="חישובים!E2">
      <xdr:nvSpPr>
        <xdr:cNvPr id="2" name="Rectangle 1">
          <a:extLst>
            <a:ext uri="{FF2B5EF4-FFF2-40B4-BE49-F238E27FC236}">
              <a16:creationId xmlns:a16="http://schemas.microsoft.com/office/drawing/2014/main" id="{2B556417-ED6D-84A0-71A6-99FEBDACA563}"/>
            </a:ext>
          </a:extLst>
        </xdr:cNvPr>
        <xdr:cNvSpPr/>
      </xdr:nvSpPr>
      <xdr:spPr>
        <a:xfrm>
          <a:off x="7943023" y="1126434"/>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056BD682-9E86-449D-9D2C-9C03D34FA76D}" type="TxLink">
            <a:rPr lang="en-US" sz="1100" b="1" i="0" u="none" strike="noStrike">
              <a:solidFill>
                <a:srgbClr val="000000"/>
              </a:solidFill>
              <a:latin typeface="Assistant" pitchFamily="2" charset="-79"/>
              <a:cs typeface="Assistant" pitchFamily="2" charset="-79"/>
            </a:rPr>
            <a:pPr algn="ctr" rtl="1"/>
            <a:t>218</a:t>
          </a:fld>
          <a:endParaRPr lang="en-US" sz="1100" b="1">
            <a:latin typeface="Assistant" pitchFamily="2" charset="-79"/>
            <a:cs typeface="Assistant" pitchFamily="2" charset="-79"/>
          </a:endParaRPr>
        </a:p>
      </xdr:txBody>
    </xdr:sp>
    <xdr:clientData/>
  </xdr:twoCellAnchor>
  <xdr:twoCellAnchor>
    <xdr:from>
      <xdr:col>4</xdr:col>
      <xdr:colOff>2857499</xdr:colOff>
      <xdr:row>4</xdr:row>
      <xdr:rowOff>1631673</xdr:rowOff>
    </xdr:from>
    <xdr:to>
      <xdr:col>5</xdr:col>
      <xdr:colOff>347870</xdr:colOff>
      <xdr:row>6</xdr:row>
      <xdr:rowOff>33130</xdr:rowOff>
    </xdr:to>
    <xdr:sp macro="" textlink="חישובים!S7">
      <xdr:nvSpPr>
        <xdr:cNvPr id="19" name="Rectangle 18">
          <a:extLst>
            <a:ext uri="{FF2B5EF4-FFF2-40B4-BE49-F238E27FC236}">
              <a16:creationId xmlns:a16="http://schemas.microsoft.com/office/drawing/2014/main" id="{B05155DA-52F6-9313-8AB6-6412E675E02B}"/>
            </a:ext>
          </a:extLst>
        </xdr:cNvPr>
        <xdr:cNvSpPr/>
      </xdr:nvSpPr>
      <xdr:spPr>
        <a:xfrm>
          <a:off x="13159516369" y="2377108"/>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47A3DBB2-AA64-46B0-83FF-783AE6DE3EF1}" type="TxLink">
            <a:rPr lang="en-US" sz="1100" b="0" i="0" u="none" strike="noStrike">
              <a:solidFill>
                <a:srgbClr val="000000"/>
              </a:solidFill>
              <a:latin typeface="Calibri"/>
              <a:cs typeface="Calibri"/>
            </a:rPr>
            <a:pPr algn="ctr" rtl="1"/>
            <a:t>105/218</a:t>
          </a:fld>
          <a:endParaRPr lang="en-US" sz="1100"/>
        </a:p>
      </xdr:txBody>
    </xdr:sp>
    <xdr:clientData/>
  </xdr:twoCellAnchor>
  <xdr:twoCellAnchor>
    <xdr:from>
      <xdr:col>5</xdr:col>
      <xdr:colOff>720587</xdr:colOff>
      <xdr:row>4</xdr:row>
      <xdr:rowOff>1639955</xdr:rowOff>
    </xdr:from>
    <xdr:to>
      <xdr:col>7</xdr:col>
      <xdr:colOff>538370</xdr:colOff>
      <xdr:row>6</xdr:row>
      <xdr:rowOff>41412</xdr:rowOff>
    </xdr:to>
    <xdr:sp macro="" textlink="חישובים!T7">
      <xdr:nvSpPr>
        <xdr:cNvPr id="20" name="Rectangle 19">
          <a:extLst>
            <a:ext uri="{FF2B5EF4-FFF2-40B4-BE49-F238E27FC236}">
              <a16:creationId xmlns:a16="http://schemas.microsoft.com/office/drawing/2014/main" id="{1D00A6F4-9C2A-D4CD-6EA2-05EB696C2C77}"/>
            </a:ext>
          </a:extLst>
        </xdr:cNvPr>
        <xdr:cNvSpPr/>
      </xdr:nvSpPr>
      <xdr:spPr>
        <a:xfrm>
          <a:off x="13158489325" y="2385390"/>
          <a:ext cx="654327"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00CD290C-C211-42F1-8532-8C0D88479B70}" type="TxLink">
            <a:rPr lang="en-US" sz="1100" b="0" i="0" u="none" strike="noStrike">
              <a:solidFill>
                <a:srgbClr val="000000"/>
              </a:solidFill>
              <a:latin typeface="Calibri"/>
              <a:cs typeface="Calibri"/>
            </a:rPr>
            <a:pPr algn="ctr" rtl="1"/>
            <a:t>25/218</a:t>
          </a:fld>
          <a:endParaRPr lang="en-US" sz="1100"/>
        </a:p>
      </xdr:txBody>
    </xdr:sp>
    <xdr:clientData/>
  </xdr:twoCellAnchor>
  <xdr:twoCellAnchor>
    <xdr:from>
      <xdr:col>8</xdr:col>
      <xdr:colOff>323021</xdr:colOff>
      <xdr:row>4</xdr:row>
      <xdr:rowOff>1631673</xdr:rowOff>
    </xdr:from>
    <xdr:to>
      <xdr:col>8</xdr:col>
      <xdr:colOff>1043609</xdr:colOff>
      <xdr:row>6</xdr:row>
      <xdr:rowOff>33130</xdr:rowOff>
    </xdr:to>
    <xdr:sp macro="" textlink="חישובים!U7">
      <xdr:nvSpPr>
        <xdr:cNvPr id="21" name="Rectangle 20">
          <a:extLst>
            <a:ext uri="{FF2B5EF4-FFF2-40B4-BE49-F238E27FC236}">
              <a16:creationId xmlns:a16="http://schemas.microsoft.com/office/drawing/2014/main" id="{7B448F7B-C5F3-CBB2-48CA-10B9618ABF76}"/>
            </a:ext>
          </a:extLst>
        </xdr:cNvPr>
        <xdr:cNvSpPr/>
      </xdr:nvSpPr>
      <xdr:spPr>
        <a:xfrm>
          <a:off x="13157420869" y="2377108"/>
          <a:ext cx="720588" cy="223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fld id="{7A8C574F-705F-4317-B97C-DD26DD7E6195}" type="TxLink">
            <a:rPr lang="en-US" sz="1100" b="0" i="0" u="none" strike="noStrike">
              <a:solidFill>
                <a:srgbClr val="000000"/>
              </a:solidFill>
              <a:latin typeface="Calibri"/>
              <a:cs typeface="Calibri"/>
            </a:rPr>
            <a:pPr algn="ctr" rtl="1"/>
            <a:t>124/218</a:t>
          </a:fld>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14910</xdr:colOff>
      <xdr:row>32</xdr:row>
      <xdr:rowOff>64604</xdr:rowOff>
    </xdr:from>
    <xdr:to>
      <xdr:col>8</xdr:col>
      <xdr:colOff>356153</xdr:colOff>
      <xdr:row>33</xdr:row>
      <xdr:rowOff>23191</xdr:rowOff>
    </xdr:to>
    <xdr:sp macro="" textlink="">
      <xdr:nvSpPr>
        <xdr:cNvPr id="2" name="Rectangle 1">
          <a:extLst>
            <a:ext uri="{FF2B5EF4-FFF2-40B4-BE49-F238E27FC236}">
              <a16:creationId xmlns:a16="http://schemas.microsoft.com/office/drawing/2014/main" id="{BD3819F3-0EBD-432D-87A2-3E31B0CDF430}"/>
            </a:ext>
          </a:extLst>
        </xdr:cNvPr>
        <xdr:cNvSpPr/>
      </xdr:nvSpPr>
      <xdr:spPr>
        <a:xfrm>
          <a:off x="1028699" y="2184952"/>
          <a:ext cx="3442252" cy="22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b="1" u="sng" baseline="0">
              <a:solidFill>
                <a:sysClr val="windowText" lastClr="000000"/>
              </a:solidFill>
              <a:latin typeface="Assistant" pitchFamily="2" charset="-79"/>
              <a:cs typeface="Assistant" pitchFamily="2" charset="-79"/>
            </a:rPr>
            <a:t>בקרות האבטחה  למערכת (         בקרות דרושות)</a:t>
          </a:r>
          <a:endParaRPr lang="he-IL" sz="1100" b="1" u="sng">
            <a:solidFill>
              <a:sysClr val="windowText" lastClr="000000"/>
            </a:solidFill>
            <a:latin typeface="Assistant" pitchFamily="2" charset="-79"/>
            <a:cs typeface="Assistant" pitchFamily="2" charset="-79"/>
          </a:endParaRPr>
        </a:p>
      </xdr:txBody>
    </xdr:sp>
    <xdr:clientData/>
  </xdr:twoCellAnchor>
  <xdr:twoCellAnchor>
    <xdr:from>
      <xdr:col>1</xdr:col>
      <xdr:colOff>304800</xdr:colOff>
      <xdr:row>8</xdr:row>
      <xdr:rowOff>134471</xdr:rowOff>
    </xdr:from>
    <xdr:to>
      <xdr:col>7</xdr:col>
      <xdr:colOff>824753</xdr:colOff>
      <xdr:row>19</xdr:row>
      <xdr:rowOff>162486</xdr:rowOff>
    </xdr:to>
    <xdr:graphicFrame macro="">
      <xdr:nvGraphicFramePr>
        <xdr:cNvPr id="20" name="Chart 19">
          <a:extLst>
            <a:ext uri="{FF2B5EF4-FFF2-40B4-BE49-F238E27FC236}">
              <a16:creationId xmlns:a16="http://schemas.microsoft.com/office/drawing/2014/main" id="{33921AF9-6063-4754-B37C-A27EB380F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229720</xdr:colOff>
      <xdr:row>4</xdr:row>
      <xdr:rowOff>17928</xdr:rowOff>
    </xdr:from>
    <xdr:to>
      <xdr:col>9</xdr:col>
      <xdr:colOff>618564</xdr:colOff>
      <xdr:row>20</xdr:row>
      <xdr:rowOff>34738</xdr:rowOff>
    </xdr:to>
    <xdr:graphicFrame macro="">
      <xdr:nvGraphicFramePr>
        <xdr:cNvPr id="21" name="Chart 20">
          <a:extLst>
            <a:ext uri="{FF2B5EF4-FFF2-40B4-BE49-F238E27FC236}">
              <a16:creationId xmlns:a16="http://schemas.microsoft.com/office/drawing/2014/main" id="{9DD26042-83CB-4480-9C65-17D43A748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74543</xdr:colOff>
      <xdr:row>11</xdr:row>
      <xdr:rowOff>114769</xdr:rowOff>
    </xdr:from>
    <xdr:to>
      <xdr:col>9</xdr:col>
      <xdr:colOff>261536</xdr:colOff>
      <xdr:row>11</xdr:row>
      <xdr:rowOff>114769</xdr:rowOff>
    </xdr:to>
    <xdr:cxnSp macro="">
      <xdr:nvCxnSpPr>
        <xdr:cNvPr id="23" name="Straight Connector 22">
          <a:extLst>
            <a:ext uri="{FF2B5EF4-FFF2-40B4-BE49-F238E27FC236}">
              <a16:creationId xmlns:a16="http://schemas.microsoft.com/office/drawing/2014/main" id="{015BD097-8806-A739-09E4-FC61185C7A18}"/>
            </a:ext>
          </a:extLst>
        </xdr:cNvPr>
        <xdr:cNvCxnSpPr/>
      </xdr:nvCxnSpPr>
      <xdr:spPr>
        <a:xfrm>
          <a:off x="1775985" y="2491878"/>
          <a:ext cx="186993" cy="0"/>
        </a:xfrm>
        <a:prstGeom prst="line">
          <a:avLst/>
        </a:prstGeom>
        <a:ln w="19050">
          <a:solidFill>
            <a:srgbClr val="FF5050"/>
          </a:solidFill>
          <a:prstDash val="dash"/>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D983AD-F78D-4213-8BF1-8106E976328C}" name="AWS" displayName="AWS" ref="A1:AC224" totalsRowShown="0" headerRowDxfId="265" dataDxfId="263" headerRowBorderDxfId="264" tableBorderDxfId="262" totalsRowBorderDxfId="261">
  <autoFilter ref="A1:AC224" xr:uid="{A60A8B88-B8F5-4454-BB6E-F2B2B0EFD231}">
    <filterColumn colId="0">
      <filters>
        <filter val="No"/>
      </filters>
    </filterColumn>
  </autoFilter>
  <tableColumns count="29">
    <tableColumn id="1" xr3:uid="{43B486A0-13C1-44D3-BA43-6914BB0A910A}" name="Column1" dataDxfId="260"/>
    <tableColumn id="2" xr3:uid="{E55EC164-C48B-4E65-BD25-8E9E86507143}" name="Column2" dataDxfId="259"/>
    <tableColumn id="3" xr3:uid="{954D96A8-768A-4E21-92CA-4DBF489DE8F8}" name="Column3" dataDxfId="258"/>
    <tableColumn id="4" xr3:uid="{17B155EB-295D-40C5-9F29-E486E3C82A31}" name="Column4" dataDxfId="257"/>
    <tableColumn id="5" xr3:uid="{5F57EF10-6196-4B64-ADF6-0817891E2A44}" name="Column5" dataDxfId="256"/>
    <tableColumn id="6" xr3:uid="{17555360-B39D-4F24-A2C6-4E97228C5D34}" name="Column6" dataDxfId="255"/>
    <tableColumn id="7" xr3:uid="{EB0B4145-B210-40AB-AAB3-F7BB99096D3A}" name="Column7" dataDxfId="254"/>
    <tableColumn id="8" xr3:uid="{812EC83B-CF9D-4D92-A3ED-2B085BC69DD4}" name="Column8" dataDxfId="253"/>
    <tableColumn id="9" xr3:uid="{4A1895E3-4779-4632-B0BA-6FED92D289AE}" name="Column9" dataDxfId="252"/>
    <tableColumn id="10" xr3:uid="{12C726DC-3794-4231-8798-D341D8113715}" name="Column10" dataDxfId="251"/>
    <tableColumn id="11" xr3:uid="{21CA9D86-C2D0-449C-A1A6-B6A875649A41}" name="Column11" dataDxfId="250"/>
    <tableColumn id="12" xr3:uid="{936718B7-CE53-4718-AD82-2002D0D3DA8B}" name="Column12" dataDxfId="249"/>
    <tableColumn id="13" xr3:uid="{E8A177C3-1729-4703-9DD8-54627D9A74DE}" name="Column13" dataDxfId="248"/>
    <tableColumn id="14" xr3:uid="{E4723DC3-1471-45DE-80B0-5C13D0F2B690}" name="Column14" dataDxfId="247"/>
    <tableColumn id="15" xr3:uid="{15ED7E7B-2D68-411A-BC8D-350690420EDD}" name="Column15" dataDxfId="246"/>
    <tableColumn id="16" xr3:uid="{6B52771C-FEEE-40F5-9D83-4CABE725ED86}" name="Column16" dataDxfId="245"/>
    <tableColumn id="17" xr3:uid="{DF97E3E2-5B91-4FA5-8384-CF9DB2EBCD78}" name="Column17" dataDxfId="244"/>
    <tableColumn id="18" xr3:uid="{156764BB-6E1C-4910-85B5-D2CFA7FFFCD7}" name="Column18" dataDxfId="243"/>
    <tableColumn id="19" xr3:uid="{70E4E0C0-82E3-45B8-83D0-3226D8712957}" name="Column19" dataDxfId="242"/>
    <tableColumn id="20" xr3:uid="{37AA51FD-8218-45F5-8B61-C5420392F5F6}" name="Column20" dataDxfId="241"/>
    <tableColumn id="21" xr3:uid="{53411B73-1210-4A4A-88A2-0A951EDD2CF1}" name="Column21" dataDxfId="240"/>
    <tableColumn id="22" xr3:uid="{7E5F5933-6D51-44F3-B61E-C254F812330E}" name="Column22" dataDxfId="239"/>
    <tableColumn id="23" xr3:uid="{CEF0452F-15FA-4DD6-A3DC-0F94B96B08D1}" name="Column23" dataDxfId="238"/>
    <tableColumn id="25" xr3:uid="{C3AE12F0-DD8A-49EB-9F5E-686EAEC601B7}" name="Column25" dataDxfId="237"/>
    <tableColumn id="26" xr3:uid="{8DBACFAA-CDEE-48DF-BCB7-9DF7E3A55CE1}" name="Column26" dataDxfId="236"/>
    <tableColumn id="27" xr3:uid="{14E5AFF7-346D-42D5-A6C1-76926F5FEA8B}" name="Column27" dataDxfId="235"/>
    <tableColumn id="24" xr3:uid="{D865713E-0C26-40D8-80FC-B281DCDE5C6B}" name="Column28" dataDxfId="234"/>
    <tableColumn id="28" xr3:uid="{3EACE5BD-55B8-4A45-B882-CA65EED2E7EF}" name="Column29" dataDxfId="233">
      <calculatedColumnFormula>IF(AWS[[#This Row],[Column8]]="x","1",(IF(OR(AWS[[#This Row],[Column25]]=2,AWS[[#This Row],[Column26]]=2,AWS[[#This Row],[Column27]]=2),"1",(IF(AWS[[#This Row],[Column9]]="x","2",(IF(AWS[[#This Row],[Column10]]="x","3","")))))))</calculatedColumnFormula>
    </tableColumn>
    <tableColumn id="30" xr3:uid="{9282D3A1-63C3-4A91-9E8A-8D100BE539B7}" name="Column30" dataDxfId="232">
      <calculatedColumnFormula>IF(AWS[[#This Row],[Column14]] = "-", AWS[[#This Row],[Column14]], LEFT(AWS[[#This Row],[Column14]], SEARCH(" ", AWS[[#This Row],[Column14]] &amp; " ") - 1))</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C31526-8DAF-4FD4-BD27-2C76C2CA1544}" name="AWS_2" displayName="AWS_2" ref="A1:AC224" totalsRowShown="0" headerRowDxfId="201" dataDxfId="199" headerRowBorderDxfId="200" tableBorderDxfId="198" totalsRowBorderDxfId="197">
  <autoFilter ref="A1:AC224" xr:uid="{A60A8B88-B8F5-4454-BB6E-F2B2B0EFD231}"/>
  <tableColumns count="29">
    <tableColumn id="1" xr3:uid="{A322FFD4-2A20-4A37-8C4A-265C3637DFCC}" name="Column1" dataDxfId="196"/>
    <tableColumn id="2" xr3:uid="{A7EB46FB-538C-4CA3-B9F2-173D26D9DE5C}" name="Column2" dataDxfId="195"/>
    <tableColumn id="3" xr3:uid="{A960F405-6EFF-4A0C-BA24-EDC86E8076C1}" name="Column3" dataDxfId="194"/>
    <tableColumn id="4" xr3:uid="{9591AFDB-5A1F-45ED-81CB-398174A08644}" name="Column4" dataDxfId="193"/>
    <tableColumn id="5" xr3:uid="{1DA7ECCE-7332-49EA-8527-B76A8EDD9058}" name="Column5" dataDxfId="192"/>
    <tableColumn id="6" xr3:uid="{ADAFFC6B-9071-4EB9-96E8-B1D2ECE9E290}" name="Column6" dataDxfId="191"/>
    <tableColumn id="7" xr3:uid="{4E6C719D-727F-4AE2-B5FA-6D43A5DED358}" name="Column7" dataDxfId="190"/>
    <tableColumn id="8" xr3:uid="{3EE51A5D-6293-4513-8044-206649EA7022}" name="Column8" dataDxfId="189"/>
    <tableColumn id="9" xr3:uid="{043577EB-70AE-42AE-B5C9-1ED2CFD4829E}" name="Column9" dataDxfId="188"/>
    <tableColumn id="10" xr3:uid="{A096F03D-157C-4445-AD7B-50D973ACCDA0}" name="Column10" dataDxfId="187"/>
    <tableColumn id="11" xr3:uid="{E0C358E8-7107-40DC-A6F6-93ACA6052E9E}" name="Column11" dataDxfId="186"/>
    <tableColumn id="12" xr3:uid="{38E6F90E-530B-4F71-A7F0-04F6FE3A8199}" name="Column12" dataDxfId="185"/>
    <tableColumn id="13" xr3:uid="{ED51FB53-05B4-4185-B154-6500DFA475FA}" name="Column13" dataDxfId="184"/>
    <tableColumn id="14" xr3:uid="{AFF274E6-7762-4849-BE9C-AF92AD1071A3}" name="Column14" dataDxfId="183"/>
    <tableColumn id="15" xr3:uid="{A028115E-8BC3-428B-B11E-3648E7D0F193}" name="Column15" dataDxfId="182"/>
    <tableColumn id="16" xr3:uid="{51C47204-AE9E-44C8-812E-F6EDF80AAAB2}" name="Column16" dataDxfId="181"/>
    <tableColumn id="17" xr3:uid="{50FDBCB5-433A-4332-9FF4-E49FCE478DCA}" name="Column17" dataDxfId="180"/>
    <tableColumn id="18" xr3:uid="{9E92FC78-74A9-4842-A61D-D4E49A9541C1}" name="Column18" dataDxfId="179"/>
    <tableColumn id="19" xr3:uid="{08DDF637-0A08-44EA-95DF-23B111C3D12D}" name="Column19" dataDxfId="178"/>
    <tableColumn id="20" xr3:uid="{A27E65B1-BFE6-4499-ADBE-CB1321005185}" name="Column20" dataDxfId="177"/>
    <tableColumn id="21" xr3:uid="{4B8DF08D-D77E-472F-9CE2-A3F9A3F64997}" name="Column21" dataDxfId="176"/>
    <tableColumn id="22" xr3:uid="{F2BDB1EC-4846-42B6-ACC8-A6208AD878CC}" name="Column22" dataDxfId="175"/>
    <tableColumn id="23" xr3:uid="{CBE49B1B-F1F4-4BF1-88A7-9BB0D813AF79}" name="Column23" dataDxfId="174"/>
    <tableColumn id="25" xr3:uid="{6A1A9A06-1CE4-4362-9AD4-D73E9E33EC06}" name="Column25" dataDxfId="173"/>
    <tableColumn id="26" xr3:uid="{8FF760F4-BBFA-4119-8010-DC3DA840FD1C}" name="Column26" dataDxfId="172"/>
    <tableColumn id="27" xr3:uid="{AB53BD23-2D13-472B-988F-A45643DBDC44}" name="Column27" dataDxfId="171"/>
    <tableColumn id="24" xr3:uid="{CD8C27BB-E362-40A2-BBDA-E5F62C70A815}" name="Column28" dataDxfId="170"/>
    <tableColumn id="28" xr3:uid="{6ADE203C-60E8-48DB-B040-D0A84F35B2AB}" name="Column29" dataDxfId="169">
      <calculatedColumnFormula>IF(AWS_2[[#This Row],[Column8]]="x","1",(IF(OR(AWS_2[[#This Row],[Column25]]=2,AWS_2[[#This Row],[Column26]]=2,AWS_2[[#This Row],[Column27]]=2),"1",(IF(AWS_2[[#This Row],[Column9]]="x","2",(IF(AWS_2[[#This Row],[Column10]]="x","3","")))))))</calculatedColumnFormula>
    </tableColumn>
    <tableColumn id="29" xr3:uid="{4D2670F3-27BF-4FC2-BC17-04F6E8629779}" name="Column30" dataDxfId="168">
      <calculatedColumnFormula>IF(AWS_2[[#This Row],[Column14]] = "-", AWS_2[[#This Row],[Column14]], LEFT(AWS_2[[#This Row],[Column14]], SEARCH(" ", AWS_2[[#This Row],[Column14]] &amp; " ") - 1))</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E3B2A7-A4E4-4758-B8E7-D843C0184BC8}" name="GCP" displayName="GCP" ref="A1:AC248" totalsRowShown="0" headerRowDxfId="117" dataDxfId="115" headerRowBorderDxfId="116" tableBorderDxfId="114" totalsRowBorderDxfId="113">
  <autoFilter ref="A1:AC248" xr:uid="{A60A8B88-B8F5-4454-BB6E-F2B2B0EFD231}">
    <filterColumn colId="0">
      <filters>
        <filter val="No"/>
        <filter val="Yes"/>
      </filters>
    </filterColumn>
  </autoFilter>
  <tableColumns count="29">
    <tableColumn id="1" xr3:uid="{85F0922A-8E36-4F41-A5B9-51531F91F84B}" name="Column1" dataDxfId="112"/>
    <tableColumn id="2" xr3:uid="{B2ACBCC6-2C19-473C-8D48-DDD7F294EAC8}" name="Column2" dataDxfId="111"/>
    <tableColumn id="3" xr3:uid="{88F4C26B-A489-4FC6-922B-2FEA09B28979}" name="Column3" dataDxfId="110"/>
    <tableColumn id="4" xr3:uid="{4CF194B8-291C-4F2A-B852-0BE94C862974}" name="Column4" dataDxfId="109"/>
    <tableColumn id="5" xr3:uid="{28D1B4BD-299F-407F-A1CB-AA12F07866CA}" name="Column5" dataDxfId="108"/>
    <tableColumn id="6" xr3:uid="{4AFEA5D7-1BD5-4852-BFD3-CA9E2AF20C1F}" name="Column6" dataDxfId="107"/>
    <tableColumn id="7" xr3:uid="{77A2D143-AE52-46BA-9FA0-75DDA2239656}" name="Column7" dataDxfId="106"/>
    <tableColumn id="8" xr3:uid="{0563242E-79D6-4C5B-BD14-8C9F59C638AC}" name="Column8" dataDxfId="105"/>
    <tableColumn id="9" xr3:uid="{9AEEDBF0-9BC5-4917-8563-6AAE865B97A0}" name="Column9" dataDxfId="104"/>
    <tableColumn id="10" xr3:uid="{C8F489F2-6DF8-4CCC-94E5-ACEE9EDF6B9B}" name="Column10" dataDxfId="103"/>
    <tableColumn id="11" xr3:uid="{2CA3B0AA-CE31-4DE9-8585-AF8E4FF38A66}" name="Column11" dataDxfId="102"/>
    <tableColumn id="12" xr3:uid="{E03D665A-0D6B-4E6E-A6CF-3E6181A97048}" name="Column12" dataDxfId="101"/>
    <tableColumn id="13" xr3:uid="{C3DB5874-B025-4249-8E0D-85F180C82CB7}" name="Column13" dataDxfId="100"/>
    <tableColumn id="14" xr3:uid="{F377AC67-7E05-4076-B264-971D9FB7BB18}" name="Column14" dataDxfId="99"/>
    <tableColumn id="15" xr3:uid="{E95C0FA6-89D0-4B60-853D-BCED2D76F447}" name="Column15" dataDxfId="98"/>
    <tableColumn id="16" xr3:uid="{DA8BC1D6-0050-41E6-8EC1-670FFEA0ED89}" name="Column16" dataDxfId="97"/>
    <tableColumn id="17" xr3:uid="{32FCD471-F4AE-4ED2-BFC9-BD030A5253A7}" name="Column17" dataDxfId="96"/>
    <tableColumn id="18" xr3:uid="{7D3238C2-2570-4BB2-9499-9B73A3CDE25F}" name="Column18" dataDxfId="95"/>
    <tableColumn id="19" xr3:uid="{49A9B80E-375E-4B6E-AF61-E47C4B7514C7}" name="Column19" dataDxfId="94"/>
    <tableColumn id="20" xr3:uid="{796BD3D3-D98C-477C-89CC-8F7ED77A336A}" name="Column20" dataDxfId="93"/>
    <tableColumn id="21" xr3:uid="{19440C7E-9D40-421B-B592-5BFE3A949AE7}" name="Column21" dataDxfId="92"/>
    <tableColumn id="22" xr3:uid="{38AFD290-2FAE-476A-BC3C-5E2B10CF0856}" name="Column22" dataDxfId="91"/>
    <tableColumn id="23" xr3:uid="{1CB6358D-BF31-4D49-8E5F-57E3E1CED589}" name="Column23" dataDxfId="90"/>
    <tableColumn id="25" xr3:uid="{ED21C35F-7779-4635-A5DF-2C7490A320F5}" name="Column25" dataDxfId="89"/>
    <tableColumn id="26" xr3:uid="{A04E6E22-83BA-470E-99F0-F8F70224D51B}" name="Column26" dataDxfId="88"/>
    <tableColumn id="27" xr3:uid="{A746C6FD-7F2A-4456-ACB1-012A912CC459}" name="Column27" dataDxfId="87"/>
    <tableColumn id="24" xr3:uid="{09F24BA8-45FE-4857-B0D1-D5C463F68E66}" name="Column28" dataDxfId="86"/>
    <tableColumn id="28" xr3:uid="{F0415A39-1A89-4E2F-A187-D81F944FAC78}" name="Column29" dataDxfId="85">
      <calculatedColumnFormula>IF(GCP[[#This Row],[Column8]]="x","1",(IF(OR(GCP[[#This Row],[Column25]]=2,GCP[[#This Row],[Column26]]=2,GCP[[#This Row],[Column27]]=2),"1",(IF(GCP[[#This Row],[Column9]]="x","2",(IF(GCP[[#This Row],[Column10]]="x","3","")))))))</calculatedColumnFormula>
    </tableColumn>
    <tableColumn id="29" xr3:uid="{021783E1-3349-40F5-B9E0-0A786653D9B7}" name="Column30" dataDxfId="8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EAAB05-16DA-496A-8544-D4AA0FFC2275}" name="GCP_2" displayName="GCP_2" ref="A1:AC248" totalsRowShown="0" headerRowDxfId="33" dataDxfId="31" headerRowBorderDxfId="32" tableBorderDxfId="30" totalsRowBorderDxfId="29">
  <autoFilter ref="A1:AC248" xr:uid="{A60A8B88-B8F5-4454-BB6E-F2B2B0EFD231}"/>
  <tableColumns count="29">
    <tableColumn id="1" xr3:uid="{E7360C49-E372-4B9A-8242-252D3774062C}" name="Column1" dataDxfId="28"/>
    <tableColumn id="2" xr3:uid="{F9342BC7-A284-4AFC-9C2B-760C6E6E0B48}" name="Column2" dataDxfId="27"/>
    <tableColumn id="3" xr3:uid="{09399E56-C25D-4961-83EF-C76C037B683F}" name="Column3" dataDxfId="26"/>
    <tableColumn id="4" xr3:uid="{6AE6817F-5AE6-4C9B-B8CE-7688A9520821}" name="Column4" dataDxfId="25"/>
    <tableColumn id="5" xr3:uid="{F9D23C40-DC09-4213-89D3-9549C0F237A7}" name="Column5" dataDxfId="24"/>
    <tableColumn id="6" xr3:uid="{81EEF610-7B51-4C9B-9D7B-19D15D6BB9C7}" name="Column6" dataDxfId="23"/>
    <tableColumn id="7" xr3:uid="{39B76025-68CA-4D08-914E-C18FE7B0675D}" name="Column7" dataDxfId="22"/>
    <tableColumn id="8" xr3:uid="{E1BC996A-C534-4512-82E3-B0FCBF59E36D}" name="Column8" dataDxfId="21"/>
    <tableColumn id="9" xr3:uid="{7DEB22E7-EA00-4AF7-8C31-EDE5688CE3BE}" name="Column9" dataDxfId="20"/>
    <tableColumn id="10" xr3:uid="{6B127C5E-DE8E-45F5-A2EE-95BC4C7F91EC}" name="Column10" dataDxfId="19"/>
    <tableColumn id="11" xr3:uid="{F1E4928C-7B07-44C4-A3B1-9FC38FA60F0B}" name="Column11" dataDxfId="18"/>
    <tableColumn id="12" xr3:uid="{F86C4B7E-00EE-45E9-8991-5D0A58A9538C}" name="Column12" dataDxfId="17"/>
    <tableColumn id="13" xr3:uid="{6818DD2E-B239-4C44-A788-0DFAFF4B9260}" name="Column13" dataDxfId="16"/>
    <tableColumn id="14" xr3:uid="{F7E4C26B-804E-4518-A462-C8E038C73C79}" name="Column14" dataDxfId="15"/>
    <tableColumn id="15" xr3:uid="{CD3F9A41-182F-476E-8C60-AAD58D895CE6}" name="Column15" dataDxfId="14"/>
    <tableColumn id="16" xr3:uid="{1B912916-F095-40B6-A753-1D3B9B239A25}" name="Column16" dataDxfId="13"/>
    <tableColumn id="17" xr3:uid="{140E7ED7-ED9F-427E-B630-1636C959F138}" name="Column17" dataDxfId="12"/>
    <tableColumn id="18" xr3:uid="{E29CC433-C16B-48C2-9DB5-F36CAE9F2EC8}" name="Column18" dataDxfId="11"/>
    <tableColumn id="19" xr3:uid="{8B33263E-CE55-4F25-8DD5-624151A1FF72}" name="Column19" dataDxfId="10"/>
    <tableColumn id="20" xr3:uid="{52C7775B-E249-4171-8EDA-891FFCC561AC}" name="Column20" dataDxfId="9"/>
    <tableColumn id="21" xr3:uid="{A230EAB7-95FD-4DBE-8825-3D047DC734BF}" name="Column21" dataDxfId="8"/>
    <tableColumn id="22" xr3:uid="{9BB459D8-CA41-4516-888C-43FD17AAA11E}" name="Column22" dataDxfId="7"/>
    <tableColumn id="23" xr3:uid="{64348AF3-08AD-488E-9F80-514831C7ED5D}" name="Column23" dataDxfId="6"/>
    <tableColumn id="25" xr3:uid="{FE4F7196-FFA5-4DA6-ABF2-BDDB0D0F1923}" name="Column25" dataDxfId="5"/>
    <tableColumn id="26" xr3:uid="{0D246BA8-BD30-4784-9D0A-3CB8BBC9A5DD}" name="Column26" dataDxfId="4"/>
    <tableColumn id="27" xr3:uid="{1CF14971-207F-4F9A-A190-23642E9B66A3}" name="Column27" dataDxfId="3"/>
    <tableColumn id="24" xr3:uid="{FED4FCF9-8C10-4F7F-BBB2-2D72766C92C5}" name="Column28" dataDxfId="2"/>
    <tableColumn id="28" xr3:uid="{E0549ACF-7AB4-450F-AE40-34DE6F0E0D90}" name="Column29" dataDxfId="1">
      <calculatedColumnFormula>IF(GCP_2[[#This Row],[Column8]]="x","1",(IF(OR(GCP_2[[#This Row],[Column25]]=2,GCP_2[[#This Row],[Column26]]=2,GCP_2[[#This Row],[Column27]]=2),"1",(IF(GCP_2[[#This Row],[Column9]]="x","2",(IF(GCP_2[[#This Row],[Column10]]="x","3","")))))))</calculatedColumnFormula>
    </tableColumn>
    <tableColumn id="29" xr3:uid="{3B08439F-82B2-4908-8DF8-C0885AB254E9}" name="Column30" dataDxfId="0"/>
  </tableColumns>
  <tableStyleInfo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582E898E-4F7D-4AB6-96D3-CAD8370B82DA}">
  <sheetPr codeName="Sheet1"/>
  <dimension ref="A1:L26"/>
  <sheetViews>
    <sheetView rightToLeft="1" zoomScale="80" zoomScaleNormal="80" zoomScaleSheetLayoutView="100" workbookViewId="0">
      <selection activeCell="B20" sqref="B20"/>
    </sheetView>
  </sheetViews>
  <sheetFormatPr defaultColWidth="0" defaultRowHeight="15" zeroHeight="1"/>
  <cols>
    <col min="1" max="1" width="9.125" style="3" customWidth="1"/>
    <col min="2" max="2" width="50" style="4" bestFit="1" customWidth="1"/>
    <col min="3" max="3" width="53.5" style="441" customWidth="1"/>
    <col min="4" max="4" width="9.125" style="3" customWidth="1"/>
    <col min="5" max="12" width="9.125" style="3" hidden="1" customWidth="1"/>
    <col min="13" max="16384" width="9.125" style="3" hidden="1"/>
  </cols>
  <sheetData>
    <row r="1" spans="1:12" ht="24" customHeight="1">
      <c r="A1" s="7"/>
      <c r="B1" s="8"/>
      <c r="C1" s="437"/>
      <c r="D1" s="7"/>
      <c r="E1" s="7"/>
      <c r="F1" s="7"/>
      <c r="G1" s="7"/>
      <c r="H1" s="7"/>
      <c r="I1" s="7"/>
      <c r="J1" s="7"/>
      <c r="K1" s="7"/>
      <c r="L1" s="7"/>
    </row>
    <row r="2" spans="1:12" ht="24" customHeight="1">
      <c r="A2" s="7"/>
      <c r="B2" s="8"/>
      <c r="C2" s="437"/>
      <c r="D2" s="7"/>
      <c r="E2" s="7"/>
      <c r="F2" s="7"/>
      <c r="G2" s="7"/>
      <c r="H2" s="7"/>
      <c r="I2" s="7"/>
      <c r="J2" s="7"/>
      <c r="K2" s="7"/>
      <c r="L2" s="7"/>
    </row>
    <row r="3" spans="1:12" ht="11.25" customHeight="1">
      <c r="A3" s="7"/>
      <c r="B3" s="342"/>
      <c r="C3" s="297"/>
      <c r="D3" s="7"/>
      <c r="K3" s="7"/>
      <c r="L3" s="7"/>
    </row>
    <row r="4" spans="1:12" ht="21" customHeight="1" thickBot="1">
      <c r="A4" s="7"/>
      <c r="B4" s="387" t="s">
        <v>0</v>
      </c>
      <c r="C4" s="15"/>
      <c r="D4" s="7"/>
      <c r="K4" s="7"/>
      <c r="L4" s="7"/>
    </row>
    <row r="5" spans="1:12" ht="23.25" customHeight="1">
      <c r="A5" s="7"/>
      <c r="B5" s="13" t="s">
        <v>1589</v>
      </c>
      <c r="C5" s="459" t="inlineStr">
        <is>
          <t xml:space="preserve">המרכז למיפוי ישראל (מפ"י)</t>
        </is>
      </c>
      <c r="D5" s="7"/>
      <c r="K5" s="7"/>
      <c r="L5" s="7"/>
    </row>
    <row r="6" spans="1:12" ht="53.45" customHeight="1">
      <c r="A6" s="7"/>
      <c r="B6" s="5" t="s">
        <v>1590</v>
      </c>
      <c r="C6" s="460" t="inlineStr">
        <is>
          <t xml:space="preserve">פורטל לקוחות מפ"י — הוכחת היתכנות (POC)</t>
        </is>
      </c>
      <c r="D6" s="7"/>
      <c r="K6" s="7"/>
      <c r="L6" s="7"/>
    </row>
    <row r="7" spans="1:12" ht="38.450000000000003" customHeight="1">
      <c r="A7" s="7"/>
      <c r="B7" s="5" t="s">
        <v>144</v>
      </c>
      <c r="C7" s="460" t="inlineStr">
        <is>
          <t xml:space="preserve">מפ"י — אגף מיפוי וממ"ג ואגף גבולות בינלאומיים (לאישור סופי על ידי מפ"י)</t>
        </is>
      </c>
      <c r="D7" s="7"/>
      <c r="K7" s="7"/>
      <c r="L7" s="7"/>
    </row>
    <row r="8" spans="1:12" ht="35.450000000000003" customHeight="1">
      <c r="A8" s="7"/>
      <c r="B8" s="5" t="s">
        <v>5</v>
      </c>
      <c r="C8" s="460" t="inlineStr">
        <is>
          <t xml:space="preserve">להשלמה על ידי מפ"י</t>
        </is>
      </c>
      <c r="D8" s="7"/>
      <c r="K8" s="7"/>
      <c r="L8" s="7"/>
    </row>
    <row r="9" spans="1:12" ht="35.450000000000003" customHeight="1">
      <c r="A9" s="7"/>
      <c r="B9" s="5" t="s">
        <v>2091</v>
      </c>
      <c r="C9" s="460" t="inlineStr">
        <is>
          <t xml:space="preserve">פורטל אינטרנטי ציבורי (Web) להנגשת מידע גאוגרפי, הזמנת מוצרים ופניות שירות</t>
        </is>
      </c>
      <c r="D9" s="7"/>
      <c r="K9" s="7"/>
      <c r="L9" s="7"/>
    </row>
    <row r="10" spans="1:12" ht="41.45" customHeight="1">
      <c r="A10" s="7"/>
      <c r="B10" s="5" t="s">
        <v>137</v>
      </c>
      <c r="C10" s="460" t="inlineStr">
        <is>
          <t xml:space="preserve">הצגת קטלוג המוצרים והשירותים של מפ"י לציבור; הזמנה מקוונת של מפות נייר ומפות היסטוריות; פנייה לקבלת מידע מאגף הגבולות הבינלאומיים; מעקב הזמנות; וממשק ניהול תוכן ומוצרים (CMS) לעובדי מפ"י.</t>
        </is>
      </c>
      <c r="D10" s="7"/>
      <c r="K10" s="7"/>
      <c r="L10" s="7"/>
    </row>
    <row r="11" spans="1:12" ht="15" customHeight="1">
      <c r="A11" s="7"/>
      <c r="B11" s="6"/>
      <c r="C11" s="2"/>
      <c r="D11" s="7"/>
      <c r="K11" s="7"/>
      <c r="L11" s="7"/>
    </row>
    <row r="12" spans="1:12" ht="21" thickBot="1">
      <c r="A12" s="7"/>
      <c r="B12" s="387" t="s">
        <v>1</v>
      </c>
      <c r="C12" s="15"/>
      <c r="D12" s="7"/>
      <c r="K12" s="7"/>
      <c r="L12" s="7"/>
    </row>
    <row r="13" spans="1:12" ht="15.75" thickBot="1">
      <c r="A13" s="7"/>
      <c r="B13" s="388" t="s">
        <v>1844</v>
      </c>
      <c r="C13" s="389"/>
      <c r="D13" s="7"/>
      <c r="K13" s="7"/>
      <c r="L13" s="7"/>
    </row>
    <row r="14" spans="1:12" ht="41.45" customHeight="1">
      <c r="A14" s="7"/>
      <c r="B14" s="9" t="s">
        <v>1588</v>
      </c>
      <c r="C14" s="461"/>
      <c r="D14" s="7"/>
      <c r="K14" s="7"/>
      <c r="L14" s="7"/>
    </row>
    <row r="15" spans="1:12" ht="41.45" customHeight="1">
      <c r="A15" s="7"/>
      <c r="B15" s="10" t="s">
        <v>2</v>
      </c>
      <c r="C15" s="462"/>
      <c r="D15" s="7"/>
      <c r="K15" s="7"/>
      <c r="L15" s="7"/>
    </row>
    <row r="16" spans="1:12" ht="41.45" customHeight="1">
      <c r="A16" s="7"/>
      <c r="B16" s="10" t="s">
        <v>3</v>
      </c>
      <c r="C16" s="462"/>
      <c r="D16" s="7"/>
      <c r="K16" s="7"/>
      <c r="L16" s="7"/>
    </row>
    <row r="17" spans="1:12" ht="41.45" customHeight="1">
      <c r="A17" s="7"/>
      <c r="B17" s="10" t="s">
        <v>140</v>
      </c>
      <c r="C17" s="462"/>
      <c r="D17" s="7"/>
      <c r="K17" s="7"/>
      <c r="L17" s="7"/>
    </row>
    <row r="18" spans="1:12" ht="41.45" customHeight="1">
      <c r="A18" s="7"/>
      <c r="B18" s="10" t="s">
        <v>4</v>
      </c>
      <c r="C18" s="462"/>
      <c r="D18" s="7"/>
      <c r="K18" s="7"/>
      <c r="L18" s="7"/>
    </row>
    <row r="19" spans="1:12" ht="41.45" customHeight="1" thickBot="1">
      <c r="A19" s="7"/>
      <c r="B19" s="11" t="s">
        <v>139</v>
      </c>
      <c r="C19" s="463" t="str">
        <f ca="1">" מחשבון סיווג דאטה עבור " &amp;C6&amp;" "&amp;TEXT(NOW(),"DD-MM-YYYY-HH:MM")</f>
        <v xml:space="preserve"> מחשבון סיווג דאטה עבור  06-01-2025-11:00</v>
      </c>
      <c r="D19" s="7"/>
      <c r="K19" s="7"/>
      <c r="L19" s="7"/>
    </row>
    <row r="20" spans="1:12" ht="41.45" customHeight="1">
      <c r="A20" s="7"/>
      <c r="B20" s="252"/>
      <c r="C20" s="6"/>
      <c r="D20" s="7"/>
      <c r="K20" s="7"/>
      <c r="L20" s="7"/>
    </row>
    <row r="21" spans="1:12" ht="21" thickBot="1">
      <c r="A21" s="7"/>
      <c r="B21" s="387" t="s">
        <v>1</v>
      </c>
      <c r="C21" s="6"/>
      <c r="D21" s="7"/>
      <c r="K21" s="7"/>
      <c r="L21" s="7"/>
    </row>
    <row r="22" spans="1:12" ht="41.45" customHeight="1">
      <c r="A22" s="7"/>
      <c r="B22" s="252"/>
      <c r="C22" s="6"/>
      <c r="D22" s="7"/>
      <c r="K22" s="7"/>
      <c r="L22" s="7"/>
    </row>
    <row r="23" spans="1:12" ht="41.45" customHeight="1">
      <c r="A23" s="7"/>
      <c r="B23" s="252"/>
      <c r="C23" s="6"/>
      <c r="D23" s="7"/>
      <c r="K23" s="7"/>
      <c r="L23" s="7"/>
    </row>
    <row r="24" spans="1:12" ht="15" customHeight="1">
      <c r="A24" s="7"/>
      <c r="B24" s="8"/>
      <c r="C24" s="437"/>
      <c r="D24" s="7"/>
      <c r="E24" s="7"/>
      <c r="F24" s="7"/>
      <c r="G24" s="7"/>
      <c r="H24" s="7"/>
      <c r="I24" s="7"/>
      <c r="J24" s="7"/>
      <c r="K24" s="7"/>
      <c r="L24" s="7"/>
    </row>
    <row r="25" spans="1:12" ht="15" customHeight="1">
      <c r="A25" s="7"/>
      <c r="B25" s="8"/>
      <c r="C25" s="437"/>
      <c r="D25" s="7"/>
      <c r="E25" s="7"/>
      <c r="F25" s="7"/>
      <c r="G25" s="7"/>
      <c r="H25" s="7"/>
      <c r="I25" s="7"/>
      <c r="J25" s="7"/>
      <c r="K25" s="7"/>
      <c r="L25" s="7"/>
    </row>
    <row r="26" spans="1:12" ht="15" hidden="1" customHeight="1"/>
  </sheetData>
  <dataValidations count="1">
    <dataValidation type="list" allowBlank="1" showInputMessage="1" showErrorMessage="1" sqref="C9" ns2:uid="{EB0FD29C-65D2-4CA0-9429-245C0EDFF111}">
      <formula1>"חדשה, קיימת (עוברת לענן), עוברת שדרוג"</formula1>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6459-FEDA-4251-BD2E-E2FF4DBF732D}">
  <sheetPr codeName="Sheet8"/>
  <dimension ref="A1:L24"/>
  <sheetViews>
    <sheetView rightToLeft="1" tabSelected="1" topLeftCell="A4" zoomScale="80" zoomScaleNormal="80" workbookViewId="0">
      <selection activeCell="C17" sqref="C17"/>
    </sheetView>
  </sheetViews>
  <sheetFormatPr defaultColWidth="0" defaultRowHeight="15" zeroHeight="1"/>
  <cols>
    <col min="1" max="1" width="9.125" style="79" customWidth="1"/>
    <col min="2" max="2" width="12.625" style="79" customWidth="1"/>
    <col min="3" max="3" width="57.375" style="285" customWidth="1"/>
    <col min="4" max="4" width="68" style="280" bestFit="1" customWidth="1"/>
    <col min="5" max="5" width="11.125" style="3" customWidth="1"/>
    <col min="6" max="6" width="11.125" style="3" hidden="1" customWidth="1"/>
    <col min="7" max="7" width="14.125" style="3" hidden="1" customWidth="1"/>
    <col min="8" max="8" width="39.625" style="3" hidden="1" customWidth="1"/>
    <col min="9" max="9" width="77.875" style="3" hidden="1" customWidth="1"/>
    <col min="10" max="10" width="49.375" style="3" hidden="1" customWidth="1"/>
    <col min="11" max="11" width="58.375" style="3" hidden="1" customWidth="1"/>
    <col min="12" max="16384" width="11.125" style="3" hidden="1"/>
  </cols>
  <sheetData>
    <row r="1" spans="1:12">
      <c r="A1" s="281"/>
      <c r="B1" s="281"/>
      <c r="C1" s="284"/>
      <c r="D1" s="278"/>
      <c r="E1" s="7"/>
    </row>
    <row r="2" spans="1:12">
      <c r="A2" s="281"/>
      <c r="B2" s="281"/>
      <c r="C2" s="284"/>
      <c r="D2" s="278"/>
      <c r="E2" s="7"/>
    </row>
    <row r="3" spans="1:12" ht="20.25">
      <c r="A3" s="281"/>
      <c r="B3" s="493" t="s">
        <v>1587</v>
      </c>
      <c r="C3" s="493"/>
      <c r="D3" s="493"/>
      <c r="E3" s="282"/>
    </row>
    <row r="4" spans="1:12" ht="21" thickBot="1">
      <c r="A4" s="281"/>
      <c r="B4" s="280"/>
      <c r="D4" s="301" t="s">
        <v>22</v>
      </c>
      <c r="E4" s="31"/>
      <c r="F4" s="309" t="s">
        <v>1690</v>
      </c>
      <c r="G4" s="309" t="s">
        <v>1689</v>
      </c>
      <c r="H4" s="309" t="s">
        <v>1691</v>
      </c>
      <c r="I4" s="309" t="s">
        <v>1692</v>
      </c>
      <c r="J4" s="309" t="s">
        <v>1693</v>
      </c>
      <c r="K4" s="309" t="s">
        <v>1694</v>
      </c>
    </row>
    <row r="5" spans="1:12" s="286" customFormat="1" ht="14.25">
      <c r="A5" s="281"/>
      <c r="B5" s="602" t="s">
        <v>1573</v>
      </c>
      <c r="C5" s="302" t="s">
        <v>1583</v>
      </c>
      <c r="D5" s="402" t="s">
        <v>2033</v>
      </c>
      <c r="E5" s="42"/>
      <c r="F5" s="286">
        <f>IF(D5=H5,0,IF(D5=I5,1,IF(D5=J5,2,"ERROR")))</f>
        <v>1</v>
      </c>
      <c r="G5" s="286">
        <v>2</v>
      </c>
      <c r="H5" s="286" t="s">
        <v>2041</v>
      </c>
      <c r="I5" s="286" t="s">
        <v>2033</v>
      </c>
      <c r="J5" s="286" t="s">
        <v>2056</v>
      </c>
    </row>
    <row r="6" spans="1:12" s="286" customFormat="1" thickBot="1">
      <c r="A6" s="281"/>
      <c r="B6" s="603"/>
      <c r="C6" s="465" t="s">
        <v>1584</v>
      </c>
      <c r="D6" s="403" t="s">
        <v>1512</v>
      </c>
      <c r="E6" s="42"/>
      <c r="F6" s="286">
        <f>IF(D6=H6,0,IF(D6=I6,1,"ERROR"))</f>
        <v>0</v>
      </c>
      <c r="G6" s="286">
        <v>1</v>
      </c>
      <c r="H6" s="286" t="s">
        <v>1512</v>
      </c>
      <c r="I6" s="286" t="s">
        <v>163</v>
      </c>
    </row>
    <row r="7" spans="1:12" s="286" customFormat="1" ht="14.25">
      <c r="A7" s="281"/>
      <c r="B7" s="350"/>
      <c r="C7" s="285"/>
      <c r="D7" s="404"/>
      <c r="E7" s="42"/>
      <c r="K7" s="287"/>
    </row>
    <row r="8" spans="1:12" s="279" customFormat="1" ht="15.75" thickBot="1">
      <c r="A8" s="281"/>
      <c r="B8" s="280"/>
      <c r="C8" s="288"/>
      <c r="D8" s="401" t="s">
        <v>22</v>
      </c>
      <c r="E8" s="283"/>
      <c r="F8" s="310"/>
      <c r="G8" s="311"/>
      <c r="H8" s="310"/>
      <c r="I8" s="310"/>
      <c r="J8" s="310"/>
      <c r="K8" s="310"/>
    </row>
    <row r="9" spans="1:12">
      <c r="A9" s="281"/>
      <c r="B9" s="602" t="s">
        <v>1572</v>
      </c>
      <c r="C9" s="304" t="s">
        <v>2034</v>
      </c>
      <c r="D9" s="402" t="s">
        <v>2060</v>
      </c>
      <c r="E9" s="7"/>
      <c r="F9" s="286">
        <f t="shared" ref="F9:F16" si="0">IF(D9=H9,0,IF(D9=I9,1,IF(D9=J9,2,IF(D9=K9,3,"ERROR"))))</f>
        <v>0</v>
      </c>
      <c r="G9" s="3">
        <v>3</v>
      </c>
      <c r="H9" s="1" t="s">
        <v>2060</v>
      </c>
      <c r="I9" s="1" t="s">
        <v>2059</v>
      </c>
      <c r="J9" s="1" t="s">
        <v>2058</v>
      </c>
      <c r="K9" s="289" t="s">
        <v>2057</v>
      </c>
    </row>
    <row r="10" spans="1:12" ht="15.75" thickBot="1">
      <c r="A10" s="281"/>
      <c r="B10" s="603"/>
      <c r="C10" s="305" t="s">
        <v>1697</v>
      </c>
      <c r="D10" s="403" t="s">
        <v>1695</v>
      </c>
      <c r="E10" s="7"/>
      <c r="F10" s="286">
        <f>IF(D10=H10,0,IF(D10=I10,1,IF(D10=J10,2,IF(D10=K10,10,"ERROR"))))</f>
        <v>1</v>
      </c>
      <c r="G10" s="3">
        <v>10</v>
      </c>
      <c r="H10" s="1" t="s">
        <v>2043</v>
      </c>
      <c r="I10" s="1" t="s">
        <v>1695</v>
      </c>
      <c r="J10" s="1" t="s">
        <v>1696</v>
      </c>
      <c r="K10" s="289" t="s">
        <v>2042</v>
      </c>
    </row>
    <row r="11" spans="1:12">
      <c r="A11" s="281"/>
      <c r="B11" s="350"/>
      <c r="D11" s="404"/>
      <c r="E11" s="7"/>
      <c r="F11" s="286"/>
      <c r="H11" s="1"/>
      <c r="I11" s="1"/>
      <c r="J11" s="1"/>
      <c r="K11" s="289"/>
    </row>
    <row r="12" spans="1:12" s="279" customFormat="1" ht="18" customHeight="1" thickBot="1">
      <c r="A12" s="281"/>
      <c r="B12" s="280"/>
      <c r="C12" s="306"/>
      <c r="D12" s="401" t="s">
        <v>22</v>
      </c>
      <c r="E12" s="283"/>
      <c r="F12" s="310"/>
      <c r="G12" s="311"/>
      <c r="H12" s="312"/>
      <c r="I12" s="310"/>
      <c r="J12" s="310"/>
      <c r="K12" s="310"/>
      <c r="L12" s="287"/>
    </row>
    <row r="13" spans="1:12" ht="33" customHeight="1" thickBot="1">
      <c r="A13" s="281"/>
      <c r="B13" s="307" t="s">
        <v>1622</v>
      </c>
      <c r="C13" s="303" t="s">
        <v>1585</v>
      </c>
      <c r="D13" s="405" t="s">
        <v>163</v>
      </c>
      <c r="E13" s="7"/>
      <c r="F13" s="286">
        <f>IF(D13=H13,0,IF(D13=I13,1,"ERROR"))</f>
        <v>1</v>
      </c>
      <c r="G13" s="3">
        <v>1</v>
      </c>
      <c r="H13" s="1" t="s">
        <v>1512</v>
      </c>
      <c r="I13" s="1" t="s">
        <v>163</v>
      </c>
    </row>
    <row r="14" spans="1:12" ht="18" customHeight="1">
      <c r="A14" s="281"/>
      <c r="B14" s="350"/>
      <c r="D14" s="404"/>
      <c r="E14" s="7"/>
      <c r="F14" s="286"/>
      <c r="H14" s="1"/>
      <c r="I14" s="1"/>
      <c r="J14" s="1"/>
      <c r="K14" s="289"/>
    </row>
    <row r="15" spans="1:12" ht="15.75" thickBot="1">
      <c r="A15" s="281"/>
      <c r="B15" s="280"/>
      <c r="C15" s="288"/>
      <c r="D15" s="401" t="s">
        <v>22</v>
      </c>
      <c r="E15" s="7"/>
      <c r="F15" s="310"/>
      <c r="G15" s="313"/>
      <c r="H15" s="314"/>
      <c r="I15" s="314"/>
      <c r="J15" s="314"/>
      <c r="K15" s="314"/>
    </row>
    <row r="16" spans="1:12" s="4" customFormat="1">
      <c r="A16" s="281"/>
      <c r="B16" s="604" t="s">
        <v>1574</v>
      </c>
      <c r="C16" s="302" t="s">
        <v>1840</v>
      </c>
      <c r="D16" s="402" t="s">
        <v>1581</v>
      </c>
      <c r="E16" s="8"/>
      <c r="F16" s="6">
        <f t="shared" si="0"/>
        <v>3</v>
      </c>
      <c r="G16" s="4">
        <v>3</v>
      </c>
      <c r="H16" s="6" t="s">
        <v>1575</v>
      </c>
      <c r="I16" s="6" t="s">
        <v>1577</v>
      </c>
      <c r="J16" s="6" t="s">
        <v>1580</v>
      </c>
      <c r="K16" s="380" t="s">
        <v>1581</v>
      </c>
    </row>
    <row r="17" spans="1:11" s="4" customFormat="1" ht="26.25" thickBot="1">
      <c r="A17" s="281"/>
      <c r="B17" s="605"/>
      <c r="C17" s="465" t="s">
        <v>2061</v>
      </c>
      <c r="D17" s="403" t="s">
        <v>2063</v>
      </c>
      <c r="E17" s="8"/>
      <c r="F17" s="6">
        <f>IF(D17=H17,0,IF(D17=I17,1,IF(D17=J17,2,"ERROR")))</f>
        <v>2</v>
      </c>
      <c r="G17" s="4">
        <v>2</v>
      </c>
      <c r="H17" s="6" t="s">
        <v>2062</v>
      </c>
      <c r="I17" s="6" t="s">
        <v>1579</v>
      </c>
      <c r="J17" s="6" t="s">
        <v>2063</v>
      </c>
    </row>
    <row r="18" spans="1:11">
      <c r="A18" s="281"/>
      <c r="B18" s="350"/>
      <c r="D18" s="404"/>
      <c r="E18" s="7"/>
      <c r="F18" s="286"/>
      <c r="H18" s="1"/>
      <c r="I18" s="1"/>
      <c r="J18" s="1"/>
    </row>
    <row r="19" spans="1:11" ht="15.75" thickBot="1">
      <c r="A19" s="281"/>
      <c r="B19" s="280"/>
      <c r="D19" s="401" t="s">
        <v>22</v>
      </c>
      <c r="E19" s="7"/>
      <c r="F19" s="310"/>
      <c r="G19" s="313"/>
      <c r="H19" s="313"/>
      <c r="I19" s="313"/>
      <c r="J19" s="313"/>
      <c r="K19" s="313"/>
    </row>
    <row r="20" spans="1:11" s="4" customFormat="1" ht="44.25" customHeight="1" thickBot="1">
      <c r="A20" s="281"/>
      <c r="B20" s="492" t="s">
        <v>2036</v>
      </c>
      <c r="C20" s="484" t="s">
        <v>1586</v>
      </c>
      <c r="D20" s="485" t="s">
        <v>2065</v>
      </c>
      <c r="E20" s="8"/>
      <c r="F20" s="6">
        <f>IF(D20=H20,0,IF(D20=I20,0,IF(D20=J20,0,IF(D20=K20,1,"ERROR"))))</f>
        <v>0</v>
      </c>
      <c r="G20" s="4">
        <v>1</v>
      </c>
      <c r="H20" s="6" t="s">
        <v>1576</v>
      </c>
      <c r="I20" s="6" t="s">
        <v>1578</v>
      </c>
      <c r="J20" s="380" t="s">
        <v>2065</v>
      </c>
      <c r="K20" s="380" t="s">
        <v>2064</v>
      </c>
    </row>
    <row r="21" spans="1:11">
      <c r="A21" s="281"/>
      <c r="B21" s="350"/>
      <c r="D21" s="404"/>
      <c r="E21" s="7"/>
      <c r="F21" s="286"/>
      <c r="H21" s="1"/>
      <c r="I21" s="1"/>
    </row>
    <row r="22" spans="1:11">
      <c r="A22" s="281"/>
      <c r="B22" s="281"/>
      <c r="C22" s="284"/>
      <c r="D22" s="278"/>
      <c r="E22" s="7"/>
    </row>
    <row r="23" spans="1:11">
      <c r="A23" s="281"/>
      <c r="B23" s="281"/>
      <c r="C23" s="284"/>
      <c r="D23" s="278"/>
      <c r="E23" s="7"/>
    </row>
    <row r="24" spans="1:11">
      <c r="A24" s="281"/>
      <c r="B24" s="281"/>
      <c r="C24" s="284"/>
      <c r="D24" s="278"/>
      <c r="E24" s="7"/>
    </row>
  </sheetData>
  <sheetProtection algorithmName="SHA-512" hashValue="UG3Lpmqrc1kSGG4Toihc4WX5R9U5TD+sGakWQKq2NMkV6pU8EvExk+47KuIKqmC3t7zF7aVJqK7ccMGGJQf4aQ==" saltValue="1nWqS7ETOCGFySPjdfMt1g==" spinCount="100000" sheet="1" formatCells="0" formatColumns="0" formatRows="0" sort="0" autoFilter="0"/>
  <mergeCells count="5">
    <mergeCell ref="B20"/>
    <mergeCell ref="B3:D3"/>
    <mergeCell ref="B16:B17"/>
    <mergeCell ref="B5:B6"/>
    <mergeCell ref="B9:B10"/>
  </mergeCells>
  <phoneticPr fontId="11" type="noConversion"/>
  <dataValidations count="9">
    <dataValidation type="list" allowBlank="1" showInputMessage="1" showErrorMessage="1" sqref="D5" xr:uid="{B24D5196-B738-44AC-B090-136C0C9DE561}">
      <formula1>$H$5:$J$5</formula1>
    </dataValidation>
    <dataValidation type="list" allowBlank="1" showInputMessage="1" showErrorMessage="1" sqref="D6" xr:uid="{166CFC88-B2A4-413A-9526-1EC1CF2FFCEA}">
      <formula1>$H$6:$I$6</formula1>
    </dataValidation>
    <dataValidation type="list" allowBlank="1" showInputMessage="1" showErrorMessage="1" sqref="D9" xr:uid="{9908FC54-6BCD-4E1A-BD46-1ABFDF548AC9}">
      <formula1>$H$9:$K$9</formula1>
    </dataValidation>
    <dataValidation type="list" allowBlank="1" showInputMessage="1" showErrorMessage="1" sqref="D10:D11" xr:uid="{560EFDCC-F878-4302-86CF-B2FDAD7F27FA}">
      <formula1>$H$10:$K$10</formula1>
    </dataValidation>
    <dataValidation type="list" allowBlank="1" showInputMessage="1" showErrorMessage="1" sqref="D13" xr:uid="{4EA269A1-19A5-4D85-9198-2A04D1C68147}">
      <formula1>$H$13:$I$13</formula1>
    </dataValidation>
    <dataValidation type="list" allowBlank="1" showInputMessage="1" showErrorMessage="1" sqref="D16" xr:uid="{80A7A074-27E3-4E4C-B0F3-5DF144E14E9D}">
      <formula1>$H$16:$K$16</formula1>
    </dataValidation>
    <dataValidation type="list" allowBlank="1" showInputMessage="1" showErrorMessage="1" sqref="D17:D18" xr:uid="{733594F8-F27E-4B77-9F90-766658C71C02}">
      <formula1>$H$17:$J$17</formula1>
    </dataValidation>
    <dataValidation type="list" allowBlank="1" showInputMessage="1" showErrorMessage="1" sqref="D20" xr:uid="{16897027-08EB-4D39-BB52-4DF18767A37A}">
      <formula1>$H$20:$K$20</formula1>
    </dataValidation>
    <dataValidation type="list" allowBlank="1" showInputMessage="1" showErrorMessage="1" sqref="D7 D14 D21" xr:uid="{39D7ABC7-DEFD-4A14-AC50-D34D7D58FC9C}">
      <formula1>#REF!</formula1>
    </dataValidation>
  </dataValidations>
  <pageMargins left="0.7" right="0.7" top="0.75" bottom="0.75" header="0.3" footer="0.3"/>
  <pageSetup paperSize="9" orientation="portrait"/>
  <drawing r:id="rId1"/>
</worksheet>
</file>

<file path=xl/worksheets/sheet3.xml><?xml version="1.0" encoding="utf-8"?>
<worksheet xmlns="http://schemas.openxmlformats.org/spreadsheetml/2006/main" xmlns:ns1="http://schemas.openxmlformats.org/markup-compatibility/2006" xmlns:ns2="http://schemas.microsoft.com/office/spreadsheetml/2014/revision" xmlns:ns4="http://schemas.microsoft.com/office/spreadsheetml/2009/9/main" xmlns:ns5="http://schemas.microsoft.com/office/excel/2006/main" xmlns:r="http://schemas.openxmlformats.org/officeDocument/2006/relationships" ns1:Ignorable="x14ac xr xr2 xr3" ns2:uid="{3D668C8B-021B-4D46-B593-9FA7046DA667}">
  <sheetPr codeName="Sheet12"/>
  <dimension ref="A1:N57"/>
  <sheetViews>
    <sheetView rightToLeft="1" topLeftCell="B1" zoomScale="145" zoomScaleNormal="145" workbookViewId="0">
      <selection activeCell="C50" sqref="C50"/>
    </sheetView>
  </sheetViews>
  <sheetFormatPr defaultColWidth="0" defaultRowHeight="15" zeroHeight="1"/>
  <cols>
    <col min="1" max="1" width="9.125" style="79" customWidth="1"/>
    <col min="2" max="2" width="10.125" style="4" customWidth="1"/>
    <col min="3" max="3" width="56.875" style="3" bestFit="1" customWidth="1"/>
    <col min="4" max="4" width="47.625" style="474" customWidth="1"/>
    <col min="5" max="5" width="9.125" style="3" customWidth="1"/>
    <col min="6" max="6" width="9.125" style="337" hidden="1" customWidth="1"/>
    <col min="7" max="7" width="21.125" style="337" hidden="1" customWidth="1"/>
    <col min="8" max="8" width="36.625" style="332" hidden="1" customWidth="1"/>
    <col min="9" max="9" width="38" style="332" hidden="1" customWidth="1"/>
    <col min="10" max="10" width="39.5" style="332" hidden="1" customWidth="1"/>
    <col min="11" max="11" width="40.625" style="332" hidden="1" customWidth="1"/>
    <col min="12" max="14" width="0" style="3" hidden="1" customWidth="1"/>
    <col min="15" max="16384" width="9.125" style="3" hidden="1"/>
  </cols>
  <sheetData>
    <row r="1" spans="1:11">
      <c r="A1" s="281"/>
      <c r="B1" s="8"/>
      <c r="C1" s="7"/>
      <c r="D1" s="470"/>
      <c r="E1" s="7"/>
    </row>
    <row r="2" spans="1:11">
      <c r="A2" s="281"/>
      <c r="B2" s="8"/>
      <c r="C2" s="7"/>
      <c r="D2" s="470"/>
      <c r="E2" s="7"/>
    </row>
    <row r="3" spans="1:11" ht="20.25">
      <c r="A3" s="281"/>
      <c r="C3" s="298" t="s">
        <v>1571</v>
      </c>
      <c r="D3" s="471"/>
      <c r="E3" s="7"/>
    </row>
    <row r="4" spans="1:11" ht="21" thickBot="1">
      <c r="A4" s="281"/>
      <c r="C4" s="14"/>
      <c r="D4" s="401" t="s">
        <v>22</v>
      </c>
      <c r="E4" s="7"/>
      <c r="F4" s="338" t="s">
        <v>1690</v>
      </c>
      <c r="G4" s="338" t="s">
        <v>1689</v>
      </c>
      <c r="H4" s="330" t="s">
        <v>1691</v>
      </c>
      <c r="I4" s="330" t="s">
        <v>1692</v>
      </c>
      <c r="J4" s="330" t="s">
        <v>1693</v>
      </c>
      <c r="K4" s="330" t="s">
        <v>1694</v>
      </c>
    </row>
    <row r="5" spans="1:11" s="295" customFormat="1" ht="25.5">
      <c r="A5" s="281" t="s">
        <v>1863</v>
      </c>
      <c r="B5" s="494" t="s">
        <v>1601</v>
      </c>
      <c r="C5" s="317" t="s">
        <v>1658</v>
      </c>
      <c r="D5" s="469" t="inlineStr">
        <is>
          <t xml:space="preserve">הנגשת מידע ואפשרות לעדכון (עם יכולת אחסון מידע או גיבוי המידע)</t>
        </is>
      </c>
      <c r="E5" s="320"/>
      <c r="F5" s="336">
        <f t="shared" ref="F5:F46" si="0">IF(D5=H5,0,IF(D5=I5,1,IF(D5=J5,2,IF(D5=K5,3,"ERROR"))))</f>
        <v>1</v>
      </c>
      <c r="G5" s="336">
        <v>3</v>
      </c>
      <c r="H5" s="296" t="s">
        <v>2066</v>
      </c>
      <c r="I5" s="296" t="s">
        <v>2083</v>
      </c>
      <c r="J5" s="296" t="s">
        <v>2067</v>
      </c>
      <c r="K5" s="296" t="s">
        <v>2068</v>
      </c>
    </row>
    <row r="6" spans="1:11" s="295" customFormat="1" ht="12.75">
      <c r="A6" s="281" t="s">
        <v>1864</v>
      </c>
      <c r="B6" s="495"/>
      <c r="C6" s="464" t="s">
        <v>2069</v>
      </c>
      <c r="D6" s="407" t="inlineStr">
        <is>
          <t xml:space="preserve">פיתוח או בדיקות (נתוני דמה)</t>
        </is>
      </c>
      <c r="E6" s="320"/>
      <c r="F6" s="336">
        <f>IF(D6=H6,0,IF(D6=I6,1,IF(D6=J6,5,IF(D6=K6,3,"ERROR"))))</f>
        <v>1</v>
      </c>
      <c r="G6" s="336">
        <v>5</v>
      </c>
      <c r="H6" s="296" t="s">
        <v>2079</v>
      </c>
      <c r="I6" s="296" t="s">
        <v>2080</v>
      </c>
      <c r="J6" s="296" t="s">
        <v>2081</v>
      </c>
      <c r="K6" s="296" t="s">
        <v>2082</v>
      </c>
    </row>
    <row r="7" spans="1:11" s="295" customFormat="1" ht="12.75">
      <c r="A7" s="281" t="s">
        <v>1865</v>
      </c>
      <c r="B7" s="495"/>
      <c r="C7" s="318" t="s">
        <v>1657</v>
      </c>
      <c r="D7" s="407" t="inlineStr">
        <is>
          <t xml:space="preserve">לא</t>
        </is>
      </c>
      <c r="E7" s="320"/>
      <c r="F7" s="336">
        <f>IF(D7=H7,0,IF(D7=I7,1,IF(D7=J7,2,"ERROR")))</f>
        <v>0</v>
      </c>
      <c r="G7" s="336">
        <v>2</v>
      </c>
      <c r="H7" s="296" t="s">
        <v>1512</v>
      </c>
      <c r="I7" s="296" t="s">
        <v>163</v>
      </c>
      <c r="J7" s="296" t="s">
        <v>2084</v>
      </c>
      <c r="K7" s="296"/>
    </row>
    <row r="8" spans="1:11" s="295" customFormat="1" ht="12.75">
      <c r="A8" s="281" t="s">
        <v>1866</v>
      </c>
      <c r="B8" s="495"/>
      <c r="C8" s="318" t="s">
        <v>1656</v>
      </c>
      <c r="D8" s="407" t="inlineStr">
        <is>
          <t xml:space="preserve">לא</t>
        </is>
      </c>
      <c r="E8" s="320"/>
      <c r="F8" s="336">
        <f>IF(D8=H8,0,IF(D8=I8,1,IF(D8=J8,2,"ERROR")))</f>
        <v>0</v>
      </c>
      <c r="G8" s="336">
        <v>2</v>
      </c>
      <c r="H8" s="296" t="s">
        <v>1512</v>
      </c>
      <c r="I8" s="296" t="s">
        <v>163</v>
      </c>
      <c r="J8" s="296" t="s">
        <v>2084</v>
      </c>
      <c r="K8" s="296"/>
    </row>
    <row r="9" spans="1:11" s="295" customFormat="1" ht="12.75">
      <c r="A9" s="281" t="s">
        <v>1867</v>
      </c>
      <c r="B9" s="495"/>
      <c r="C9" s="318" t="s">
        <v>1645</v>
      </c>
      <c r="D9" s="407" t="inlineStr">
        <is>
          <t xml:space="preserve">אחסון ארוך תווך מעל 6 חודשים</t>
        </is>
      </c>
      <c r="E9" s="320"/>
      <c r="F9" s="336">
        <f t="shared" si="0"/>
        <v>1</v>
      </c>
      <c r="G9" s="336">
        <v>3</v>
      </c>
      <c r="H9" s="296" t="s">
        <v>1705</v>
      </c>
      <c r="I9" s="296" t="s">
        <v>1704</v>
      </c>
      <c r="J9" s="296" t="s">
        <v>1706</v>
      </c>
      <c r="K9" s="296" t="s">
        <v>1707</v>
      </c>
    </row>
    <row r="10" spans="1:11" s="295" customFormat="1" ht="12.75">
      <c r="A10" s="281" t="s">
        <v>1868</v>
      </c>
      <c r="B10" s="495"/>
      <c r="C10" s="318" t="s">
        <v>1646</v>
      </c>
      <c r="D10" s="407" t="inlineStr">
        <is>
          <t xml:space="preserve">כן</t>
        </is>
      </c>
      <c r="E10" s="320"/>
      <c r="F10" s="336">
        <f>IF(D10=H10,0,IF(D10=I10,10,"ERROR"))</f>
        <v>10</v>
      </c>
      <c r="G10" s="336">
        <v>10</v>
      </c>
      <c r="H10" s="296" t="s">
        <v>1512</v>
      </c>
      <c r="I10" s="296" t="s">
        <v>163</v>
      </c>
      <c r="J10" s="296"/>
      <c r="K10" s="296"/>
    </row>
    <row r="11" spans="1:11" s="295" customFormat="1" ht="12.75">
      <c r="A11" s="281" t="s">
        <v>1869</v>
      </c>
      <c r="B11" s="495"/>
      <c r="C11" s="318" t="s">
        <v>1647</v>
      </c>
      <c r="D11" s="407" t="inlineStr">
        <is>
          <t xml:space="preserve">כן</t>
        </is>
      </c>
      <c r="E11" s="320"/>
      <c r="F11" s="336">
        <f>IF(D11=H11,0,IF(D11=I11,10,"ERROR"))</f>
        <v>10</v>
      </c>
      <c r="G11" s="336">
        <v>10</v>
      </c>
      <c r="H11" s="296" t="s">
        <v>1512</v>
      </c>
      <c r="I11" s="296" t="s">
        <v>163</v>
      </c>
      <c r="J11" s="296"/>
      <c r="K11" s="296"/>
    </row>
    <row r="12" spans="1:11" s="295" customFormat="1" ht="13.5" thickBot="1">
      <c r="A12" s="281" t="s">
        <v>1870</v>
      </c>
      <c r="B12" s="496"/>
      <c r="C12" s="319" t="s">
        <v>2085</v>
      </c>
      <c r="D12" s="408" t="inlineStr">
        <is>
          <t xml:space="preserve">בענן על ידי שירות ענן אוטומטי</t>
        </is>
      </c>
      <c r="E12" s="320"/>
      <c r="F12" s="336">
        <f>IF(D12=H12,10,IF(D12=I12,5,IF(D12=J12,3,IF(D12=K12,0,"ERROR"))))</f>
        <v>5</v>
      </c>
      <c r="G12" s="336">
        <v>10</v>
      </c>
      <c r="H12" s="296" t="s">
        <v>2086</v>
      </c>
      <c r="I12" s="296" t="s">
        <v>2087</v>
      </c>
      <c r="J12" s="296" t="s">
        <v>2088</v>
      </c>
      <c r="K12" s="296" t="s">
        <v>2089</v>
      </c>
    </row>
    <row r="13" spans="1:11" s="295" customFormat="1" ht="12.75">
      <c r="A13" s="281"/>
      <c r="B13" s="344"/>
      <c r="C13" s="296"/>
      <c r="D13" s="409"/>
      <c r="E13" s="320"/>
      <c r="F13" s="336"/>
      <c r="G13" s="336"/>
      <c r="H13" s="296"/>
      <c r="I13" s="296"/>
      <c r="J13" s="296"/>
      <c r="K13" s="296"/>
    </row>
    <row r="14" spans="1:11" s="295" customFormat="1" ht="13.5" thickBot="1">
      <c r="A14" s="281"/>
      <c r="B14" s="280"/>
      <c r="D14" s="401" t="s">
        <v>22</v>
      </c>
      <c r="E14" s="320"/>
      <c r="F14" s="340"/>
      <c r="G14" s="340"/>
      <c r="H14" s="341"/>
      <c r="I14" s="341"/>
      <c r="J14" s="341"/>
      <c r="K14" s="341"/>
    </row>
    <row r="15" spans="1:11" s="295" customFormat="1" ht="12.75">
      <c r="A15" s="281" t="s">
        <v>1871</v>
      </c>
      <c r="B15" s="494" t="s">
        <v>1600</v>
      </c>
      <c r="C15" s="466" t="s">
        <v>1847</v>
      </c>
      <c r="D15" s="487" t="inlineStr">
        <is>
          <t xml:space="preserve">לא</t>
        </is>
      </c>
      <c r="E15" s="320"/>
      <c r="F15" s="336">
        <f>IF(D15=H15,100,IF(D15=I15,0,"ERROR"))</f>
        <v>100</v>
      </c>
      <c r="G15" s="336">
        <v>100</v>
      </c>
      <c r="H15" s="296" t="s">
        <v>1512</v>
      </c>
      <c r="I15" s="296" t="s">
        <v>163</v>
      </c>
      <c r="J15" s="296"/>
      <c r="K15" s="296"/>
    </row>
    <row r="16" spans="1:11" s="295" customFormat="1" ht="12.75">
      <c r="A16" s="281" t="s">
        <v>1872</v>
      </c>
      <c r="B16" s="495"/>
      <c r="C16" s="464" t="s">
        <v>1606</v>
      </c>
      <c r="D16" s="407" t="inlineStr">
        <is>
          <t xml:space="preserve">סביבת בדיקות וסביבת ייצור</t>
        </is>
      </c>
      <c r="E16" s="320"/>
      <c r="F16" s="336">
        <f>IF(D16=H16,0,IF(D16=I16,1,IF(D16=J16,2,IF(D16=K16,3,"ERROR"))))</f>
        <v>0</v>
      </c>
      <c r="G16" s="336">
        <v>3</v>
      </c>
      <c r="H16" s="296" t="s">
        <v>1708</v>
      </c>
      <c r="I16" s="296" t="s">
        <v>1709</v>
      </c>
      <c r="J16" s="296" t="s">
        <v>1710</v>
      </c>
      <c r="K16" s="296" t="s">
        <v>1711</v>
      </c>
    </row>
    <row r="17" spans="1:11" s="295" customFormat="1" ht="14.25">
      <c r="A17" s="281" t="s">
        <v>1873</v>
      </c>
      <c r="B17" s="495"/>
      <c r="C17" s="321" t="s">
        <v>1607</v>
      </c>
      <c r="D17" s="407" t="inlineStr">
        <is>
          <t xml:space="preserve">כסף 99.9% - עד 9 שעות השבתה בשנה</t>
        </is>
      </c>
      <c r="E17" s="320"/>
      <c r="F17" s="336">
        <f t="shared" si="0"/>
        <v>1</v>
      </c>
      <c r="G17" s="336">
        <v>3</v>
      </c>
      <c r="H17" s="334" t="s">
        <v>1715</v>
      </c>
      <c r="I17" s="334" t="s">
        <v>1714</v>
      </c>
      <c r="J17" s="334" t="s">
        <v>1713</v>
      </c>
      <c r="K17" s="334" t="s">
        <v>1712</v>
      </c>
    </row>
    <row r="18" spans="1:11" s="295" customFormat="1" ht="14.25">
      <c r="A18" s="281" t="s">
        <v>1874</v>
      </c>
      <c r="B18" s="495"/>
      <c r="C18" s="321" t="s">
        <v>1608</v>
      </c>
      <c r="D18" s="407" t="inlineStr">
        <is>
          <t xml:space="preserve">השפעה נמוכה מאוד על שירות לא אסטרטגי</t>
        </is>
      </c>
      <c r="E18" s="320"/>
      <c r="F18" s="336">
        <f t="shared" si="0"/>
        <v>0</v>
      </c>
      <c r="G18" s="336">
        <v>3</v>
      </c>
      <c r="H18" s="334" t="s">
        <v>1719</v>
      </c>
      <c r="I18" s="334" t="s">
        <v>1718</v>
      </c>
      <c r="J18" s="334" t="s">
        <v>1717</v>
      </c>
      <c r="K18" s="334" t="s">
        <v>1716</v>
      </c>
    </row>
    <row r="19" spans="1:11" s="295" customFormat="1" ht="25.5">
      <c r="A19" s="281" t="s">
        <v>1875</v>
      </c>
      <c r="B19" s="495"/>
      <c r="C19" s="323" t="s">
        <v>1609</v>
      </c>
      <c r="D19" s="407" t="inlineStr">
        <is>
          <t xml:space="preserve">ללא פגיעה או השפעה על פעילות של מערכות פנימיות</t>
        </is>
      </c>
      <c r="E19" s="320"/>
      <c r="F19" s="336">
        <f t="shared" si="0"/>
        <v>0</v>
      </c>
      <c r="G19" s="336">
        <v>3</v>
      </c>
      <c r="H19" s="333" t="s">
        <v>1723</v>
      </c>
      <c r="I19" s="333" t="s">
        <v>1722</v>
      </c>
      <c r="J19" s="333" t="s">
        <v>1721</v>
      </c>
      <c r="K19" s="333" t="s">
        <v>1720</v>
      </c>
    </row>
    <row r="20" spans="1:11" s="295" customFormat="1" ht="25.5">
      <c r="A20" s="281" t="s">
        <v>1876</v>
      </c>
      <c r="B20" s="495"/>
      <c r="C20" s="324" t="s">
        <v>2070</v>
      </c>
      <c r="D20" s="407" t="inlineStr">
        <is>
          <t xml:space="preserve">ללא השפעה או פגיעה בתהליך פיזי בארגון</t>
        </is>
      </c>
      <c r="E20" s="320"/>
      <c r="F20" s="336">
        <f>IF(D20=H20,0,IF(D20=I20,1,IF(D20=J20,5,IF(D20=K20,10,"ERROR"))))</f>
        <v>1</v>
      </c>
      <c r="G20" s="336">
        <v>10</v>
      </c>
      <c r="H20" s="334" t="s">
        <v>1726</v>
      </c>
      <c r="I20" s="334" t="s">
        <v>1725</v>
      </c>
      <c r="J20" s="334" t="s">
        <v>1724</v>
      </c>
      <c r="K20" s="334" t="s">
        <v>1727</v>
      </c>
    </row>
    <row r="21" spans="1:11" s="295" customFormat="1" ht="14.25">
      <c r="A21" s="281" t="s">
        <v>1877</v>
      </c>
      <c r="B21" s="495"/>
      <c r="C21" s="322" t="s">
        <v>1610</v>
      </c>
      <c r="D21" s="407" t="inlineStr">
        <is>
          <t xml:space="preserve">שרידות מלאה אוטומטית (גיבוי חם)</t>
        </is>
      </c>
      <c r="E21" s="320"/>
      <c r="F21" s="336">
        <f t="shared" si="0"/>
        <v>0</v>
      </c>
      <c r="G21" s="336">
        <v>3</v>
      </c>
      <c r="H21" s="333" t="s">
        <v>1728</v>
      </c>
      <c r="I21" s="333" t="s">
        <v>1729</v>
      </c>
      <c r="J21" s="333" t="s">
        <v>1730</v>
      </c>
      <c r="K21" s="333" t="s">
        <v>1731</v>
      </c>
    </row>
    <row r="22" spans="1:11" s="295" customFormat="1" ht="25.5">
      <c r="A22" s="281" t="s">
        <v>1878</v>
      </c>
      <c r="B22" s="495"/>
      <c r="C22" s="323" t="s">
        <v>1611</v>
      </c>
      <c r="D22" s="407" t="inlineStr">
        <is>
          <t xml:space="preserve">ללא השפעה על פעילות מערכות ניהול תשתיות</t>
        </is>
      </c>
      <c r="E22" s="320"/>
      <c r="F22" s="336">
        <f t="shared" si="0"/>
        <v>0</v>
      </c>
      <c r="G22" s="336">
        <v>3</v>
      </c>
      <c r="H22" s="334" t="s">
        <v>1735</v>
      </c>
      <c r="I22" s="334" t="s">
        <v>1734</v>
      </c>
      <c r="J22" s="334" t="s">
        <v>1733</v>
      </c>
      <c r="K22" s="334" t="s">
        <v>1732</v>
      </c>
    </row>
    <row r="23" spans="1:11" s="295" customFormat="1" ht="13.5" thickBot="1">
      <c r="A23" s="281" t="s">
        <v>1879</v>
      </c>
      <c r="B23" s="496"/>
      <c r="C23" s="467" t="s">
        <v>1659</v>
      </c>
      <c r="D23" s="408" t="inlineStr">
        <is>
          <t xml:space="preserve">Web או מובייל או אפליקציה מהאינטרנט</t>
        </is>
      </c>
      <c r="E23" s="320"/>
      <c r="F23" s="336">
        <f t="shared" si="0"/>
        <v>0</v>
      </c>
      <c r="G23" s="336">
        <v>3</v>
      </c>
      <c r="H23" s="296" t="s">
        <v>1737</v>
      </c>
      <c r="I23" s="296" t="s">
        <v>1736</v>
      </c>
      <c r="J23" s="296" t="s">
        <v>1738</v>
      </c>
      <c r="K23" s="296" t="s">
        <v>1739</v>
      </c>
    </row>
    <row r="24" spans="1:11" s="295" customFormat="1" ht="14.25">
      <c r="A24" s="281"/>
      <c r="B24" s="344"/>
      <c r="C24" s="306"/>
      <c r="D24" s="409"/>
      <c r="E24" s="320"/>
      <c r="F24" s="336"/>
      <c r="G24" s="339"/>
      <c r="H24" s="296"/>
      <c r="I24" s="334"/>
      <c r="J24" s="334"/>
      <c r="K24" s="334"/>
    </row>
    <row r="25" spans="1:11" s="295" customFormat="1" ht="13.5" thickBot="1">
      <c r="A25" s="281"/>
      <c r="B25" s="280"/>
      <c r="C25" s="306"/>
      <c r="D25" s="401" t="s">
        <v>22</v>
      </c>
      <c r="E25" s="320"/>
      <c r="F25" s="340"/>
      <c r="G25" s="340"/>
      <c r="H25" s="341"/>
      <c r="I25" s="341"/>
      <c r="J25" s="341"/>
      <c r="K25" s="341"/>
    </row>
    <row r="26" spans="1:11" s="295" customFormat="1" ht="14.25">
      <c r="A26" s="281" t="s">
        <v>1880</v>
      </c>
      <c r="B26" s="494" t="s">
        <v>1621</v>
      </c>
      <c r="C26" s="317" t="s">
        <v>1774</v>
      </c>
      <c r="D26" s="406" t="inlineStr">
        <is>
          <t xml:space="preserve">חיצוניים</t>
        </is>
      </c>
      <c r="E26" s="320"/>
      <c r="F26" s="336">
        <f t="shared" si="0"/>
        <v>2</v>
      </c>
      <c r="G26" s="336">
        <v>3</v>
      </c>
      <c r="H26" s="296" t="s">
        <v>1778</v>
      </c>
      <c r="I26" s="336" t="s">
        <v>1775</v>
      </c>
      <c r="J26" s="296" t="s">
        <v>1776</v>
      </c>
      <c r="K26" s="334" t="s">
        <v>1777</v>
      </c>
    </row>
    <row r="27" spans="1:11" s="295" customFormat="1" ht="12.75">
      <c r="A27" s="281" t="s">
        <v>1881</v>
      </c>
      <c r="B27" s="495"/>
      <c r="C27" s="318" t="s">
        <v>138</v>
      </c>
      <c r="D27" s="407" t="inlineStr">
        <is>
          <t xml:space="preserve">מעל 100 משתמשים</t>
        </is>
      </c>
      <c r="E27" s="320"/>
      <c r="F27" s="336">
        <f t="shared" si="0"/>
        <v>1</v>
      </c>
      <c r="G27" s="336">
        <v>3</v>
      </c>
      <c r="H27" s="296" t="s">
        <v>1743</v>
      </c>
      <c r="I27" s="336" t="s">
        <v>1740</v>
      </c>
      <c r="J27" s="296" t="s">
        <v>1742</v>
      </c>
      <c r="K27" s="336" t="s">
        <v>1741</v>
      </c>
    </row>
    <row r="28" spans="1:11" s="295" customFormat="1" ht="14.25">
      <c r="A28" s="281" t="s">
        <v>1882</v>
      </c>
      <c r="B28" s="495"/>
      <c r="C28" s="325" t="s">
        <v>1614</v>
      </c>
      <c r="D28" s="407" t="inlineStr">
        <is>
          <t xml:space="preserve">שם משתמש וסיסמא</t>
        </is>
      </c>
      <c r="E28" s="320"/>
      <c r="F28" s="336">
        <f t="shared" si="0"/>
        <v>1</v>
      </c>
      <c r="G28" s="336">
        <v>3</v>
      </c>
      <c r="H28" s="335" t="s">
        <v>1744</v>
      </c>
      <c r="I28" s="335" t="s">
        <v>1747</v>
      </c>
      <c r="J28" s="335" t="s">
        <v>1746</v>
      </c>
      <c r="K28" s="335" t="s">
        <v>1745</v>
      </c>
    </row>
    <row r="29" spans="1:11" s="295" customFormat="1" ht="14.25">
      <c r="A29" s="281" t="s">
        <v>1883</v>
      </c>
      <c r="B29" s="495"/>
      <c r="C29" s="326" t="s">
        <v>1615</v>
      </c>
      <c r="D29" s="407" t="inlineStr">
        <is>
          <t xml:space="preserve">המערכת נגישה במרשת האינטרנט עולמית ללא VPN</t>
        </is>
      </c>
      <c r="E29" s="320"/>
      <c r="F29" s="336">
        <f t="shared" si="0"/>
        <v>0</v>
      </c>
      <c r="G29" s="336">
        <v>3</v>
      </c>
      <c r="H29" s="333" t="s">
        <v>1748</v>
      </c>
      <c r="I29" s="333" t="s">
        <v>1749</v>
      </c>
      <c r="J29" s="333" t="s">
        <v>1750</v>
      </c>
      <c r="K29" s="333" t="s">
        <v>1751</v>
      </c>
    </row>
    <row r="30" spans="1:11" s="295" customFormat="1" ht="14.25">
      <c r="A30" s="281" t="s">
        <v>1884</v>
      </c>
      <c r="B30" s="495"/>
      <c r="C30" s="326" t="s">
        <v>1616</v>
      </c>
      <c r="D30" s="407" t="inlineStr">
        <is>
          <t xml:space="preserve">גישה אינטרנטית WEB</t>
        </is>
      </c>
      <c r="E30" s="320"/>
      <c r="F30" s="336">
        <f t="shared" si="0"/>
        <v>0</v>
      </c>
      <c r="G30" s="336">
        <v>3</v>
      </c>
      <c r="H30" s="334" t="s">
        <v>1755</v>
      </c>
      <c r="I30" s="334" t="s">
        <v>1754</v>
      </c>
      <c r="J30" s="334" t="s">
        <v>1753</v>
      </c>
      <c r="K30" s="334" t="s">
        <v>1752</v>
      </c>
    </row>
    <row r="31" spans="1:11" s="295" customFormat="1" ht="14.25">
      <c r="A31" s="281" t="s">
        <v>1885</v>
      </c>
      <c r="B31" s="495"/>
      <c r="C31" s="326" t="s">
        <v>1617</v>
      </c>
      <c r="D31" s="407" t="inlineStr">
        <is>
          <t xml:space="preserve">עשרות</t>
        </is>
      </c>
      <c r="E31" s="320"/>
      <c r="F31" s="336">
        <f t="shared" si="0"/>
        <v>1</v>
      </c>
      <c r="G31" s="335">
        <v>3</v>
      </c>
      <c r="H31" s="334" t="s">
        <v>1760</v>
      </c>
      <c r="I31" s="334" t="s">
        <v>2071</v>
      </c>
      <c r="J31" s="334" t="s">
        <v>2072</v>
      </c>
      <c r="K31" s="334" t="s">
        <v>2073</v>
      </c>
    </row>
    <row r="32" spans="1:11" s="295" customFormat="1" ht="14.25">
      <c r="A32" s="281" t="s">
        <v>1886</v>
      </c>
      <c r="B32" s="495"/>
      <c r="C32" s="326" t="s">
        <v>1618</v>
      </c>
      <c r="D32" s="407" t="inlineStr">
        <is>
          <t xml:space="preserve">עשרות</t>
        </is>
      </c>
      <c r="E32" s="320"/>
      <c r="F32" s="336">
        <f t="shared" si="0"/>
        <v>1</v>
      </c>
      <c r="G32" s="336">
        <v>3</v>
      </c>
      <c r="H32" s="334" t="s">
        <v>1760</v>
      </c>
      <c r="I32" s="334" t="s">
        <v>2071</v>
      </c>
      <c r="J32" s="334" t="s">
        <v>2072</v>
      </c>
      <c r="K32" s="334" t="s">
        <v>2073</v>
      </c>
    </row>
    <row r="33" spans="1:11" s="295" customFormat="1" ht="14.25">
      <c r="A33" s="281" t="s">
        <v>1887</v>
      </c>
      <c r="B33" s="495"/>
      <c r="C33" s="325" t="s">
        <v>1619</v>
      </c>
      <c r="D33" s="407" t="inlineStr">
        <is>
          <t xml:space="preserve">מאות</t>
        </is>
      </c>
      <c r="E33" s="320"/>
      <c r="F33" s="336">
        <f t="shared" si="0"/>
        <v>0</v>
      </c>
      <c r="G33" s="336">
        <v>3</v>
      </c>
      <c r="H33" s="334" t="s">
        <v>1760</v>
      </c>
      <c r="I33" s="334" t="s">
        <v>2071</v>
      </c>
      <c r="J33" s="334" t="s">
        <v>2072</v>
      </c>
      <c r="K33" s="334" t="s">
        <v>2073</v>
      </c>
    </row>
    <row r="34" spans="1:11" s="295" customFormat="1" ht="26.25" thickBot="1">
      <c r="A34" s="281" t="s">
        <v>1888</v>
      </c>
      <c r="B34" s="496"/>
      <c r="C34" s="327" t="s">
        <v>1620</v>
      </c>
      <c r="D34" s="408" t="inlineStr">
        <is>
          <t xml:space="preserve">שם משתמש וסיסמא - נותן שירות חיצוני ע"ג רשת האינטרנט</t>
        </is>
      </c>
      <c r="E34" s="320"/>
      <c r="F34" s="336">
        <f t="shared" si="0"/>
        <v>0</v>
      </c>
      <c r="G34" s="336">
        <v>3</v>
      </c>
      <c r="H34" s="334" t="s">
        <v>1759</v>
      </c>
      <c r="I34" s="334" t="s">
        <v>1758</v>
      </c>
      <c r="J34" s="334" t="s">
        <v>1757</v>
      </c>
      <c r="K34" s="334" t="s">
        <v>1756</v>
      </c>
    </row>
    <row r="35" spans="1:11" s="295" customFormat="1" ht="14.25">
      <c r="A35" s="281"/>
      <c r="B35" s="344"/>
      <c r="C35" s="349"/>
      <c r="D35" s="409"/>
      <c r="E35" s="320"/>
      <c r="F35" s="336"/>
      <c r="G35" s="336"/>
      <c r="H35" s="334"/>
      <c r="I35" s="334"/>
      <c r="J35" s="334"/>
      <c r="K35" s="334"/>
    </row>
    <row r="36" spans="1:11" s="295" customFormat="1" ht="12.75">
      <c r="A36" s="281"/>
      <c r="B36" s="280"/>
      <c r="C36" s="296"/>
      <c r="D36" s="401" t="s">
        <v>22</v>
      </c>
      <c r="E36" s="320"/>
      <c r="F36" s="340"/>
      <c r="G36" s="340"/>
      <c r="H36" s="341"/>
      <c r="I36" s="341"/>
      <c r="J36" s="341"/>
      <c r="K36" s="341"/>
    </row>
    <row r="37" spans="1:11" s="295" customFormat="1" ht="12.75">
      <c r="A37" s="281" t="s">
        <v>1889</v>
      </c>
      <c r="B37" s="495" t="s">
        <v>1624</v>
      </c>
      <c r="C37" s="328" t="s">
        <v>1842</v>
      </c>
      <c r="D37" s="407" t="inlineStr">
        <is>
          <t xml:space="preserve">לא רלוונטי / ללא ממשקים פנימיים</t>
        </is>
      </c>
      <c r="E37" s="320"/>
      <c r="F37" s="336">
        <f t="shared" si="0"/>
        <v>0</v>
      </c>
      <c r="G37" s="336">
        <v>3</v>
      </c>
      <c r="H37" s="336" t="s">
        <v>2074</v>
      </c>
      <c r="I37" s="296" t="s">
        <v>1761</v>
      </c>
      <c r="J37" s="296" t="s">
        <v>1762</v>
      </c>
      <c r="K37" s="336" t="s">
        <v>1763</v>
      </c>
    </row>
    <row r="38" spans="1:11" s="295" customFormat="1" ht="12.75">
      <c r="A38" s="281" t="s">
        <v>1890</v>
      </c>
      <c r="B38" s="495"/>
      <c r="C38" s="328" t="s">
        <v>2054</v>
      </c>
      <c r="D38" s="407" t="inlineStr">
        <is>
          <t xml:space="preserve">2-10 ממשקים</t>
        </is>
      </c>
      <c r="E38" s="320"/>
      <c r="F38" s="336">
        <f t="shared" si="0"/>
        <v>0</v>
      </c>
      <c r="G38" s="336">
        <v>3</v>
      </c>
      <c r="H38" s="336" t="s">
        <v>2074</v>
      </c>
      <c r="I38" s="296" t="s">
        <v>1761</v>
      </c>
      <c r="J38" s="296" t="s">
        <v>1762</v>
      </c>
      <c r="K38" s="336" t="s">
        <v>1763</v>
      </c>
    </row>
    <row r="39" spans="1:11" s="295" customFormat="1" ht="12.75">
      <c r="A39" s="281" t="s">
        <v>1891</v>
      </c>
      <c r="B39" s="495"/>
      <c r="C39" s="328" t="s">
        <v>1843</v>
      </c>
      <c r="D39" s="407" t="inlineStr">
        <is>
          <t xml:space="preserve">לא מבוצע תהליך הלבנה\השחרה</t>
        </is>
      </c>
      <c r="E39" s="320"/>
      <c r="F39" s="336">
        <f>IF(D39=H39,0,IF(D39=I39,1,IF(D39=J39,5,IF(D39=K39,10,"ERROR"))))</f>
        <v>0</v>
      </c>
      <c r="G39" s="336">
        <v>10</v>
      </c>
      <c r="H39" s="336" t="s">
        <v>2075</v>
      </c>
      <c r="I39" s="296" t="s">
        <v>1850</v>
      </c>
      <c r="J39" s="296" t="s">
        <v>1848</v>
      </c>
      <c r="K39" s="336" t="s">
        <v>1849</v>
      </c>
    </row>
    <row r="40" spans="1:11" s="295" customFormat="1" ht="12.75">
      <c r="A40" s="281" t="s">
        <v>1892</v>
      </c>
      <c r="B40" s="495"/>
      <c r="C40" s="398" t="s">
        <v>1626</v>
      </c>
      <c r="D40" s="407" t="inlineStr">
        <is>
          <t xml:space="preserve">רב פעמית (עד 20 פעם ביום)</t>
        </is>
      </c>
      <c r="E40" s="320"/>
      <c r="F40" s="336">
        <f t="shared" si="0"/>
        <v>0</v>
      </c>
      <c r="G40" s="336">
        <v>3</v>
      </c>
      <c r="H40" s="336" t="s">
        <v>2075</v>
      </c>
      <c r="I40" s="296" t="s">
        <v>1764</v>
      </c>
      <c r="J40" s="296" t="s">
        <v>1765</v>
      </c>
      <c r="K40" s="296" t="s">
        <v>1766</v>
      </c>
    </row>
    <row r="41" spans="1:11" s="295" customFormat="1" ht="12.75">
      <c r="A41" s="281" t="s">
        <v>1893</v>
      </c>
      <c r="B41" s="495"/>
      <c r="C41" s="328" t="s">
        <v>1627</v>
      </c>
      <c r="D41" s="407" t="inlineStr">
        <is>
          <t xml:space="preserve">פרוטוקול פומבי מוצפן</t>
        </is>
      </c>
      <c r="E41" s="320"/>
      <c r="F41" s="336">
        <f t="shared" si="0"/>
        <v>0</v>
      </c>
      <c r="G41" s="336">
        <v>3</v>
      </c>
      <c r="H41" s="296" t="s">
        <v>2076</v>
      </c>
      <c r="I41" s="296" t="s">
        <v>1767</v>
      </c>
      <c r="J41" s="296" t="s">
        <v>1768</v>
      </c>
      <c r="K41" s="296" t="s">
        <v>1769</v>
      </c>
    </row>
    <row r="42" spans="1:11" s="295" customFormat="1" ht="12.75">
      <c r="A42" s="281" t="s">
        <v>1894</v>
      </c>
      <c r="B42" s="495"/>
      <c r="C42" s="328" t="s">
        <v>1652</v>
      </c>
      <c r="D42" s="407" t="inlineStr">
        <is>
          <t xml:space="preserve">כן</t>
        </is>
      </c>
      <c r="E42" s="320"/>
      <c r="F42" s="336">
        <f>IF(D42=H42,0,IF(D42=I42,1,"ERROR"))</f>
        <v>0</v>
      </c>
      <c r="G42" s="336">
        <v>1</v>
      </c>
      <c r="H42" s="296" t="s">
        <v>2077</v>
      </c>
      <c r="I42" s="296" t="s">
        <v>1512</v>
      </c>
      <c r="J42" s="296"/>
      <c r="K42" s="336"/>
    </row>
    <row r="43" spans="1:11" s="295" customFormat="1" ht="26.25" thickBot="1">
      <c r="A43" s="281" t="s">
        <v>1895</v>
      </c>
      <c r="B43" s="496"/>
      <c r="C43" s="329" t="s">
        <v>1612</v>
      </c>
      <c r="D43" s="408" t="inlineStr">
        <is>
          <t xml:space="preserve">חלק משני מפונקציונליות לא קריטית של המערכת מבוסס על העברת תוכן ממשקי התקשרות חיצוניים</t>
        </is>
      </c>
      <c r="E43" s="320"/>
      <c r="F43" s="336">
        <f t="shared" si="0"/>
        <v>0</v>
      </c>
      <c r="G43" s="336">
        <v>3</v>
      </c>
      <c r="H43" s="335" t="s">
        <v>2078</v>
      </c>
      <c r="I43" s="335" t="s">
        <v>1772</v>
      </c>
      <c r="J43" s="335" t="s">
        <v>1771</v>
      </c>
      <c r="K43" s="335" t="s">
        <v>1770</v>
      </c>
    </row>
    <row r="44" spans="1:11" s="295" customFormat="1" ht="14.25">
      <c r="A44" s="281"/>
      <c r="B44" s="344"/>
      <c r="C44" s="345"/>
      <c r="D44" s="409"/>
      <c r="E44" s="320"/>
      <c r="F44" s="336"/>
      <c r="G44" s="336"/>
      <c r="H44" s="335"/>
      <c r="I44" s="335"/>
      <c r="J44" s="335"/>
      <c r="K44" s="335"/>
    </row>
    <row r="45" spans="1:11" s="295" customFormat="1" ht="13.5" thickBot="1">
      <c r="A45" s="281"/>
      <c r="B45" s="280"/>
      <c r="D45" s="401" t="s">
        <v>22</v>
      </c>
      <c r="E45" s="320"/>
      <c r="F45" s="340"/>
      <c r="G45" s="340"/>
      <c r="H45" s="341"/>
      <c r="I45" s="341"/>
      <c r="J45" s="341"/>
      <c r="K45" s="341"/>
    </row>
    <row r="46" spans="1:11" s="295" customFormat="1" ht="12.75">
      <c r="A46" s="281" t="s">
        <v>1896</v>
      </c>
      <c r="B46" s="494" t="s">
        <v>1625</v>
      </c>
      <c r="C46" s="346" t="s">
        <v>1602</v>
      </c>
      <c r="D46" s="406" t="inlineStr">
        <is>
          <t xml:space="preserve">refactor</t>
        </is>
      </c>
      <c r="E46" s="320"/>
      <c r="F46" s="336">
        <f t="shared" si="0"/>
        <v>0</v>
      </c>
      <c r="G46" s="336">
        <v>3</v>
      </c>
      <c r="H46" s="296" t="s">
        <v>1773</v>
      </c>
      <c r="I46" s="296" t="s">
        <v>1603</v>
      </c>
      <c r="J46" s="336" t="s">
        <v>1605</v>
      </c>
      <c r="K46" s="296" t="s">
        <v>1604</v>
      </c>
    </row>
    <row r="47" spans="1:11" s="295" customFormat="1" ht="12.75">
      <c r="A47" s="281" t="s">
        <v>1897</v>
      </c>
      <c r="B47" s="495"/>
      <c r="C47" s="468" t="s">
        <v>2037</v>
      </c>
      <c r="D47" s="308" t="inlineStr">
        <is>
          <t xml:space="preserve">ספק ענן אחר</t>
        </is>
      </c>
      <c r="E47" s="320"/>
      <c r="F47" s="336">
        <f>IF(D47=H47,1,IF(D47=I47,2,IF(D47=J47,3,"ERROR")))</f>
        <v>2</v>
      </c>
      <c r="G47" s="336">
        <v>3</v>
      </c>
      <c r="H47" s="296" t="s">
        <v>2040</v>
      </c>
      <c r="I47" s="296" t="s">
        <v>2038</v>
      </c>
      <c r="J47" s="296" t="s">
        <v>2039</v>
      </c>
    </row>
    <row r="48" spans="1:11" s="295" customFormat="1" ht="12.75">
      <c r="A48" s="281" t="s">
        <v>1898</v>
      </c>
      <c r="B48" s="495"/>
      <c r="C48" s="347" t="s">
        <v>1653</v>
      </c>
      <c r="D48" s="308" t="inlineStr">
        <is>
          <t xml:space="preserve">עצמאי</t>
        </is>
      </c>
      <c r="E48" s="320"/>
      <c r="F48" s="336">
        <f>IF(D48=H48,0,IF(D48=I48,1,IF(D48=J48,2,"ERROR")))</f>
        <v>1</v>
      </c>
      <c r="G48" s="336">
        <v>2</v>
      </c>
      <c r="H48" s="296" t="s">
        <v>1654</v>
      </c>
      <c r="I48" s="296" t="s">
        <v>1655</v>
      </c>
      <c r="J48" s="296" t="s">
        <v>1582</v>
      </c>
      <c r="K48" s="296"/>
    </row>
    <row r="49" spans="1:14" s="295" customFormat="1" ht="12.75">
      <c r="A49" s="281" t="s">
        <v>1899</v>
      </c>
      <c r="B49" s="495"/>
      <c r="C49" s="347" t="s">
        <v>936</v>
      </c>
      <c r="D49" s="308" t="inlineStr">
        <is>
          <t xml:space="preserve">אחר</t>
        </is>
      </c>
      <c r="E49" s="320"/>
      <c r="F49" s="336">
        <v>0</v>
      </c>
      <c r="G49" s="336">
        <v>0</v>
      </c>
      <c r="H49" s="296" t="s">
        <v>167</v>
      </c>
      <c r="I49" s="296" t="s">
        <v>168</v>
      </c>
      <c r="J49" s="296" t="s">
        <v>2044</v>
      </c>
      <c r="K49" s="296" t="s">
        <v>2045</v>
      </c>
      <c r="L49" s="295" t="s">
        <v>2046</v>
      </c>
      <c r="M49" s="295" t="s">
        <v>2047</v>
      </c>
      <c r="N49" s="295" t="s">
        <v>1582</v>
      </c>
    </row>
    <row r="50" spans="1:14" s="295" customFormat="1" ht="12.75">
      <c r="A50" s="281" t="s">
        <v>1900</v>
      </c>
      <c r="B50" s="495"/>
      <c r="C50" s="347" t="s">
        <v>1851</v>
      </c>
      <c r="D50" s="308" t="inlineStr">
        <is>
          <t xml:space="preserve">PaaS</t>
        </is>
      </c>
      <c r="E50" s="320"/>
      <c r="F50" s="336">
        <v>0</v>
      </c>
      <c r="G50" s="336">
        <v>0</v>
      </c>
      <c r="H50" s="296" t="s">
        <v>971</v>
      </c>
      <c r="I50" s="296" t="s">
        <v>1852</v>
      </c>
      <c r="J50" s="296" t="s">
        <v>161</v>
      </c>
      <c r="K50" s="296" t="s">
        <v>160</v>
      </c>
    </row>
    <row r="51" spans="1:14" s="295" customFormat="1" ht="14.25" customHeight="1">
      <c r="A51" s="281" t="s">
        <v>1901</v>
      </c>
      <c r="B51" s="495"/>
      <c r="C51" s="347" t="s">
        <v>1630</v>
      </c>
      <c r="D51" s="308" t="inlineStr">
        <is>
          <t xml:space="preserve">כן</t>
        </is>
      </c>
      <c r="E51" s="320"/>
      <c r="F51" s="336">
        <f>IF(D51=H51,0,IF(D51=I51,1,"ERROR"))</f>
        <v>0</v>
      </c>
      <c r="G51" s="336">
        <v>1</v>
      </c>
      <c r="H51" s="296" t="s">
        <v>163</v>
      </c>
      <c r="I51" s="296" t="s">
        <v>1512</v>
      </c>
      <c r="J51" s="296"/>
      <c r="K51" s="296"/>
    </row>
    <row r="52" spans="1:14" s="295" customFormat="1" ht="13.5" thickBot="1">
      <c r="A52" s="281" t="s">
        <v>1902</v>
      </c>
      <c r="B52" s="496"/>
      <c r="C52" s="348" t="s">
        <v>1648</v>
      </c>
      <c r="D52" s="408" t="inlineStr">
        <is>
          <t xml:space="preserve">לא בנימבוס</t>
        </is>
      </c>
      <c r="E52" s="320"/>
      <c r="F52" s="336">
        <f>IF(D52=H52,1,IF(D52=I52,1,IF(D52=J52,1,IF(D52=K52,3,"ERROR"))))</f>
        <v>1</v>
      </c>
      <c r="G52" s="336">
        <v>3</v>
      </c>
      <c r="H52" s="296" t="s">
        <v>1649</v>
      </c>
      <c r="I52" s="296" t="s">
        <v>1650</v>
      </c>
      <c r="J52" s="295" t="s">
        <v>2048</v>
      </c>
      <c r="K52" s="296" t="s">
        <v>1651</v>
      </c>
    </row>
    <row r="53" spans="1:14" s="295" customFormat="1" ht="12.75">
      <c r="A53" s="281"/>
      <c r="B53" s="280"/>
      <c r="C53" s="296"/>
      <c r="D53" s="409"/>
      <c r="E53" s="320"/>
      <c r="F53" s="340"/>
      <c r="G53" s="340"/>
      <c r="H53" s="341"/>
      <c r="I53" s="341"/>
      <c r="J53" s="341"/>
      <c r="K53" s="341"/>
    </row>
    <row r="54" spans="1:14" s="295" customFormat="1" ht="12.75">
      <c r="A54" s="281"/>
      <c r="B54" s="276"/>
      <c r="C54" s="276"/>
      <c r="D54" s="472"/>
      <c r="E54" s="320"/>
      <c r="F54" s="336"/>
      <c r="G54" s="336"/>
      <c r="H54" s="296"/>
      <c r="I54" s="296"/>
      <c r="J54" s="296"/>
      <c r="K54" s="296"/>
    </row>
    <row r="55" spans="1:14" s="295" customFormat="1" ht="20.25" customHeight="1">
      <c r="A55" s="281"/>
      <c r="B55" s="276"/>
      <c r="C55" s="276"/>
      <c r="D55" s="472"/>
      <c r="E55" s="320"/>
      <c r="F55" s="336"/>
      <c r="G55" s="336"/>
      <c r="H55" s="296"/>
      <c r="I55" s="296"/>
      <c r="J55" s="296"/>
      <c r="K55" s="296"/>
    </row>
    <row r="56" spans="1:14" s="295" customFormat="1" ht="20.25" hidden="1" customHeight="1">
      <c r="A56" s="79"/>
      <c r="B56" s="280"/>
      <c r="D56" s="409"/>
      <c r="F56" s="336"/>
      <c r="G56" s="336"/>
      <c r="H56" s="296"/>
      <c r="I56" s="296"/>
      <c r="J56" s="296"/>
      <c r="K56" s="296"/>
    </row>
    <row r="57" spans="1:14" s="295" customFormat="1" ht="20.25" hidden="1" customHeight="1">
      <c r="A57" s="79"/>
      <c r="B57" s="280"/>
      <c r="D57" s="473"/>
      <c r="F57" s="336"/>
      <c r="G57" s="336"/>
      <c r="H57" s="296"/>
      <c r="I57" s="296"/>
      <c r="J57" s="296"/>
      <c r="K57" s="296"/>
    </row>
  </sheetData>
  <sheetProtection algorithmName="SHA-512" hashValue="Lf/8qUaInDikcHi/GzEC0JERzcN/qZnMvWK44KOfK/XY2Fd+1LODudFGjvnQDQAyXBLNEXX/HtCd4WTjVMopZA==" saltValue="HbMexkKA9sX/vJblvQxmVA==" spinCount="100000" sheet="1" formatCells="0" formatColumns="0" formatRows="0" insertColumns="0" insertRows="0" insertHyperlinks="0" sort="0"/>
  <mergeCells count="5">
    <mergeCell ref="B46:B52"/>
    <mergeCell ref="B5:B12"/>
    <mergeCell ref="B37:B43"/>
    <mergeCell ref="B26:B34"/>
    <mergeCell ref="B15:B23"/>
  </mergeCells>
  <phoneticPr fontId="11" type="noConversion"/>
  <dataValidations count="41">
    <dataValidation type="list" allowBlank="1" showInputMessage="1" showErrorMessage="1" sqref="D5" ns2:uid="{E44037D2-60FD-4A8D-8015-C08051DE6C0B}">
      <formula1>$H$5:$K$5</formula1>
    </dataValidation>
    <dataValidation type="list" allowBlank="1" showInputMessage="1" showErrorMessage="1" sqref="D6" ns2:uid="{CF5A0C40-38A9-4E34-A7B3-22C4A2D06204}">
      <formula1>$H$6:$K$6</formula1>
    </dataValidation>
    <dataValidation type="list" allowBlank="1" showInputMessage="1" showErrorMessage="1" sqref="D7" ns2:uid="{1B8DED2B-1E85-4DC1-B021-7424BF941212}">
      <formula1>$H$7:$J$7</formula1>
    </dataValidation>
    <dataValidation type="list" allowBlank="1" showInputMessage="1" showErrorMessage="1" sqref="D8" ns2:uid="{AED229EE-D312-4D1B-B5FA-7C6C9BBAD467}">
      <formula1>$H$8:$J$8</formula1>
    </dataValidation>
    <dataValidation type="list" allowBlank="1" showInputMessage="1" showErrorMessage="1" sqref="D9" ns2:uid="{987565B0-DDF4-450C-A61B-FAD1A57A1808}">
      <formula1>$H$9:$K$9</formula1>
    </dataValidation>
    <dataValidation type="list" allowBlank="1" showInputMessage="1" showErrorMessage="1" sqref="D10" ns2:uid="{6298CFFE-70DD-480D-97F8-C3DAB6F14329}">
      <formula1>$H$10:$I$10</formula1>
    </dataValidation>
    <dataValidation type="list" allowBlank="1" showInputMessage="1" showErrorMessage="1" sqref="D11" ns2:uid="{45696C11-DF57-4BE5-A531-875C38404D76}">
      <formula1>$H$11:$I$11</formula1>
    </dataValidation>
    <dataValidation type="list" allowBlank="1" showInputMessage="1" showErrorMessage="1" sqref="D13" ns2:uid="{36D29108-9C5A-4919-8FD6-A8F5DE861420}">
      <formula1>$H$12:$I$12</formula1>
    </dataValidation>
    <dataValidation type="list" allowBlank="1" showInputMessage="1" showErrorMessage="1" sqref="D16" ns2:uid="{F9037708-F0EF-4163-8FDE-65DB87A0B049}">
      <formula1>$H$16:$K$16</formula1>
    </dataValidation>
    <dataValidation type="list" allowBlank="1" showInputMessage="1" showErrorMessage="1" sqref="D17" ns2:uid="{5FB8ABC9-9E05-422F-B12C-6723AC610B9C}">
      <formula1>$H$17:$K$17</formula1>
    </dataValidation>
    <dataValidation type="list" allowBlank="1" showInputMessage="1" showErrorMessage="1" sqref="D18" ns2:uid="{D7764AA9-78B9-45A0-9F55-6B5ABA7F7963}">
      <formula1>$H$18:$K$18</formula1>
    </dataValidation>
    <dataValidation type="list" allowBlank="1" showInputMessage="1" showErrorMessage="1" sqref="D19" ns2:uid="{18503EED-9DD4-4504-98AE-8F87131793B9}">
      <formula1>$H$19:$K$19</formula1>
    </dataValidation>
    <dataValidation type="list" allowBlank="1" showInputMessage="1" showErrorMessage="1" sqref="D20" ns2:uid="{1F1700E4-BC9F-481A-9B7E-06B939967F5B}">
      <formula1>$H$20:$K$20</formula1>
    </dataValidation>
    <dataValidation type="list" allowBlank="1" showInputMessage="1" showErrorMessage="1" sqref="D21" ns2:uid="{60CB805F-9661-458C-9CC4-7067B0527E34}">
      <formula1>$H$21:$K$21</formula1>
    </dataValidation>
    <dataValidation type="list" allowBlank="1" showInputMessage="1" showErrorMessage="1" sqref="D22" ns2:uid="{42B45056-6935-4760-83E0-469B32C240BC}">
      <formula1>$H$22:$K$22</formula1>
    </dataValidation>
    <dataValidation type="list" allowBlank="1" showInputMessage="1" showErrorMessage="1" sqref="D23" ns2:uid="{D43E1011-7C86-4B16-8DE7-4C74F7BAE9AF}">
      <formula1>$H$23:$K$23</formula1>
    </dataValidation>
    <dataValidation type="list" allowBlank="1" showInputMessage="1" showErrorMessage="1" sqref="D26" ns2:uid="{85825B56-2DB8-44BD-AE80-6AA0C7E83F6C}">
      <formula1>$H$26:$K$26</formula1>
    </dataValidation>
    <dataValidation type="list" allowBlank="1" showInputMessage="1" showErrorMessage="1" sqref="D27" ns2:uid="{02D0B9DD-8169-4D41-ABA9-AFE0E9FF8A49}">
      <formula1>$H$27:$K$27</formula1>
    </dataValidation>
    <dataValidation type="list" allowBlank="1" showInputMessage="1" showErrorMessage="1" sqref="D28" ns2:uid="{1A3BF9D2-9445-4D24-9E83-1CF33D6D9D2E}">
      <formula1>$H$28:$K$28</formula1>
    </dataValidation>
    <dataValidation type="list" allowBlank="1" showInputMessage="1" showErrorMessage="1" sqref="D29" ns2:uid="{79CAD284-8C45-46D9-BA0F-3C391130D6E8}">
      <formula1>$H$29:$K$29</formula1>
    </dataValidation>
    <dataValidation type="list" allowBlank="1" showInputMessage="1" showErrorMessage="1" sqref="D30" ns2:uid="{FFDD50CA-5B5C-44AA-8165-1F1F41389E06}">
      <formula1>$H$30:$K$30</formula1>
    </dataValidation>
    <dataValidation type="list" allowBlank="1" showInputMessage="1" showErrorMessage="1" sqref="D31" ns2:uid="{898AF77A-FEF3-4B31-B1AE-335E8CCBB1D3}">
      <formula1>$H$31:$K$31</formula1>
    </dataValidation>
    <dataValidation type="list" allowBlank="1" showInputMessage="1" showErrorMessage="1" sqref="D32" ns2:uid="{A1B86098-62D7-46EF-87E8-3C59445CCD1E}">
      <formula1>$H$32:$K$32</formula1>
    </dataValidation>
    <dataValidation type="list" allowBlank="1" showInputMessage="1" showErrorMessage="1" sqref="D33" ns2:uid="{B40BC0C4-1252-40E8-9C7D-A9C49C65DD41}">
      <formula1>$H$33:$K$33</formula1>
    </dataValidation>
    <dataValidation type="list" allowBlank="1" showInputMessage="1" showErrorMessage="1" sqref="D34:D35" ns2:uid="{AF751FAA-61D6-430F-A2D7-2FACBF1013B1}">
      <formula1>$H$34:$K$34</formula1>
    </dataValidation>
    <dataValidation type="list" allowBlank="1" showInputMessage="1" showErrorMessage="1" sqref="D37" ns2:uid="{B76EA74D-7D9A-40EE-85F5-C4E96267DE08}">
      <formula1>$H$37:$K$37</formula1>
    </dataValidation>
    <dataValidation type="list" allowBlank="1" showInputMessage="1" showErrorMessage="1" sqref="D38" ns2:uid="{5204D281-0108-4A0F-8CB1-37701BE61FDA}">
      <formula1>$H$38:$K$38</formula1>
    </dataValidation>
    <dataValidation type="list" allowBlank="1" showInputMessage="1" showErrorMessage="1" sqref="D40" ns2:uid="{5BB342CD-A46B-4927-890B-D2A1CD2FC171}">
      <formula1>$H$40:$K$40</formula1>
    </dataValidation>
    <dataValidation type="list" allowBlank="1" showInputMessage="1" showErrorMessage="1" sqref="D41" ns2:uid="{47E85EEA-497F-469B-B087-4D8FC8458115}">
      <formula1>$H$41:$K$41</formula1>
    </dataValidation>
    <dataValidation type="list" allowBlank="1" showInputMessage="1" showErrorMessage="1" sqref="D42" ns2:uid="{67F28753-0482-4210-AA56-5D99C52A438C}">
      <formula1>$H$42:$I$42</formula1>
    </dataValidation>
    <dataValidation type="list" allowBlank="1" showInputMessage="1" showErrorMessage="1" sqref="D43:D44" ns2:uid="{34221D15-9ABD-4899-BD25-7EF554064FD3}">
      <formula1>$H$43:$K$43</formula1>
    </dataValidation>
    <dataValidation type="list" allowBlank="1" showInputMessage="1" showErrorMessage="1" sqref="D46" ns2:uid="{961C5EB3-168D-4F71-AE78-FF778A2D5ACB}">
      <formula1>$H$46:$K$46</formula1>
    </dataValidation>
    <dataValidation type="list" allowBlank="1" showInputMessage="1" showErrorMessage="1" sqref="D48" ns2:uid="{FE73434A-7826-4ECE-BC14-E3004117519A}">
      <formula1>$H$48:$J$48</formula1>
    </dataValidation>
    <dataValidation type="list" allowBlank="1" showInputMessage="1" showErrorMessage="1" sqref="D51" ns2:uid="{6CCDF41B-EC26-4214-A261-46E18CDB355D}">
      <formula1>$H$51:$I$51</formula1>
    </dataValidation>
    <dataValidation type="list" allowBlank="1" showInputMessage="1" showErrorMessage="1" sqref="D39" ns2:uid="{FD10826E-65AA-4762-86CF-593A5351C174}">
      <formula1>$H$39:$K$39</formula1>
    </dataValidation>
    <dataValidation type="list" allowBlank="1" showInputMessage="1" showErrorMessage="1" sqref="D47" ns2:uid="{D17F653E-C850-4953-8C04-A4FB0F5D7543}">
      <formula1>$H$47:$J$47</formula1>
    </dataValidation>
    <dataValidation type="list" allowBlank="1" showInputMessage="1" showErrorMessage="1" sqref="D49" ns2:uid="{EC857A1A-C912-4E7D-918A-72E55EA1F293}">
      <formula1>$H$49:$N$49</formula1>
    </dataValidation>
    <dataValidation type="list" allowBlank="1" showInputMessage="1" showErrorMessage="1" sqref="D24" ns2:uid="{5D515590-4246-4ADA-B2B6-E90049E95308}">
      <formula1>#REF!</formula1>
    </dataValidation>
    <dataValidation type="list" allowBlank="1" showInputMessage="1" showErrorMessage="1" sqref="D52" ns2:uid="{FF85631E-1375-41EC-9CB7-28FB4AF266FB}">
      <formula1>$H$52:$K$52</formula1>
    </dataValidation>
    <dataValidation type="list" allowBlank="1" showInputMessage="1" showErrorMessage="1" sqref="D12" ns2:uid="{0AE8D8EA-0E7D-49F7-9559-ED00E7E6DC05}">
      <formula1>$H$12:$K$12</formula1>
    </dataValidation>
    <dataValidation type="list" allowBlank="1" showInputMessage="1" showErrorMessage="1" sqref="D15" ns2:uid="{D4BBBBC2-2995-4829-84A0-8A0908894019}">
      <formula1>$H$15:$I$15</formula1>
    </dataValidation>
  </dataValidations>
  <pageMargins left="0.7" right="0.7" top="0.75" bottom="0.75" header="0.3" footer="0.3"/>
  <pageSetup paperSize="9" orientation="portrait"/>
  <drawing r:id="rId1"/>
  <extLst>
    <ext uri="{CCE6A557-97BC-4b89-ADB6-D9C93CAAB3DF}">
      <ns4:dataValidations count="1">
        <ns4:dataValidation type="list" allowBlank="1" showInputMessage="1" showErrorMessage="1" ns2:uid="{322A9019-49DF-4394-B172-40333B966873}">
          <ns4:formula1>
            <ns5:f>חישובים!$A$2:$A$5</ns5:f>
          </ns4:formula1>
          <ns5:sqref>D50</ns5:sqref>
        </ns4:dataValidation>
      </ns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EDDA3-C579-45FE-A8E7-1E1A0C6DA70E}">
  <sheetPr codeName="Sheet10"/>
  <dimension ref="A1:V24"/>
  <sheetViews>
    <sheetView rightToLeft="1" workbookViewId="0">
      <selection activeCell="G2" sqref="G2"/>
    </sheetView>
  </sheetViews>
  <sheetFormatPr defaultRowHeight="14.25"/>
  <cols>
    <col min="1" max="1" width="12.875" customWidth="1"/>
    <col min="3" max="3" width="11" bestFit="1" customWidth="1"/>
    <col min="4" max="4" width="12.375" bestFit="1" customWidth="1"/>
    <col min="5" max="5" width="16.375" customWidth="1"/>
    <col min="7" max="7" width="15.125" customWidth="1"/>
    <col min="8" max="8" width="13.875" bestFit="1" customWidth="1"/>
    <col min="9" max="9" width="15.375" customWidth="1"/>
    <col min="10" max="10" width="17.375" customWidth="1"/>
    <col min="11" max="11" width="18.625" customWidth="1"/>
    <col min="14" max="14" width="14.375" bestFit="1" customWidth="1"/>
    <col min="15" max="15" width="13.625" style="150" customWidth="1"/>
    <col min="19" max="19" width="9.5" customWidth="1"/>
  </cols>
  <sheetData>
    <row r="1" spans="1:22" ht="72" thickBot="1">
      <c r="A1" s="145" t="s">
        <v>929</v>
      </c>
      <c r="B1" s="208" t="s">
        <v>1500</v>
      </c>
      <c r="C1" s="145" t="s">
        <v>930</v>
      </c>
      <c r="D1" s="208" t="s">
        <v>983</v>
      </c>
      <c r="E1" s="145" t="s">
        <v>931</v>
      </c>
      <c r="G1" s="146" t="s">
        <v>154</v>
      </c>
      <c r="H1" s="146" t="s">
        <v>155</v>
      </c>
      <c r="I1" s="146" t="s">
        <v>156</v>
      </c>
      <c r="J1" s="146" t="s">
        <v>157</v>
      </c>
      <c r="K1" s="147" t="s">
        <v>158</v>
      </c>
      <c r="N1" s="205" t="s">
        <v>937</v>
      </c>
      <c r="O1" s="208" t="s">
        <v>983</v>
      </c>
      <c r="Q1" t="s">
        <v>943</v>
      </c>
      <c r="S1" s="225" t="s">
        <v>976</v>
      </c>
      <c r="T1" s="223" t="s">
        <v>977</v>
      </c>
      <c r="U1" s="187" t="s">
        <v>978</v>
      </c>
    </row>
    <row r="2" spans="1:22" ht="15" thickBot="1">
      <c r="A2" s="143" t="s">
        <v>971</v>
      </c>
      <c r="B2" s="145" t="str">
        <f>'פרופיל בקרות דרוש (8)'!E3</f>
        <v>GCP</v>
      </c>
      <c r="C2" s="144" t="str">
        <f>'פרופיל בקרות דרוש (8)'!E2</f>
        <v>IaaS</v>
      </c>
      <c r="D2" s="145" t="str">
        <f>'פרופיל בקרות דרוש (8)'!E4</f>
        <v>עברית - מקוצר</v>
      </c>
      <c r="E2" s="144">
        <f>IF(
    AND($D$2=$O$2, $B$2=$N$2),
   COUNTIF('בקרות להפחתת סיכון AWS (EN)'!A:A,"Yes"),
    IF(
        AND($D$2=$O$3, $B$2=$N$2),
        COUNTIF('בקרות להפחתת סיכון AWS (HEB)'!A:A,"Yes"),
        IF(
            AND($D$2=$O$2, $B$2=$N$3),
            COUNTIF('בקרות להפחתת סיכון GCP (EN)'!A:A,"Yes"),
            IF(
                AND($D$2=$O$3, $B$2=$N$3),
                COUNTIF('בקרות להפחתת סיכון GCP (HEB)'!A:A,"Yes")
            )
        )
    )
)</f>
        <v>218</v>
      </c>
      <c r="F2" s="72" t="s">
        <v>932</v>
      </c>
      <c r="G2" s="144" t="str">
        <f>IF(
    AND($D$2=$O$2, $B$2=$N$2),
    COUNTIFS('בקרות להפחתת סיכון AWS (EN)'!$A:$A,"YES",'בקרות להפחתת סיכון AWS (EN)'!$E:$E,G1) &amp; "/" &amp; COUNTIF('בקרות להפחתת סיכון AWS (EN)'!$E:$E,G1),
    IF(
        AND($D$2=$O$3, $B$2=$N$2),
      COUNTIFS('בקרות להפחתת סיכון AWS (HEB)'!$A:$A,"YES",'בקרות להפחתת סיכון AWS (HEB)'!$E:$E,G1) &amp; "/" &amp; COUNTIF('בקרות להפחתת סיכון AWS (HEB)'!$E:$E,G1),
        IF(
            AND($D$2=$O$2, $B$2=$N$3),
            COUNTIFS('בקרות להפחתת סיכון GCP (EN)'!$A:$A,"YES",'בקרות להפחתת סיכון GCP (EN)'!$E:$E,G1) &amp; "/" &amp; COUNTIF('בקרות להפחתת סיכון GCP (EN)'!$E:$E,G1),
            IF(
                AND($D$2=$O$3, $B$2=$N$3),
               COUNTIFS('בקרות להפחתת סיכון GCP (HEB)'!$A:$A,"YES",'בקרות להפחתת סיכון GCP (HEB)'!$E:$E,G1) &amp; "/" &amp; COUNTIF('בקרות להפחתת סיכון GCP (HEB)'!$E:$E,G1)
            )
        )
    )
)</f>
        <v>20/21</v>
      </c>
      <c r="H2" s="144" t="str">
        <f>IF(
    AND($D$2=$O$2, $B$2=$N$2),
    COUNTIFS('בקרות להפחתת סיכון AWS (EN)'!$A:$A,"YES",'בקרות להפחתת סיכון AWS (EN)'!$E:$E,H1) &amp; "/" &amp; COUNTIF('בקרות להפחתת סיכון AWS (EN)'!$E:$E,H1),
    IF(
        AND($D$2=$O$3, $B$2=$N$2),
      COUNTIFS('בקרות להפחתת סיכון AWS (HEB)'!$A:$A,"YES",'בקרות להפחתת סיכון AWS (HEB)'!$E:$E,H1) &amp; "/" &amp; COUNTIF('בקרות להפחתת סיכון AWS (HEB)'!$E:$E,H1),
        IF(
            AND($D$2=$O$2, $B$2=$N$3),
            COUNTIFS('בקרות להפחתת סיכון GCP (EN)'!$A:$A,"YES",'בקרות להפחתת סיכון GCP (EN)'!$E:$E,H1) &amp; "/" &amp; COUNTIF('בקרות להפחתת סיכון GCP (EN)'!$E:$E,H1),
            IF(
                AND($D$2=$O$3, $B$2=$N$3),
               COUNTIFS('בקרות להפחתת סיכון GCP (HEB)'!$A:$A,"YES",'בקרות להפחתת סיכון GCP (HEB)'!$E:$E,H1) &amp; "/" &amp; COUNTIF('בקרות להפחתת סיכון GCP (HEB)'!$E:$E,H1)
            )
        )
    )
)</f>
        <v>47/49</v>
      </c>
      <c r="I2" s="144" t="str">
        <f>IF(
    AND($D$2=$O$2, $B$2=$N$2),
    COUNTIFS('בקרות להפחתת סיכון AWS (EN)'!$A:$A,"YES",'בקרות להפחתת סיכון AWS (EN)'!$E:$E,I1) &amp; "/" &amp; COUNTIF('בקרות להפחתת סיכון AWS (EN)'!$E:$E,I1),
    IF(
        AND($D$2=$O$3, $B$2=$N$2),
      COUNTIFS('בקרות להפחתת סיכון AWS (HEB)'!$A:$A,"YES",'בקרות להפחתת סיכון AWS (HEB)'!$E:$E,I1) &amp; "/" &amp; COUNTIF('בקרות להפחתת סיכון AWS (HEB)'!$E:$E,I1),
        IF(
            AND($D$2=$O$2, $B$2=$N$3),
            COUNTIFS('בקרות להפחתת סיכון GCP (EN)'!$A:$A,"YES",'בקרות להפחתת סיכון GCP (EN)'!$E:$E,I1) &amp; "/" &amp; COUNTIF('בקרות להפחתת סיכון GCP (EN)'!$E:$E,I1),
            IF(
                AND($D$2=$O$3, $B$2=$N$3),
               COUNTIFS('בקרות להפחתת סיכון GCP (HEB)'!$A:$A,"YES",'בקרות להפחתת סיכון GCP (HEB)'!$E:$E,I1) &amp; "/" &amp; COUNTIF('בקרות להפחתת סיכון GCP (HEB)'!$E:$E,I1)
            )
        )
    )
)</f>
        <v>132/139</v>
      </c>
      <c r="J2" s="144" t="str">
        <f>IF(
    AND($D$2=$O$2, $B$2=$N$2),
    COUNTIFS('בקרות להפחתת סיכון AWS (EN)'!$A:$A,"YES",'בקרות להפחתת סיכון AWS (EN)'!$E:$E,J1) &amp; "/" &amp; COUNTIF('בקרות להפחתת סיכון AWS (EN)'!$E:$E,J1),
    IF(
        AND($D$2=$O$3, $B$2=$N$2),
      COUNTIFS('בקרות להפחתת סיכון AWS (HEB)'!$A:$A,"YES",'בקרות להפחתת סיכון AWS (HEB)'!$E:$E,J1) &amp; "/" &amp; COUNTIF('בקרות להפחתת סיכון AWS (HEB)'!$E:$E,J1),
        IF(
            AND($D$2=$O$2, $B$2=$N$3),
            COUNTIFS('בקרות להפחתת סיכון GCP (EN)'!$A:$A,"YES",'בקרות להפחתת סיכון GCP (EN)'!$E:$E,J1) &amp; "/" &amp; COUNTIF('בקרות להפחתת סיכון GCP (EN)'!$E:$E,J1),
            IF(
                AND($D$2=$O$3, $B$2=$N$3),
               COUNTIFS('בקרות להפחתת סיכון GCP (HEB)'!$A:$A,"YES",'בקרות להפחתת סיכון GCP (HEB)'!$E:$E,J1) &amp; "/" &amp; COUNTIF('בקרות להפחתת סיכון GCP (HEB)'!$E:$E,J1)
            )
        )
    )
)</f>
        <v>12/12</v>
      </c>
      <c r="K2" s="144" t="str">
        <f>IF(
    AND($D$2=$O$2, $B$2=$N$2),
    COUNTIFS('בקרות להפחתת סיכון AWS (EN)'!$A:$A,"YES",'בקרות להפחתת סיכון AWS (EN)'!$E:$E,K1) &amp; "/" &amp; COUNTIF('בקרות להפחתת סיכון AWS (EN)'!$E:$E,K1),
    IF(
        AND($D$2=$O$3, $B$2=$N$2),
      COUNTIFS('בקרות להפחתת סיכון AWS (HEB)'!$A:$A,"YES",'בקרות להפחתת סיכון AWS (HEB)'!$E:$E,K1) &amp; "/" &amp; COUNTIF('בקרות להפחתת סיכון AWS (HEB)'!$E:$E,K1),
        IF(
            AND($D$2=$O$2, $B$2=$N$3),
            COUNTIFS('בקרות להפחתת סיכון GCP (EN)'!$A:$A,"YES",'בקרות להפחתת סיכון GCP (EN)'!$E:$E,K1) &amp; "/" &amp; COUNTIF('בקרות להפחתת סיכון GCP (EN)'!$E:$E,K1),
            IF(
                AND($D$2=$O$3, $B$2=$N$3),
               COUNTIFS('בקרות להפחתת סיכון GCP (HEB)'!$A:$A,"YES",'בקרות להפחתת סיכון GCP (HEB)'!$E:$E,K1) &amp; "/" &amp; COUNTIF('בקרות להפחתת סיכון GCP (HEB)'!$E:$E,K1)
            )
        )
    )
)</f>
        <v>7/7</v>
      </c>
      <c r="N2" s="206" t="s">
        <v>167</v>
      </c>
      <c r="O2" s="208" t="s">
        <v>984</v>
      </c>
      <c r="Q2" t="s">
        <v>942</v>
      </c>
      <c r="S2" s="224">
        <f>IF(
    AND($D$2=$O$2, $B$2=$N$2),
    COUNTIFS('בקרות להפחתת סיכון AWS (EN)'!AA:AA,"v",'בקרות להפחתת סיכון AWS (EN)'!A:A,"Yes"),
    IF(
        AND($D$2=$O$3, $B$2=$N$2),
        COUNTIFS('בקרות להפחתת סיכון AWS (HEB)'!AA:AA,"v",'בקרות להפחתת סיכון AWS (HEB)'!A:A,"Yes"),
        IF(
            AND($D$2=$O$2, $B$2=$N$3),
            COUNTIFS('בקרות להפחתת סיכון GCP (EN)'!AA:AA,"v",'בקרות להפחתת סיכון GCP (EN)'!A:A,"Yes"),
            IF(
                AND($D$2=$O$3, $B$2=$N$3),
                COUNTIFS('בקרות להפחתת סיכון GCP (HEB)'!AA:AA,"v",'בקרות להפחתת סיכון GCP (HEB)'!A:A,"Yes")
            )
        )
    )
)</f>
        <v>105</v>
      </c>
      <c r="T2" s="185">
        <f>IF(
    AND($D$2=$O$2, $B$2=$N$2),
   COUNTIFS('בקרות להפחתת סיכון AWS (EN)'!AA:AA,"v",'בקרות להפחתת סיכון AWS (EN)'!U:U,"v",'בקרות להפחתת סיכון AWS (EN)'!A:A,"Yes"),
    IF(
        AND($D$2=$O$3, $B$2=$N$2),
        COUNTIFS('בקרות להפחתת סיכון AWS (HEB)'!AA:AA,"v",'בקרות להפחתת סיכון AWS (HEB)'!U:U,"v",'בקרות להפחתת סיכון AWS (HEB)'!A:A,"Yes"),
        IF(
            AND($D$2=$O$2, $B$2=$N$3),
           COUNTIFS('בקרות להפחתת סיכון GCP (EN)'!AA:AA,"v",'בקרות להפחתת סיכון GCP (EN)'!U:U,"v",'בקרות להפחתת סיכון GCP (EN)'!A:A,"Yes"),
            IF(
                AND($D$2=$O$3, $B$2=$N$3),
                COUNTIFS('בקרות להפחתת סיכון GCP (HEB)'!AA:AA,"v",'בקרות להפחתת סיכון GCP (HEB)'!U:U,"v",'בקרות להפחתת סיכון GCP (HEB)'!A:A,"Yes")
            )
        )
    )
)</f>
        <v>25</v>
      </c>
      <c r="U2" s="188">
        <f>IF(
    AND($D$2=$O$2, $B$2=$N$2),
  COUNTIFS('בקרות להפחתת סיכון AWS (EN)'!W:W,"ארגוני",'בקרות להפחתת סיכון AWS (EN)'!A:A,"Yes"),
    IF(
        AND($D$2=$O$3, $B$2=$N$2),
        COUNTIFS('בקרות להפחתת סיכון AWS (HEB)'!W:W,"ארגוני",'בקרות להפחתת סיכון AWS (HEB)'!A:A,"Yes"),
        IF(
            AND($D$2=$O$2, $B$2=$N$3),
        COUNTIFS('בקרות להפחתת סיכון GCP (EN)'!W:W,"ארגוני",'בקרות להפחתת סיכון GCP (EN)'!A:A,"Yes"),
            IF(
                AND($D$2=$O$3, $B$2=$N$3),
                COUNTIFS('בקרות להפחתת סיכון GCP (HEB)'!W:W,"ארגוני",'בקרות להפחתת סיכון GCP (HEB)'!A:A,"Yes")
            )
        )
    )
)</f>
        <v>124</v>
      </c>
      <c r="V2" t="s">
        <v>966</v>
      </c>
    </row>
    <row r="3" spans="1:22">
      <c r="A3" s="143" t="s">
        <v>159</v>
      </c>
      <c r="G3" s="150">
        <f>IF(
    AND($D$2=$O$2, $B$2=$N$2),
    COUNTIFS('בקרות להפחתת סיכון AWS (EN)'!$A:$A, "Yes", 'בקרות להפחתת סיכון AWS (EN)'!$E:$E, G1),
    IF(
        AND($D$2=$O$3, $B$2=$N$2),
        COUNTIFS('בקרות להפחתת סיכון AWS (HEB)'!$A:$A, "Yes", 'בקרות להפחתת סיכון AWS (HEB)'!$E:$E, G1),
        IF(
            AND($D$2=$O$2, $B$2=$N$3),
            COUNTIFS('בקרות להפחתת סיכון GCP (EN)'!$A:$A, "Yes", 'בקרות להפחתת סיכון GCP (EN)'!$E:$E, G1),
            IF(
                AND($D$2=$O$3, $B$2=$N$3),
                COUNTIFS('בקרות להפחתת סיכון GCP (HEB)'!$A:$A, "Yes", 'בקרות להפחתת סיכון GCP (HEB)'!$E:$E, G1)
            )
        )
    )
)</f>
        <v>20</v>
      </c>
      <c r="H3" s="150">
        <f>IF(
    AND($D$2=$O$2, $B$2=$N$2),
    COUNTIFS('בקרות להפחתת סיכון AWS (EN)'!$A:$A, "Yes", 'בקרות להפחתת סיכון AWS (EN)'!$E:$E, H1),
    IF(
        AND($D$2=$O$3, $B$2=$N$2),
        COUNTIFS('בקרות להפחתת סיכון AWS (HEB)'!$A:$A, "Yes", 'בקרות להפחתת סיכון AWS (HEB)'!$E:$E, H1),
        IF(
            AND($D$2=$O$2, $B$2=$N$3),
            COUNTIFS('בקרות להפחתת סיכון GCP (EN)'!$A:$A, "Yes", 'בקרות להפחתת סיכון GCP (EN)'!$E:$E, H1),
            IF(
                AND($D$2=$O$3, $B$2=$N$3),
                COUNTIFS('בקרות להפחתת סיכון GCP (HEB)'!$A:$A, "Yes", 'בקרות להפחתת סיכון GCP (HEB)'!$E:$E, H1)
            )
        )
    )
)</f>
        <v>47</v>
      </c>
      <c r="I3" s="150">
        <f>IF(
    AND($D$2=$O$2, $B$2=$N$2),
    COUNTIFS('בקרות להפחתת סיכון AWS (EN)'!$A:$A, "Yes", 'בקרות להפחתת סיכון AWS (EN)'!$E:$E, I1),
    IF(
        AND($D$2=$O$3, $B$2=$N$2),
        COUNTIFS('בקרות להפחתת סיכון AWS (HEB)'!$A:$A, "Yes", 'בקרות להפחתת סיכון AWS (HEB)'!$E:$E, I1),
        IF(
            AND($D$2=$O$2, $B$2=$N$3),
            COUNTIFS('בקרות להפחתת סיכון GCP (EN)'!$A:$A, "Yes", 'בקרות להפחתת סיכון GCP (EN)'!$E:$E, I1),
            IF(
                AND($D$2=$O$3, $B$2=$N$3),
                COUNTIFS('בקרות להפחתת סיכון GCP (HEB)'!$A:$A, "Yes", 'בקרות להפחתת סיכון GCP (HEB)'!$E:$E, I1)
            )
        )
    )
)</f>
        <v>132</v>
      </c>
      <c r="J3" s="150">
        <f>IF(
    AND($D$2=$O$2, $B$2=$N$2),
    COUNTIFS('בקרות להפחתת סיכון AWS (EN)'!$A:$A, "Yes", 'בקרות להפחתת סיכון AWS (EN)'!$E:$E, J1),
    IF(
        AND($D$2=$O$3, $B$2=$N$2),
        COUNTIFS('בקרות להפחתת סיכון AWS (HEB)'!$A:$A, "Yes", 'בקרות להפחתת סיכון AWS (HEB)'!$E:$E, J1),
        IF(
            AND($D$2=$O$2, $B$2=$N$3),
            COUNTIFS('בקרות להפחתת סיכון GCP (EN)'!$A:$A, "Yes", 'בקרות להפחתת סיכון GCP (EN)'!$E:$E, J1),
            IF(
                AND($D$2=$O$3, $B$2=$N$3),
                COUNTIFS('בקרות להפחתת סיכון GCP (HEB)'!$A:$A, "Yes", 'בקרות להפחתת סיכון GCP (HEB)'!$E:$E, J1)
            )
        )
    )
)</f>
        <v>12</v>
      </c>
      <c r="K3" s="150">
        <f>IF(
    AND($D$2=$O$2, $B$2=$N$2),
    COUNTIFS('בקרות להפחתת סיכון AWS (EN)'!$A:$A, "Yes", 'בקרות להפחתת סיכון AWS (EN)'!$E:$E, K1),
    IF(
        AND($D$2=$O$3, $B$2=$N$2),
        COUNTIFS('בקרות להפחתת סיכון AWS (HEB)'!$A:$A, "Yes", 'בקרות להפחתת סיכון AWS (HEB)'!$E:$E, K1),
        IF(
            AND($D$2=$O$2, $B$2=$N$3),
            COUNTIFS('בקרות להפחתת סיכון GCP (EN)'!$A:$A, "Yes", 'בקרות להפחתת סיכון GCP (EN)'!$E:$E, K1),
            IF(
                AND($D$2=$O$3, $B$2=$N$3),
                COUNTIFS('בקרות להפחתת סיכון GCP (HEB)'!$A:$A, "Yes", 'בקרות להפחתת סיכון GCP (HEB)'!$E:$E, K1)
            )
        )
    )
)</f>
        <v>7</v>
      </c>
      <c r="L3" t="s">
        <v>933</v>
      </c>
      <c r="N3" s="206" t="s">
        <v>168</v>
      </c>
      <c r="O3" s="143" t="s">
        <v>985</v>
      </c>
      <c r="S3" s="183">
        <f>E2</f>
        <v>218</v>
      </c>
      <c r="T3" s="185">
        <f>E2</f>
        <v>218</v>
      </c>
      <c r="U3" s="188" t="e">
        <f>IF(
    AND($D$2=$O$2, $B$2=$N$2),
  COUNTIFS(#REF!,"מערכת",#REF!,"Yes"),
    IF(
        AND($D$2=$O$3, $B$2=$N$2),
        COUNTIFS(#REF!,"מערכת",#REF!,"Yes"),
        IF(
            AND($D$2=$O$2, $B$2=$N$3),
        COUNTIFS(#REF!,"מערכת",#REF!,"Yes"),
            IF(
                AND($D$2=$O$3, $B$2=$N$3),
                COUNTIFS(#REF!,"מערכת",#REF!,"Yes")
            )
        )
    )
)</f>
        <v>#REF!</v>
      </c>
      <c r="V3" t="s">
        <v>967</v>
      </c>
    </row>
    <row r="4" spans="1:22" ht="15" thickBot="1">
      <c r="A4" s="143" t="s">
        <v>160</v>
      </c>
      <c r="G4" s="150">
        <f>IF(
    AND($D$2=$O$2, $B$2=$N$2),
    COUNTIF('בקרות להפחתת סיכון AWS (EN)'!$E:$E,G1),
    IF(
        AND($D$2=$O$3, $B$2=$N$2),
        COUNTIF('בקרות להפחתת סיכון AWS (HEB)'!$E:$E, G1),
        IF(
            AND($D$2=$O$2, $B$2=$N$3),
            COUNTIF('בקרות להפחתת סיכון GCP (EN)'!$E:$E, G1),
            IF(
                AND($D$2=$O$3, $B$2=$N$3),
                COUNTIF('בקרות להפחתת סיכון GCP (HEB)'!$E:$E, G1)
            )
        )
    )
)</f>
        <v>21</v>
      </c>
      <c r="H4" s="150">
        <f>IF(
    AND($D$2=$O$2, $B$2=$N$2),
    COUNTIF('בקרות להפחתת סיכון AWS (EN)'!$E:$E,H1),
    IF(
        AND($D$2=$O$3, $B$2=$N$2),
        COUNTIF('בקרות להפחתת סיכון AWS (HEB)'!$E:$E, H1),
        IF(
            AND($D$2=$O$2, $B$2=$N$3),
            COUNTIF('בקרות להפחתת סיכון GCP (EN)'!$E:$E, H1),
            IF(
                AND($D$2=$O$3, $B$2=$N$3),
                COUNTIF('בקרות להפחתת סיכון GCP (HEB)'!$E:$E, H1)
            )
        )
    )
)</f>
        <v>49</v>
      </c>
      <c r="I4" s="150">
        <f>IF(
    AND($D$2=$O$2, $B$2=$N$2),
    COUNTIF('בקרות להפחתת סיכון AWS (EN)'!$E:$E,I1),
    IF(
        AND($D$2=$O$3, $B$2=$N$2),
        COUNTIF('בקרות להפחתת סיכון AWS (HEB)'!$E:$E, I1),
        IF(
            AND($D$2=$O$2, $B$2=$N$3),
            COUNTIF('בקרות להפחתת סיכון GCP (EN)'!$E:$E, I1),
            IF(
                AND($D$2=$O$3, $B$2=$N$3),
                COUNTIF('בקרות להפחתת סיכון GCP (HEB)'!$E:$E, I1)
            )
        )
    )
)</f>
        <v>139</v>
      </c>
      <c r="J4" s="150">
        <f>IF(
    AND($D$2=$O$2, $B$2=$N$2),
    COUNTIF('בקרות להפחתת סיכון AWS (EN)'!$E:$E,J1),
    IF(
        AND($D$2=$O$3, $B$2=$N$2),
        COUNTIF('בקרות להפחתת סיכון AWS (HEB)'!$E:$E, J1),
        IF(
            AND($D$2=$O$2, $B$2=$N$3),
            COUNTIF('בקרות להפחתת סיכון GCP (EN)'!$E:$E, J1),
            IF(
                AND($D$2=$O$3, $B$2=$N$3),
                COUNTIF('בקרות להפחתת סיכון GCP (HEB)'!$E:$E, J1)
            )
        )
    )
)</f>
        <v>12</v>
      </c>
      <c r="K4" s="150">
        <f>IF(
    AND($D$2=$O$2, $B$2=$N$2),
    COUNTIF('בקרות להפחתת סיכון AWS (EN)'!$E:$E,K1),
    IF(
        AND($D$2=$O$3, $B$2=$N$2),
        COUNTIF('בקרות להפחתת סיכון AWS (HEB)'!$E:$E, K1),
        IF(
            AND($D$2=$O$2, $B$2=$N$3),
            COUNTIF('בקרות להפחתת סיכון GCP (EN)'!$E:$E, K1),
            IF(
                AND($D$2=$O$3, $B$2=$N$3),
                COUNTIF('בקרות להפחתת סיכון GCP (HEB)'!$E:$E, K1)
            )
        )
    )
)</f>
        <v>7</v>
      </c>
      <c r="L4" t="s">
        <v>934</v>
      </c>
      <c r="N4" s="207" t="s">
        <v>1582</v>
      </c>
      <c r="O4" s="143" t="s">
        <v>986</v>
      </c>
      <c r="S4" s="183">
        <f>S3-S2</f>
        <v>113</v>
      </c>
      <c r="T4" s="185">
        <f>T3-T2</f>
        <v>193</v>
      </c>
      <c r="U4" s="188">
        <f>E2</f>
        <v>218</v>
      </c>
    </row>
    <row r="5" spans="1:22" ht="15" thickBot="1">
      <c r="A5" s="144" t="s">
        <v>161</v>
      </c>
      <c r="G5" s="153">
        <f>G4-G3</f>
        <v>1</v>
      </c>
      <c r="H5" s="153">
        <f t="shared" ref="H5:K5" si="0">H4-H3</f>
        <v>2</v>
      </c>
      <c r="I5" s="153">
        <f t="shared" si="0"/>
        <v>7</v>
      </c>
      <c r="J5" s="153">
        <f t="shared" si="0"/>
        <v>0</v>
      </c>
      <c r="K5" s="153">
        <f t="shared" si="0"/>
        <v>0</v>
      </c>
      <c r="L5" t="s">
        <v>935</v>
      </c>
      <c r="O5" s="144" t="s">
        <v>987</v>
      </c>
      <c r="S5" s="184">
        <f>S2/S3</f>
        <v>0.48165137614678899</v>
      </c>
      <c r="T5" s="186">
        <f>T2/T3</f>
        <v>0.11467889908256881</v>
      </c>
      <c r="U5" s="189">
        <f>U2/U4</f>
        <v>0.56880733944954132</v>
      </c>
    </row>
    <row r="6" spans="1:22">
      <c r="G6" s="151">
        <f>G3/G4</f>
        <v>0.95238095238095233</v>
      </c>
      <c r="H6" s="151">
        <f>H3/H4</f>
        <v>0.95918367346938771</v>
      </c>
      <c r="I6" s="151">
        <f>I3/I4</f>
        <v>0.94964028776978415</v>
      </c>
      <c r="J6" s="151">
        <f>J3/J4</f>
        <v>1</v>
      </c>
      <c r="K6" s="151">
        <f>K3/K4</f>
        <v>1</v>
      </c>
      <c r="S6" s="184">
        <f>S4/S3</f>
        <v>0.51834862385321101</v>
      </c>
      <c r="T6" s="186">
        <f>T4/T3</f>
        <v>0.88532110091743121</v>
      </c>
      <c r="U6" s="190" t="e">
        <f>U3/U4</f>
        <v>#REF!</v>
      </c>
    </row>
    <row r="7" spans="1:22">
      <c r="G7" s="152">
        <f>G5/G4</f>
        <v>4.7619047619047616E-2</v>
      </c>
      <c r="H7" s="152">
        <f>H5/H4</f>
        <v>4.0816326530612242E-2</v>
      </c>
      <c r="I7" s="152">
        <f>I5/I4</f>
        <v>5.0359712230215826E-2</v>
      </c>
      <c r="J7" s="152">
        <f>J5/J4</f>
        <v>0</v>
      </c>
      <c r="K7" s="152">
        <f>K5/K4</f>
        <v>0</v>
      </c>
      <c r="S7" t="str">
        <f>S2 &amp; "/" &amp;S3</f>
        <v>105/218</v>
      </c>
      <c r="T7" s="72" t="str">
        <f t="shared" ref="T7" si="1">T2 &amp; "/" &amp;T3</f>
        <v>25/218</v>
      </c>
      <c r="U7" s="72" t="str">
        <f>U2 &amp; "/" &amp;U4</f>
        <v>124/218</v>
      </c>
    </row>
    <row r="16" spans="1:22" ht="42.75">
      <c r="S16" s="269" t="s">
        <v>1519</v>
      </c>
      <c r="T16" s="269" t="s">
        <v>1520</v>
      </c>
      <c r="U16" s="269" t="s">
        <v>1521</v>
      </c>
    </row>
    <row r="17" spans="1:22">
      <c r="R17" t="s">
        <v>1522</v>
      </c>
      <c r="S17">
        <f>IF(
    AND($D$2=$O$2, $B$2=$N$2),
    COUNTIFS('בקרות להפחתת סיכון AWS (EN)'!$A:$A, "Yes", 'בקרות להפחתת סיכון AWS (EN)'!$X:$X, "x"),
    IF(
        AND($D$2=$O$3, $B$2=$N$2),
        COUNTIFS('בקרות להפחתת סיכון AWS (HEB)'!$A:$A, "Yes", 'בקרות להפחתת סיכון AWS (HEB)'!$X:$X, "x"),
        IF(
            AND($D$2=$O$2, $B$2=$N$3),
            COUNTIFS('בקרות להפחתת סיכון GCP (EN)'!$A:$A, "Yes", 'בקרות להפחתת סיכון GCP (EN)'!$X:$X, "x"),
            IF(
                AND($D$2=$O$3, $B$2=$N$3),
                COUNTIFS('בקרות להפחתת סיכון GCP (HEB)'!$A:$A, "Yes", 'בקרות להפחתת סיכון GCP (HEB)'!$X:$X, "x")
            )
        )
    )
)</f>
        <v>213</v>
      </c>
      <c r="T17">
        <f>IF(
    AND($D$2=$O$2, $B$2=$N$2),
    COUNTIFS('בקרות להפחתת סיכון AWS (EN)'!$A:$A, "Yes", 'בקרות להפחתת סיכון AWS (EN)'!$Y:$Y, "x"),
    IF(
        AND($D$2=$O$3, $B$2=$N$2),
        COUNTIFS('בקרות להפחתת סיכון AWS (HEB)'!$A:$A, "Yes", 'בקרות להפחתת סיכון AWS (HEB)'!$Y:$Y, "x"),
        IF(
            AND($D$2=$O$2, $B$2=$N$3),
            COUNTIFS('בקרות להפחתת סיכון GCP (EN)'!$A:$A, "Yes", 'בקרות להפחתת סיכון GCP (EN)'!$Y:$Y, "x"),
            IF(
                AND($D$2=$O$3, $B$2=$N$3),
                COUNTIFS('בקרות להפחתת סיכון GCP (HEB)'!$A:$A, "Yes", 'בקרות להפחתת סיכון GCP (HEB)'!$Y:$Y, "x")
            )
        )
    )
)</f>
        <v>147</v>
      </c>
      <c r="U17">
        <f>IF(
    AND($D$2=$O$2, $B$2=$N$2),
    COUNTIFS('בקרות להפחתת סיכון AWS (EN)'!$A:$A, "Yes", 'בקרות להפחתת סיכון AWS (EN)'!$Z:$Z, "x"),
    IF(
        AND($D$2=$O$3, $B$2=$N$2),
        COUNTIFS('בקרות להפחתת סיכון AWS (HEB)'!$A:$A, "Yes", 'בקרות להפחתת סיכון AWS (HEB)'!$Z:$Z, "x"),
        IF(
            AND($D$2=$O$2, $B$2=$N$3),
            COUNTIFS('בקרות להפחתת סיכון GCP (EN)'!$A:$A, "Yes", 'בקרות להפחתת סיכון GCP (EN)'!$Z:$Z, "x"),
            IF(
                AND($D$2=$O$3, $B$2=$N$3),
                COUNTIFS('בקרות להפחתת סיכון GCP (HEB)'!$A:$A, "Yes", 'בקרות להפחתת סיכון GCP (HEB)'!$Z:$Z, "x")
            )
        )
    )
)</f>
        <v>128</v>
      </c>
    </row>
    <row r="18" spans="1:22">
      <c r="R18" t="s">
        <v>1523</v>
      </c>
      <c r="S18">
        <f>IF(
    $C$2 = $A$2,
    IF(
        AND($D$2 = $O$2, $B$2 = $N$2),
        COUNTIFS('בקרות להפחתת סיכון AWS (EN)'!X:X, "x"),
        IF(
            AND($D$2 = $O$3, $B$2 = $N$2),
            COUNTIFS('בקרות להפחתת סיכון AWS (HEB)'!X:X, "x"),
            IF(
                AND($D$2 = $O$2, $B$2 = $N$3),
                COUNTIFS('בקרות להפחתת סיכון GCP (EN)'!X:X, "x"),
                IF(
                    AND($D$2 = $O$3, $B$2 = $N$3),
                    COUNTIFS('בקרות להפחתת סיכון GCP (HEB)'!X:X, "x"),
                    "nnn"
                )
            )
        )
    ),
    IF(
        $C$2 = $A$3,
        IF(
            AND($D$2 = $O$2, $B$2 = $N$2),
            COUNTIFS('בקרות להפחתת סיכון AWS (EN)'!X:X, "x", 'בקרות להפחתת סיכון AWS (EN)'!$K:$K, "x"),
            IF(
                AND($D$2 = $O$3, $B$2 = $N$2),
                COUNTIFS('בקרות להפחתת סיכון AWS (HEB)'!X:X, "x", 'בקרות להפחתת סיכון AWS (HEB)'!$K:$K, "x"),
                IF(
                    AND($D$2 = $O$2, $B$2 = $N$3),
                    COUNTIFS('בקרות להפחתת סיכון GCP (EN)'!X:X, "x", 'בקרות להפחתת סיכון GCP (EN)'!$K:$K, "x"),
                    IF(
                        AND($D$2 = $O$3, $B$2 = $N$3),
                        COUNTIFS('בקרות להפחתת סיכון GCP (HEB)'!X:X, "x", 'בקרות להפחתת סיכון GCP (HEB)'!$K:$K, "x"),
                        "nnn"
                    )
                )
            )
        ),
        IF(
            $C$2 = $A$4,
            IF(
                AND($D$2 = $O$2, $B$2 = $N$2),
                COUNTIFS('בקרות להפחתת סיכון AWS (EN)'!X:X, "x", 'בקרות להפחתת סיכון AWS (EN)'!$L:$L, "x"),
                IF(
                    AND($D$2 = $O$3, $B$2 = $N$2),
                    COUNTIFS('בקרות להפחתת סיכון AWS (HEB)'!X:X, "x", 'בקרות להפחתת סיכון AWS (HEB)'!$L:$L, "x"),
                    IF(
                        AND($D$2 = $O$2, $B$2 = $N$3),
                        COUNTIFS('בקרות להפחתת סיכון GCP (EN)'!X:X, "x", 'בקרות להפחתת סיכון GCP (EN)'!$L:$L, "x"),
                        IF(
                            AND($D$2 = $O$3, $B$2 = $N$3),
                            COUNTIFS('בקרות להפחתת סיכון GCP (HEB)'!X:X, "x", 'בקרות להפחתת סיכון GCP (HEB)'!$L:$L, "x"),
                            "nnn"
                        )
                    )
                )
            ),
            IF(
                $C$2 = $A$5,
                IF(
                    AND($D$2 = $O$2, $B$2 = $N$2),
                        COUNTIFS('בקרות להפחתת סיכון AWS (EN)'!X:X, "x", 'בקרות להפחתת סיכון AWS (EN)'!$M:$M, "x"),
                        IF(
                            AND($D$2 = $O$3, $B$2 = $N$2),
                            COUNTIFS('בקרות להפחתת סיכון AWS (HEB)'!X:X, "x", 'בקרות להפחתת סיכון AWS (HEB)'!$M:$M, "x"),
                            IF(
                                AND($D$2 = $O$2, $B$2 = $N$3),
                                COUNTIFS('בקרות להפחתת סיכון GCP (EN)'!X:X, "x", 'בקרות להפחתת סיכון GCP (EN)'!$M:$M, "x"),
                                IF(
                                    AND($D$2 = $O$3, $B$2 = $N$3),
                                    COUNTIFS('בקרות להפחתת סיכון GCP (HEB)'!X:X, "x", 'בקרות להפחתת סיכון GCP (HEB)'!$M:$M, "x"),
                                    "nnn"
                                )
                            )
                        )
                    ),
                    "nnn"
                )
            )
        )
    )</f>
        <v>221</v>
      </c>
      <c r="T18">
        <f>IF(
    $C$2 = $A$2,
    IF(
        AND($D$2 = $O$2, $B$2 = $N$2),
        COUNTIFS('בקרות להפחתת סיכון AWS (EN)'!Y:Y, "x"),
        IF(
            AND($D$2 = $O$3, $B$2 = $N$2),
            COUNTIFS('בקרות להפחתת סיכון AWS (HEB)'!Y:Y, "x"),
            IF(
                AND($D$2 = $O$2, $B$2 = $N$3),
                COUNTIFS('בקרות להפחתת סיכון GCP (EN)'!Y:Y, "x"),
                IF(
                    AND($D$2 = $O$3, $B$2 = $N$3),
                    COUNTIFS('בקרות להפחתת סיכון GCP (HEB)'!Y:Y, "x"),
                    "nnn"
                )
            )
        )
    ),
    IF(
        $C$2 = $A$3,
        IF(
            AND($D$2 = $O$2, $B$2 = $N$2),
            COUNTIFS('בקרות להפחתת סיכון AWS (EN)'!Y:Y, "x", 'בקרות להפחתת סיכון AWS (EN)'!$K:$K, "x"),
            IF(
                AND($D$2 = $O$3, $B$2 = $N$2),
                COUNTIFS('בקרות להפחתת סיכון AWS (HEB)'!Y:Y, "x", 'בקרות להפחתת סיכון AWS (HEB)'!$K:$K, "x"),
                IF(
                    AND($D$2 = $O$2, $B$2 = $N$3),
                    COUNTIFS('בקרות להפחתת סיכון GCP (EN)'!Y:Y, "x", 'בקרות להפחתת סיכון GCP (EN)'!$K:$K, "x"),
                    IF(
                        AND($D$2 = $O$3, $B$2 = $N$3),
                        COUNTIFS('בקרות להפחתת סיכון GCP (HEB)'!Y:Y, "x", 'בקרות להפחתת סיכון GCP (HEB)'!$K:$K, "x"),
                        "nnn"
                    )
                )
            )
        ),
        IF(
            $C$2 = $A$4,
            IF(
                AND($D$2 = $O$2, $B$2 = $N$2),
                COUNTIFS('בקרות להפחתת סיכון AWS (EN)'!Y:Y, "x", 'בקרות להפחתת סיכון AWS (EN)'!$L:$L, "x"),
                IF(
                    AND($D$2 = $O$3, $B$2 = $N$2),
                    COUNTIFS('בקרות להפחתת סיכון AWS (HEB)'!Y:Y, "x", 'בקרות להפחתת סיכון AWS (HEB)'!$L:$L, "x"),
                    IF(
                        AND($D$2 = $O$2, $B$2 = $N$3),
                        COUNTIFS('בקרות להפחתת סיכון GCP (EN)'!Y:Y, "x", 'בקרות להפחתת סיכון GCP (EN)'!$L:$L, "x"),
                        IF(
                            AND($D$2 = $O$3, $B$2 = $N$3),
                            COUNTIFS('בקרות להפחתת סיכון GCP (HEB)'!Y:Y, "x", 'בקרות להפחתת סיכון GCP (HEB)'!$L:$L, "x"),
                            "nnn"
                        )
                    )
                )
            ),
            IF(
                $C$2 = $A$5,
                IF(
                    AND($D$2 = $O$2, $B$2 = $N$2),
                        COUNTIFS('בקרות להפחתת סיכון AWS (EN)'!Y:Y, "x", 'בקרות להפחתת סיכון AWS (EN)'!$M:$M, "x"),
                        IF(
                            AND($D$2 = $O$3, $B$2 = $N$2),
                            COUNTIFS('בקרות להפחתת סיכון AWS (HEB)'!Y:Y, "x", 'בקרות להפחתת סיכון AWS (HEB)'!$M:$M, "x"),
                            IF(
                                AND($D$2 = $O$2, $B$2 = $N$3),
                                COUNTIFS('בקרות להפחתת סיכון GCP (EN)'!Y:Y, "x", 'בקרות להפחתת סיכון GCP (EN)'!$M:$M, "x"),
                                IF(
                                    AND($D$2 = $O$3, $B$2 = $N$3),
                                    COUNTIFS('בקרות להפחתת סיכון GCP (HEB)'!Y:Y, "x", 'בקרות להפחתת סיכון GCP (HEB)'!$M:$M, "x"),
                                    "nnn"
                                )
                            )
                        )
                    ),
                    "nnn"
                )
            )
        )
    )</f>
        <v>155</v>
      </c>
      <c r="U18">
        <f>IF(
    $C$2 = $A$2,
    IF(
        AND($D$2 = $O$2, $B$2 = $N$2),
        COUNTIFS('בקרות להפחתת סיכון AWS (EN)'!Z:Z, "x"),
        IF(
            AND($D$2 = $O$3, $B$2 = $N$2),
            COUNTIFS('בקרות להפחתת סיכון AWS (HEB)'!Z:Z, "x"),
            IF(
                AND($D$2 = $O$2, $B$2 = $N$3),
                COUNTIFS('בקרות להפחתת סיכון GCP (EN)'!Z:Z, "x"),
                IF(
                    AND($D$2 = $O$3, $B$2 = $N$3),
                    COUNTIFS('בקרות להפחתת סיכון GCP (HEB)'!Z:Z, "x"),
                    "nnn"
                )
            )
        )
    ),
    IF(
        $C$2 = $A$3,
        IF(
            AND($D$2 = $O$2, $B$2 = $N$2),
            COUNTIFS('בקרות להפחתת סיכון AWS (EN)'!Z:Z, "x", 'בקרות להפחתת סיכון AWS (EN)'!$K:$K, "x"),
            IF(
                AND($D$2 = $O$3, $B$2 = $N$2),
                COUNTIFS('בקרות להפחתת סיכון AWS (HEB)'!Z:Z, "x", 'בקרות להפחתת סיכון AWS (HEB)'!$K:$K, "x"),
                IF(
                    AND($D$2 = $O$2, $B$2 = $N$3),
                    COUNTIFS('בקרות להפחתת סיכון GCP (EN)'!Z:Z, "x", 'בקרות להפחתת סיכון GCP (EN)'!$K:$K, "x"),
                    IF(
                        AND($D$2 = $O$3, $B$2 = $N$3),
                        COUNTIFS('בקרות להפחתת סיכון GCP (HEB)'!Z:Z, "x", 'בקרות להפחתת סיכון GCP (HEB)'!$K:$K, "x"),
                        "nnn"
                    )
                )
            )
        ),
        IF(
            $C$2 = $A$4,
            IF(
                AND($D$2 = $O$2, $B$2 = $N$2),
                COUNTIFS('בקרות להפחתת סיכון AWS (EN)'!Z:Z, "x", 'בקרות להפחתת סיכון AWS (EN)'!$L:$L, "x"),
                IF(
                    AND($D$2 = $O$3, $B$2 = $N$2),
                    COUNTIFS('בקרות להפחתת סיכון AWS (HEB)'!Z:Z, "x", 'בקרות להפחתת סיכון AWS (HEB)'!$L:$L, "x"),
                    IF(
                        AND($D$2 = $O$2, $B$2 = $N$3),
                        COUNTIFS('בקרות להפחתת סיכון GCP (EN)'!Z:Z, "x", 'בקרות להפחתת סיכון GCP (EN)'!$L:$L, "x"),
                        IF(
                            AND($D$2 = $O$3, $B$2 = $N$3),
                            COUNTIFS('בקרות להפחתת סיכון GCP (HEB)'!Z:Z, "x", 'בקרות להפחתת סיכון GCP (HEB)'!$L:$L, "x"),
                            "nnn"
                        )
                    )
                )
            ),
            IF(
                $C$2 = $A$5,
                IF(
                    AND($D$2 = $O$2, $B$2 = $N$2),
                        COUNTIFS('בקרות להפחתת סיכון AWS (EN)'!Z:Z, "x", 'בקרות להפחתת סיכון AWS (EN)'!$M:$M, "x"),
                        IF(
                            AND($D$2 = $O$3, $B$2 = $N$2),
                            COUNTIFS('בקרות להפחתת סיכון AWS (HEB)'!Z:Z, "x", 'בקרות להפחתת סיכון AWS (HEB)'!$M:$M, "x"),
                            IF(
                                AND($D$2 = $O$2, $B$2 = $N$3),
                                COUNTIFS('בקרות להפחתת סיכון GCP (EN)'!Z:Z, "x", 'בקרות להפחתת סיכון GCP (EN)'!$M:$M, "x"),
                                IF(
                                    AND($D$2 = $O$3, $B$2 = $N$3),
                                    COUNTIFS('בקרות להפחתת סיכון GCP (HEB)'!Z:Z, "x", 'בקרות להפחתת סיכון GCP (HEB)'!$M:$M, "x"),
                                    "nnn"
                                )
                            )
                        )
                    ),
                    "nnn"
                )
            )
        )
    )</f>
        <v>128</v>
      </c>
    </row>
    <row r="19" spans="1:22">
      <c r="R19" t="s">
        <v>1524</v>
      </c>
      <c r="S19">
        <f>S18-S17</f>
        <v>8</v>
      </c>
      <c r="T19">
        <f t="shared" ref="T19:U19" si="2">T18-T17</f>
        <v>8</v>
      </c>
      <c r="U19">
        <f t="shared" si="2"/>
        <v>0</v>
      </c>
    </row>
    <row r="20" spans="1:22">
      <c r="S20" s="270">
        <f>S17/S18</f>
        <v>0.96380090497737558</v>
      </c>
      <c r="T20" s="270">
        <f t="shared" ref="T20:U20" si="3">T17/T18</f>
        <v>0.94838709677419353</v>
      </c>
      <c r="U20" s="270">
        <f t="shared" si="3"/>
        <v>1</v>
      </c>
    </row>
    <row r="22" spans="1:22" ht="26.25">
      <c r="A22" s="262" t="s">
        <v>1513</v>
      </c>
      <c r="S22">
        <v>54</v>
      </c>
      <c r="T22">
        <v>46</v>
      </c>
      <c r="U22">
        <v>51</v>
      </c>
      <c r="V22" t="s">
        <v>1525</v>
      </c>
    </row>
    <row r="23" spans="1:22" ht="26.25">
      <c r="A23" s="262" t="s">
        <v>1514</v>
      </c>
    </row>
    <row r="24" spans="1:22" ht="26.25">
      <c r="A24" s="262" t="s">
        <v>24</v>
      </c>
    </row>
  </sheetData>
  <conditionalFormatting sqref="G1:I1">
    <cfRule type="containsText" dxfId="429" priority="11" operator="containsText" text="Protect">
      <formula>NOT(ISERROR(SEARCH("Protect",G1)))</formula>
    </cfRule>
    <cfRule type="containsText" dxfId="428" priority="12" operator="containsText" text="Respond">
      <formula>NOT(ISERROR(SEARCH("Respond",G1)))</formula>
    </cfRule>
    <cfRule type="containsText" dxfId="427" priority="13" operator="containsText" text="Detect">
      <formula>NOT(ISERROR(SEARCH("Detect",G1)))</formula>
    </cfRule>
    <cfRule type="containsText" dxfId="426" priority="14" operator="containsText" text="Identify">
      <formula>NOT(ISERROR(SEARCH("Identify",G1)))</formula>
    </cfRule>
    <cfRule type="containsText" dxfId="425" priority="15" operator="containsText" text="Identity">
      <formula>NOT(ISERROR(SEARCH("Identity",G1)))</formula>
    </cfRule>
  </conditionalFormatting>
  <conditionalFormatting sqref="I1:K1">
    <cfRule type="containsText" dxfId="424" priority="1" operator="containsText" text="Protect">
      <formula>NOT(ISERROR(SEARCH("Protect",I1)))</formula>
    </cfRule>
    <cfRule type="containsText" dxfId="423" priority="2" operator="containsText" text="Respond">
      <formula>NOT(ISERROR(SEARCH("Respond",I1)))</formula>
    </cfRule>
    <cfRule type="containsText" dxfId="422" priority="3" operator="containsText" text="Detect">
      <formula>NOT(ISERROR(SEARCH("Detect",I1)))</formula>
    </cfRule>
    <cfRule type="containsText" dxfId="421" priority="4" operator="containsText" text="Identify">
      <formula>NOT(ISERROR(SEARCH("Identify",I1)))</formula>
    </cfRule>
    <cfRule type="containsText" dxfId="420" priority="5" operator="containsText" text="Identity">
      <formula>NOT(ISERROR(SEARCH("Identity",I1)))</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A445F-5879-4890-87E5-B12410A0296C}">
  <sheetPr codeName="Sheet7"/>
  <dimension ref="A1:P27"/>
  <sheetViews>
    <sheetView rightToLeft="1" zoomScaleNormal="100" workbookViewId="0">
      <selection activeCell="E13" sqref="E13"/>
    </sheetView>
  </sheetViews>
  <sheetFormatPr defaultRowHeight="14.25"/>
  <cols>
    <col min="1" max="1" width="24.625" customWidth="1"/>
    <col min="3" max="3" width="10" bestFit="1" customWidth="1"/>
    <col min="4" max="4" width="16.625" customWidth="1"/>
  </cols>
  <sheetData>
    <row r="1" spans="1:16">
      <c r="A1" s="316" t="s">
        <v>1698</v>
      </c>
      <c r="B1" s="316" t="s">
        <v>1690</v>
      </c>
      <c r="C1" s="316" t="s">
        <v>1689</v>
      </c>
      <c r="D1" s="316" t="s">
        <v>1702</v>
      </c>
      <c r="E1" s="316" t="s">
        <v>1703</v>
      </c>
      <c r="H1" t="s">
        <v>1821</v>
      </c>
      <c r="I1" t="s">
        <v>1820</v>
      </c>
      <c r="J1" t="s">
        <v>1817</v>
      </c>
      <c r="K1" t="s">
        <v>1816</v>
      </c>
      <c r="L1" t="s">
        <v>1815</v>
      </c>
      <c r="M1" t="s">
        <v>1814</v>
      </c>
      <c r="N1" t="s">
        <v>1813</v>
      </c>
      <c r="O1" t="s">
        <v>1818</v>
      </c>
      <c r="P1" t="s">
        <v>1698</v>
      </c>
    </row>
    <row r="2" spans="1:16">
      <c r="A2" t="s">
        <v>1699</v>
      </c>
      <c r="B2">
        <f>SUM('כשירות ארגונית (1)'!F5:F21)</f>
        <v>8</v>
      </c>
      <c r="C2">
        <f>SUM('כשירות ארגונית (1)'!G5:G21)</f>
        <v>23</v>
      </c>
      <c r="D2" s="270">
        <f>E13</f>
        <v>0.482051282051282</v>
      </c>
      <c r="E2">
        <v>1</v>
      </c>
      <c r="H2" s="270">
        <v>0.02</v>
      </c>
      <c r="I2" s="270">
        <v>0.05</v>
      </c>
      <c r="J2" s="270">
        <v>0.02</v>
      </c>
      <c r="K2" s="270">
        <v>0.05</v>
      </c>
      <c r="L2" s="270">
        <v>0.15</v>
      </c>
      <c r="M2" s="270">
        <v>0.2</v>
      </c>
      <c r="N2" s="378">
        <f>1-O2</f>
        <v>0.25</v>
      </c>
      <c r="O2" s="378">
        <f>_xlfn.NUMBERVALUE(E5)</f>
        <v>0.75</v>
      </c>
      <c r="P2" t="s">
        <v>1819</v>
      </c>
    </row>
    <row r="3" spans="1:16">
      <c r="A3" t="s">
        <v>1700</v>
      </c>
      <c r="B3">
        <f>SUM('פרופיל מערכת (2)'!F5:F52)</f>
        <v>140</v>
      </c>
      <c r="C3">
        <f>SUM('פרופיל מערכת (2)'!G5:G52)</f>
        <v>241</v>
      </c>
      <c r="D3" s="270">
        <f>E21</f>
        <v>0.69792903590613509</v>
      </c>
      <c r="E3">
        <v>10</v>
      </c>
      <c r="H3" s="270">
        <v>0.02</v>
      </c>
      <c r="I3" s="270">
        <v>0.05</v>
      </c>
      <c r="J3" s="270">
        <v>0.02</v>
      </c>
      <c r="K3" s="270">
        <v>0.05</v>
      </c>
      <c r="L3" s="270">
        <v>0.15</v>
      </c>
      <c r="M3" s="270">
        <v>0.2</v>
      </c>
      <c r="N3" s="378">
        <f>1-O3</f>
        <v>0.517948717948718</v>
      </c>
      <c r="O3" s="378">
        <f>D2</f>
        <v>0.482051282051282</v>
      </c>
      <c r="P3" t="s">
        <v>1699</v>
      </c>
    </row>
    <row r="4" spans="1:16">
      <c r="A4" t="s">
        <v>1701</v>
      </c>
      <c r="B4">
        <f>SUM('שרשרת אספקה (3)'!F5:F37)</f>
        <v>37</v>
      </c>
      <c r="C4">
        <f>SUM('שרשרת אספקה (3)'!G5:G37)</f>
        <v>103</v>
      </c>
      <c r="D4" s="270">
        <f>E27</f>
        <v>0.36519193966002478</v>
      </c>
      <c r="E4">
        <v>1</v>
      </c>
      <c r="H4" s="270">
        <v>0.02</v>
      </c>
      <c r="I4" s="270">
        <v>0.05</v>
      </c>
      <c r="J4" s="270">
        <v>0.02</v>
      </c>
      <c r="K4" s="270">
        <v>0.05</v>
      </c>
      <c r="L4" s="270">
        <v>0.15</v>
      </c>
      <c r="M4" s="270">
        <v>0.2</v>
      </c>
      <c r="N4" s="378">
        <f t="shared" ref="N4:N5" si="0">1-O4</f>
        <v>0.30207096409386491</v>
      </c>
      <c r="O4" s="378">
        <f>D3</f>
        <v>0.69792903590613509</v>
      </c>
      <c r="P4" t="s">
        <v>1700</v>
      </c>
    </row>
    <row r="5" spans="1:16">
      <c r="E5" s="375" t="str">
        <f>IF(ISBLANK('כללי (0)'!C13),"75%",IF(OR('סיווג אופי מידע במערכת (4)'!D6="שמור אדום",'סיווג אופי מידע במערכת (4)'!D6="סודי"),"100%",SUMPRODUCT(D2:D4,E2:E4)/SUM(E2:E4)))</f>
        <v>75%</v>
      </c>
      <c r="F5" s="376" t="s">
        <v>1523</v>
      </c>
      <c r="H5" s="270">
        <v>0.02</v>
      </c>
      <c r="I5" s="270">
        <v>0.05</v>
      </c>
      <c r="J5" s="270">
        <v>0.02</v>
      </c>
      <c r="K5" s="270">
        <v>0.05</v>
      </c>
      <c r="L5" s="270">
        <v>0.15</v>
      </c>
      <c r="M5" s="270">
        <v>0.2</v>
      </c>
      <c r="N5" s="378">
        <f t="shared" si="0"/>
        <v>0.63480806033997528</v>
      </c>
      <c r="O5" s="378">
        <f>D4</f>
        <v>0.36519193966002478</v>
      </c>
      <c r="P5" t="s">
        <v>1701</v>
      </c>
    </row>
    <row r="6" spans="1:16" ht="15" thickBot="1">
      <c r="E6" s="378">
        <v>1</v>
      </c>
    </row>
    <row r="7" spans="1:16" ht="15" thickBot="1">
      <c r="A7" s="361" t="s">
        <v>1699</v>
      </c>
      <c r="B7" s="72" t="s">
        <v>1690</v>
      </c>
      <c r="C7" s="72" t="s">
        <v>1689</v>
      </c>
      <c r="D7" s="72" t="s">
        <v>1702</v>
      </c>
      <c r="E7" s="72" t="s">
        <v>1703</v>
      </c>
      <c r="K7" t="str">
        <f>IF(OR(O2&gt;=70%,O3&gt;=70%,O4&gt;=70%,O5&gt;=70%),"על סמך ניתוח המערכת הנך נדרש לפנות למנחה לבחינת ההיתכנות להעלאת המערכת לענן","על סמך ניתוח המערכת הנך נדרש לעדכן את המחנה בתוצאות הבחינה ולהמשיך בתהליך במודל רגולציה עצמית")</f>
        <v>על סמך ניתוח המערכת הנך נדרש לפנות למנחה לבחינת ההיתכנות להעלאת המערכת לענן</v>
      </c>
    </row>
    <row r="8" spans="1:16">
      <c r="A8" s="362" t="s">
        <v>1573</v>
      </c>
      <c r="B8" s="363">
        <f>SUM('כשירות ארגונית (1)'!F5:F6)</f>
        <v>1</v>
      </c>
      <c r="C8" s="363">
        <f>SUM('כשירות ארגונית (1)'!G5:G6)</f>
        <v>3</v>
      </c>
      <c r="D8" s="369">
        <f>B8/C8</f>
        <v>0.33333333333333331</v>
      </c>
      <c r="E8" s="364">
        <v>1</v>
      </c>
    </row>
    <row r="9" spans="1:16">
      <c r="A9" s="365" t="s">
        <v>1572</v>
      </c>
      <c r="B9" s="331">
        <f>SUM('כשירות ארגונית (1)'!F9:F10)</f>
        <v>1</v>
      </c>
      <c r="C9" s="331">
        <f>SUM('כשירות ארגונית (1)'!G9:G10)</f>
        <v>13</v>
      </c>
      <c r="D9" s="370">
        <f>B9/C9</f>
        <v>7.6923076923076927E-2</v>
      </c>
      <c r="E9" s="366">
        <v>1</v>
      </c>
    </row>
    <row r="10" spans="1:16">
      <c r="A10" s="365" t="s">
        <v>1622</v>
      </c>
      <c r="B10" s="331">
        <f>SUM('כשירות ארגונית (1)'!F13:F13)</f>
        <v>1</v>
      </c>
      <c r="C10" s="331">
        <f>SUM('כשירות ארגונית (1)'!G13:G13)</f>
        <v>1</v>
      </c>
      <c r="D10" s="370">
        <f t="shared" ref="D10:D12" si="1">B10/C10</f>
        <v>1</v>
      </c>
      <c r="E10" s="366">
        <v>1</v>
      </c>
    </row>
    <row r="11" spans="1:16">
      <c r="A11" s="365" t="s">
        <v>1574</v>
      </c>
      <c r="B11" s="331">
        <f>SUM('כשירות ארגונית (1)'!F16:F17)</f>
        <v>5</v>
      </c>
      <c r="C11" s="331">
        <f>SUM('כשירות ארגונית (1)'!G16:G17)</f>
        <v>5</v>
      </c>
      <c r="D11" s="370">
        <f t="shared" si="1"/>
        <v>1</v>
      </c>
      <c r="E11" s="366">
        <v>1</v>
      </c>
    </row>
    <row r="12" spans="1:16">
      <c r="A12" s="365" t="s">
        <v>1623</v>
      </c>
      <c r="B12" s="331">
        <f>SUM('כשירות ארגונית (1)'!F20:F20)</f>
        <v>0</v>
      </c>
      <c r="C12" s="331">
        <f>SUM('כשירות ארגונית (1)'!G20:G20)</f>
        <v>1</v>
      </c>
      <c r="D12" s="370">
        <f t="shared" si="1"/>
        <v>0</v>
      </c>
      <c r="E12" s="366">
        <v>1</v>
      </c>
    </row>
    <row r="13" spans="1:16">
      <c r="E13" s="375">
        <f>SUMPRODUCT(D8:D12,E8:E12)/SUM(E8:E12)</f>
        <v>0.482051282051282</v>
      </c>
      <c r="F13" s="376" t="s">
        <v>1523</v>
      </c>
    </row>
    <row r="14" spans="1:16" ht="15" thickBot="1"/>
    <row r="15" spans="1:16" ht="15" thickBot="1">
      <c r="A15" s="373" t="s">
        <v>1700</v>
      </c>
      <c r="B15" s="150" t="s">
        <v>1690</v>
      </c>
      <c r="C15" s="150" t="s">
        <v>1689</v>
      </c>
      <c r="D15" s="150" t="s">
        <v>1702</v>
      </c>
      <c r="E15" s="150" t="s">
        <v>1703</v>
      </c>
    </row>
    <row r="16" spans="1:16">
      <c r="A16" s="360" t="s">
        <v>1601</v>
      </c>
      <c r="B16" s="363">
        <f>SUM('פרופיל מערכת (2)'!F5:F12)</f>
        <v>28</v>
      </c>
      <c r="C16" s="363">
        <f>SUM('פרופיל מערכת (2)'!G5:G12)</f>
        <v>45</v>
      </c>
      <c r="D16" s="369">
        <f>B16/C16</f>
        <v>0.62222222222222223</v>
      </c>
      <c r="E16" s="364">
        <v>1</v>
      </c>
    </row>
    <row r="17" spans="1:6">
      <c r="A17" s="365" t="s">
        <v>1600</v>
      </c>
      <c r="B17" s="331">
        <f>SUM('פרופיל מערכת (2)'!F15:F23)</f>
        <v>102</v>
      </c>
      <c r="C17" s="331">
        <f>SUM('פרופיל מערכת (2)'!G15:G23)</f>
        <v>131</v>
      </c>
      <c r="D17" s="370">
        <f t="shared" ref="D17:D20" si="2">B17/C17</f>
        <v>0.77862595419847325</v>
      </c>
      <c r="E17" s="366">
        <v>20</v>
      </c>
    </row>
    <row r="18" spans="1:6">
      <c r="A18" s="365" t="s">
        <v>1621</v>
      </c>
      <c r="B18" s="331">
        <f>SUM('פרופיל מערכת (2)'!F26:F34)</f>
        <v>6</v>
      </c>
      <c r="C18" s="331">
        <f>SUM('פרופיל מערכת (2)'!G26:G34)</f>
        <v>27</v>
      </c>
      <c r="D18" s="370">
        <f t="shared" si="2"/>
        <v>0.22222222222222221</v>
      </c>
      <c r="E18" s="366">
        <v>1</v>
      </c>
    </row>
    <row r="19" spans="1:6">
      <c r="A19" s="365" t="s">
        <v>1624</v>
      </c>
      <c r="B19" s="331">
        <f>SUM('פרופיל מערכת (2)'!F37:F43)</f>
        <v>0</v>
      </c>
      <c r="C19" s="331">
        <f>SUM('פרופיל מערכת (2)'!G37:G43)</f>
        <v>26</v>
      </c>
      <c r="D19" s="370">
        <f t="shared" si="2"/>
        <v>0</v>
      </c>
      <c r="E19" s="366">
        <v>1</v>
      </c>
    </row>
    <row r="20" spans="1:6" ht="15" thickBot="1">
      <c r="A20" s="372" t="s">
        <v>1625</v>
      </c>
      <c r="B20" s="367">
        <f>SUM('פרופיל מערכת (2)'!F46:F52)</f>
        <v>4</v>
      </c>
      <c r="C20" s="367">
        <f>SUM('פרופיל מערכת (2)'!G46:G52)</f>
        <v>12</v>
      </c>
      <c r="D20" s="371">
        <f t="shared" si="2"/>
        <v>0.33333333333333331</v>
      </c>
      <c r="E20" s="368">
        <v>1</v>
      </c>
    </row>
    <row r="21" spans="1:6">
      <c r="E21" s="375">
        <f>SUMPRODUCT(D16:D20,E16:E20)/SUM(E16:E20)</f>
        <v>0.69792903590613509</v>
      </c>
      <c r="F21" s="376" t="s">
        <v>1523</v>
      </c>
    </row>
    <row r="22" spans="1:6" ht="15" thickBot="1"/>
    <row r="23" spans="1:6" ht="15" thickBot="1">
      <c r="A23" s="374" t="s">
        <v>1701</v>
      </c>
      <c r="B23" s="150" t="s">
        <v>1690</v>
      </c>
      <c r="C23" s="150" t="s">
        <v>1689</v>
      </c>
      <c r="D23" s="150" t="s">
        <v>1702</v>
      </c>
      <c r="E23" s="150" t="s">
        <v>1703</v>
      </c>
    </row>
    <row r="24" spans="1:6" ht="15" thickBot="1">
      <c r="A24" s="360" t="s">
        <v>1637</v>
      </c>
      <c r="B24" s="363">
        <f>SUM('שרשרת אספקה (3)'!F5:F11)</f>
        <v>2</v>
      </c>
      <c r="C24" s="363">
        <f>SUM('שרשרת אספקה (3)'!G5:G11)</f>
        <v>9</v>
      </c>
      <c r="D24" s="369">
        <f>B24/C24</f>
        <v>0.22222222222222221</v>
      </c>
      <c r="E24" s="364">
        <v>1</v>
      </c>
    </row>
    <row r="25" spans="1:6" ht="15" thickBot="1">
      <c r="A25" s="365" t="s">
        <v>1633</v>
      </c>
      <c r="B25" s="331">
        <f>SUM('שרשרת אספקה (3)'!F15:F24)</f>
        <v>20</v>
      </c>
      <c r="C25" s="331">
        <f>SUM('שרשרת אספקה (3)'!G15:G24)</f>
        <v>47</v>
      </c>
      <c r="D25" s="369">
        <f t="shared" ref="D25:D26" si="3">B25/C25</f>
        <v>0.42553191489361702</v>
      </c>
      <c r="E25" s="366">
        <v>10</v>
      </c>
    </row>
    <row r="26" spans="1:6" ht="15" thickBot="1">
      <c r="A26" s="372" t="s">
        <v>1644</v>
      </c>
      <c r="B26" s="367">
        <f>SUM('שרשרת אספקה (3)'!F28:F37)</f>
        <v>15</v>
      </c>
      <c r="C26" s="367">
        <f>SUM('שרשרת אספקה (3)'!G28:G37)</f>
        <v>47</v>
      </c>
      <c r="D26" s="369">
        <f t="shared" si="3"/>
        <v>0.31914893617021278</v>
      </c>
      <c r="E26" s="368">
        <v>10</v>
      </c>
    </row>
    <row r="27" spans="1:6">
      <c r="E27" s="375">
        <f>SUMPRODUCT(D24:D26,E24:E26)/SUM(E24:E26)</f>
        <v>0.36519193966002478</v>
      </c>
      <c r="F27" s="376" t="s">
        <v>1523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56668-2883-4F2E-9F7E-4AFE02BC8EEC}">
  <sheetPr codeName="Sheet13"/>
  <dimension ref="A1:K39"/>
  <sheetViews>
    <sheetView rightToLeft="1" zoomScale="115" zoomScaleNormal="115" workbookViewId="0">
      <selection activeCell="C9" sqref="C9"/>
    </sheetView>
  </sheetViews>
  <sheetFormatPr defaultColWidth="0" defaultRowHeight="15" zeroHeight="1"/>
  <cols>
    <col min="1" max="1" width="9.125" style="277" customWidth="1"/>
    <col min="2" max="2" width="16.875" style="4" customWidth="1"/>
    <col min="3" max="3" width="55.5" style="3" bestFit="1" customWidth="1"/>
    <col min="4" max="4" width="47.5" style="477" customWidth="1"/>
    <col min="5" max="5" width="9.125" style="3" customWidth="1"/>
    <col min="6" max="6" width="11.875" style="3" hidden="1" customWidth="1"/>
    <col min="7" max="7" width="15.625" style="3" hidden="1" customWidth="1"/>
    <col min="8" max="11" width="25" style="3" hidden="1" customWidth="1"/>
    <col min="12" max="16384" width="9.125" style="3" hidden="1"/>
  </cols>
  <sheetData>
    <row r="1" spans="1:11">
      <c r="A1" s="276"/>
      <c r="B1" s="8"/>
      <c r="C1" s="7"/>
      <c r="D1" s="475"/>
      <c r="E1" s="7"/>
    </row>
    <row r="2" spans="1:11">
      <c r="A2" s="276"/>
      <c r="B2" s="8"/>
      <c r="C2" s="7"/>
      <c r="D2" s="475"/>
      <c r="E2" s="7"/>
    </row>
    <row r="3" spans="1:11" ht="20.25">
      <c r="A3" s="276"/>
      <c r="C3" s="343" t="s">
        <v>1637</v>
      </c>
      <c r="D3" s="471"/>
      <c r="E3" s="7"/>
    </row>
    <row r="4" spans="1:11" ht="21" thickBot="1">
      <c r="A4" s="276"/>
      <c r="B4" s="491"/>
      <c r="C4" s="14"/>
      <c r="D4" s="401" t="s">
        <v>22</v>
      </c>
      <c r="E4" s="7"/>
      <c r="F4" s="338" t="s">
        <v>1690</v>
      </c>
      <c r="G4" s="338" t="s">
        <v>1689</v>
      </c>
      <c r="H4" s="330" t="s">
        <v>1691</v>
      </c>
      <c r="I4" s="330" t="s">
        <v>1692</v>
      </c>
      <c r="J4" s="330" t="s">
        <v>1693</v>
      </c>
      <c r="K4" s="330" t="s">
        <v>1694</v>
      </c>
    </row>
    <row r="5" spans="1:11">
      <c r="A5" s="276"/>
      <c r="B5" s="497" t="s">
        <v>1637</v>
      </c>
      <c r="C5" s="304" t="s">
        <v>1636</v>
      </c>
      <c r="D5" s="410" t="s">
        <v>1512</v>
      </c>
      <c r="E5" s="7"/>
      <c r="F5" s="3">
        <f>IF(D5=H5,0,IF(D5=I5,1,"ERROR"))</f>
        <v>0</v>
      </c>
      <c r="G5" s="3">
        <v>1</v>
      </c>
      <c r="H5" s="3" t="s">
        <v>1512</v>
      </c>
      <c r="I5" s="3" t="s">
        <v>163</v>
      </c>
    </row>
    <row r="6" spans="1:11">
      <c r="A6" s="276"/>
      <c r="B6" s="498"/>
      <c r="C6" s="351" t="s">
        <v>1638</v>
      </c>
      <c r="D6" s="411" t="s">
        <v>1512</v>
      </c>
      <c r="E6" s="7"/>
      <c r="F6" s="3">
        <f t="shared" ref="F6:F10" si="0">IF(D6=H6,0,IF(D6=I6,1,"ERROR"))</f>
        <v>0</v>
      </c>
      <c r="G6" s="3">
        <v>1</v>
      </c>
      <c r="H6" s="3" t="s">
        <v>1512</v>
      </c>
      <c r="I6" s="3" t="s">
        <v>163</v>
      </c>
    </row>
    <row r="7" spans="1:11">
      <c r="A7" s="276"/>
      <c r="B7" s="498"/>
      <c r="C7" s="354" t="s">
        <v>1629</v>
      </c>
      <c r="D7" s="411" t="s">
        <v>163</v>
      </c>
      <c r="E7" s="7"/>
      <c r="F7" s="3">
        <f t="shared" si="0"/>
        <v>0</v>
      </c>
      <c r="G7" s="3">
        <v>1</v>
      </c>
      <c r="H7" s="3" t="s">
        <v>163</v>
      </c>
      <c r="I7" s="3" t="s">
        <v>1512</v>
      </c>
    </row>
    <row r="8" spans="1:11">
      <c r="A8" s="276"/>
      <c r="B8" s="498"/>
      <c r="C8" s="351" t="s">
        <v>1639</v>
      </c>
      <c r="D8" s="411" t="s">
        <v>163</v>
      </c>
      <c r="E8" s="7"/>
      <c r="F8" s="3">
        <f t="shared" si="0"/>
        <v>1</v>
      </c>
      <c r="G8" s="3">
        <v>1</v>
      </c>
      <c r="H8" s="3" t="s">
        <v>1512</v>
      </c>
      <c r="I8" s="3" t="s">
        <v>163</v>
      </c>
    </row>
    <row r="9" spans="1:11">
      <c r="A9" s="276"/>
      <c r="B9" s="498"/>
      <c r="C9" s="351" t="s">
        <v>1640</v>
      </c>
      <c r="D9" s="411" t="s">
        <v>1512</v>
      </c>
      <c r="E9" s="7"/>
      <c r="F9" s="3">
        <f t="shared" si="0"/>
        <v>0</v>
      </c>
      <c r="G9" s="3">
        <v>1</v>
      </c>
      <c r="H9" s="3" t="s">
        <v>1512</v>
      </c>
      <c r="I9" s="3" t="s">
        <v>163</v>
      </c>
    </row>
    <row r="10" spans="1:11">
      <c r="A10" s="276"/>
      <c r="B10" s="498"/>
      <c r="C10" s="351" t="s">
        <v>1642</v>
      </c>
      <c r="D10" s="411" t="s">
        <v>163</v>
      </c>
      <c r="E10" s="7"/>
      <c r="F10" s="3">
        <f t="shared" si="0"/>
        <v>1</v>
      </c>
      <c r="G10" s="3">
        <v>1</v>
      </c>
      <c r="H10" s="3" t="s">
        <v>1512</v>
      </c>
      <c r="I10" s="3" t="s">
        <v>163</v>
      </c>
    </row>
    <row r="11" spans="1:11" ht="15.75" thickBot="1">
      <c r="A11" s="276"/>
      <c r="B11" s="499"/>
      <c r="C11" s="305" t="s">
        <v>1643</v>
      </c>
      <c r="D11" s="412" t="s">
        <v>1809</v>
      </c>
      <c r="E11" s="7"/>
      <c r="F11" s="3">
        <f>IF(D11=H11,0,IF(D11=I11,1,IF(D11=J11,2,IF(D11=K11,3,"ERROR"))))</f>
        <v>0</v>
      </c>
      <c r="G11" s="3">
        <v>3</v>
      </c>
      <c r="H11" s="3" t="s">
        <v>1809</v>
      </c>
      <c r="I11" s="3" t="s">
        <v>1810</v>
      </c>
      <c r="J11" s="3" t="s">
        <v>1811</v>
      </c>
      <c r="K11" s="3" t="s">
        <v>1808</v>
      </c>
    </row>
    <row r="12" spans="1:11">
      <c r="A12" s="276"/>
      <c r="C12" s="295"/>
      <c r="D12" s="413"/>
      <c r="E12" s="7"/>
      <c r="F12" s="313"/>
      <c r="G12" s="313"/>
      <c r="H12" s="313"/>
      <c r="I12" s="313"/>
      <c r="J12" s="313"/>
      <c r="K12" s="313"/>
    </row>
    <row r="13" spans="1:11" ht="21" thickBot="1">
      <c r="A13" s="276"/>
      <c r="B13" s="14" t="s">
        <v>1633</v>
      </c>
      <c r="C13" s="353"/>
      <c r="D13" s="401" t="s">
        <v>22</v>
      </c>
      <c r="E13" s="7"/>
      <c r="F13" s="313"/>
      <c r="G13" s="313"/>
      <c r="H13" s="313"/>
      <c r="I13" s="313"/>
      <c r="J13" s="313"/>
      <c r="K13" s="313"/>
    </row>
    <row r="14" spans="1:11">
      <c r="A14" s="276"/>
      <c r="B14" s="497" t="s">
        <v>1633</v>
      </c>
      <c r="C14" s="304" t="s">
        <v>1635</v>
      </c>
      <c r="D14" s="410"/>
      <c r="E14" s="7"/>
    </row>
    <row r="15" spans="1:11">
      <c r="A15" s="276"/>
      <c r="B15" s="498"/>
      <c r="C15" s="351" t="s">
        <v>1632</v>
      </c>
      <c r="D15" s="411" t="s">
        <v>163</v>
      </c>
      <c r="E15" s="7"/>
      <c r="F15" s="3">
        <f>IF(D15=H15,0,IF(D15=I15,1,"ERROR"))</f>
        <v>1</v>
      </c>
      <c r="G15" s="3">
        <v>1</v>
      </c>
      <c r="H15" s="3" t="s">
        <v>1512</v>
      </c>
      <c r="I15" s="3" t="s">
        <v>163</v>
      </c>
    </row>
    <row r="16" spans="1:11">
      <c r="A16" s="276"/>
      <c r="B16" s="498"/>
      <c r="C16" s="351" t="s">
        <v>1631</v>
      </c>
      <c r="D16" s="411" t="s">
        <v>1512</v>
      </c>
      <c r="E16" s="7"/>
      <c r="F16" s="3">
        <f>IF(D16=H16,0,IF(D16=I16,1,"ERROR"))</f>
        <v>0</v>
      </c>
      <c r="G16" s="3">
        <v>1</v>
      </c>
      <c r="H16" s="3" t="s">
        <v>1512</v>
      </c>
      <c r="I16" s="3" t="s">
        <v>163</v>
      </c>
    </row>
    <row r="17" spans="1:11">
      <c r="A17" s="276"/>
      <c r="B17" s="498"/>
      <c r="C17" s="355" t="s">
        <v>1634</v>
      </c>
      <c r="D17" s="411" t="s">
        <v>1782</v>
      </c>
      <c r="E17" s="7"/>
      <c r="F17" s="3">
        <f>IF(D17=H17,0,IF(D17=I17,1,IF(D17=J17,2,IF(D17=K17,3,"ERROR"))))</f>
        <v>3</v>
      </c>
      <c r="G17" s="3">
        <v>3</v>
      </c>
      <c r="H17" s="3" t="s">
        <v>1779</v>
      </c>
      <c r="I17" s="3" t="s">
        <v>1780</v>
      </c>
      <c r="J17" s="3" t="s">
        <v>1781</v>
      </c>
      <c r="K17" s="3" t="s">
        <v>1782</v>
      </c>
    </row>
    <row r="18" spans="1:11">
      <c r="A18" s="276"/>
      <c r="B18" s="498"/>
      <c r="C18" s="356" t="s">
        <v>1641</v>
      </c>
      <c r="D18" s="411" t="s">
        <v>1784</v>
      </c>
      <c r="E18" s="7"/>
      <c r="F18" s="3">
        <f t="shared" ref="F18:F24" si="1">IF(D18=H18,0,IF(D18=I18,1,IF(D18=J18,2,IF(D18=K18,3,"ERROR"))))</f>
        <v>1</v>
      </c>
      <c r="G18" s="3">
        <v>3</v>
      </c>
      <c r="H18" s="3" t="s">
        <v>1783</v>
      </c>
      <c r="I18" s="3" t="s">
        <v>1784</v>
      </c>
      <c r="J18" s="3" t="s">
        <v>1785</v>
      </c>
      <c r="K18" s="3" t="s">
        <v>1786</v>
      </c>
    </row>
    <row r="19" spans="1:11">
      <c r="A19" s="276"/>
      <c r="B19" s="498"/>
      <c r="C19" s="352" t="s">
        <v>1661</v>
      </c>
      <c r="D19" s="411" t="s">
        <v>26</v>
      </c>
      <c r="E19" s="7"/>
      <c r="F19" s="3">
        <f>IF(D19=H19,0,IF(D19=I19,1,IF(D19=J19,5,IF(D19=K19,10,"ERROR"))))</f>
        <v>5</v>
      </c>
      <c r="G19" s="3">
        <v>10</v>
      </c>
      <c r="H19" s="3" t="s">
        <v>1787</v>
      </c>
      <c r="I19" s="3" t="s">
        <v>1791</v>
      </c>
      <c r="J19" s="3" t="s">
        <v>26</v>
      </c>
      <c r="K19" s="3" t="s">
        <v>1792</v>
      </c>
    </row>
    <row r="20" spans="1:11">
      <c r="A20" s="276"/>
      <c r="B20" s="498"/>
      <c r="C20" s="356" t="s">
        <v>1660</v>
      </c>
      <c r="D20" s="411" t="s">
        <v>1788</v>
      </c>
      <c r="E20" s="7"/>
      <c r="F20" s="3">
        <f t="shared" si="1"/>
        <v>1</v>
      </c>
      <c r="G20" s="3">
        <v>3</v>
      </c>
      <c r="H20" s="3" t="s">
        <v>1787</v>
      </c>
      <c r="I20" s="3" t="s">
        <v>1788</v>
      </c>
      <c r="J20" s="3" t="s">
        <v>1789</v>
      </c>
      <c r="K20" s="3" t="s">
        <v>1790</v>
      </c>
    </row>
    <row r="21" spans="1:11">
      <c r="A21" s="276"/>
      <c r="B21" s="498"/>
      <c r="C21" s="356" t="s">
        <v>1662</v>
      </c>
      <c r="D21" s="411" t="s">
        <v>1794</v>
      </c>
      <c r="E21" s="7"/>
      <c r="F21" s="3">
        <f>IF(D21=H21,0,IF(D21=I21,1,IF(D21=J21,5,IF(D21=K21,10,"ERROR"))))</f>
        <v>5</v>
      </c>
      <c r="G21" s="3">
        <v>10</v>
      </c>
      <c r="H21" s="3" t="s">
        <v>1787</v>
      </c>
      <c r="I21" s="3" t="s">
        <v>1793</v>
      </c>
      <c r="J21" s="3" t="s">
        <v>1794</v>
      </c>
      <c r="K21" s="3" t="s">
        <v>1795</v>
      </c>
    </row>
    <row r="22" spans="1:11">
      <c r="A22" s="276"/>
      <c r="B22" s="498"/>
      <c r="C22" s="356" t="s">
        <v>1663</v>
      </c>
      <c r="D22" s="411" t="s">
        <v>1797</v>
      </c>
      <c r="E22" s="7"/>
      <c r="F22" s="3">
        <f>IF(D22=H22,0,IF(D22=I22,1,IF(D22=J22,2,IF(D22=K22,3,"ERROR"))))</f>
        <v>1</v>
      </c>
      <c r="G22" s="3">
        <v>3</v>
      </c>
      <c r="H22" s="3" t="s">
        <v>1796</v>
      </c>
      <c r="I22" s="3" t="s">
        <v>1797</v>
      </c>
      <c r="J22" s="3" t="s">
        <v>1798</v>
      </c>
      <c r="K22" s="3" t="s">
        <v>1799</v>
      </c>
    </row>
    <row r="23" spans="1:11">
      <c r="A23" s="276"/>
      <c r="B23" s="498"/>
      <c r="C23" s="356" t="s">
        <v>1664</v>
      </c>
      <c r="D23" s="411" t="s">
        <v>1800</v>
      </c>
      <c r="E23" s="7"/>
      <c r="F23" s="3">
        <f>IF(D23=H23,0,IF(D23=I23,1,IF(D23=J23,5,IF(D23=K23,10,"ERROR"))))</f>
        <v>1</v>
      </c>
      <c r="G23" s="3">
        <v>10</v>
      </c>
      <c r="H23" s="3" t="s">
        <v>1783</v>
      </c>
      <c r="I23" s="3" t="s">
        <v>1800</v>
      </c>
      <c r="J23" s="3" t="s">
        <v>1801</v>
      </c>
      <c r="K23" s="3" t="s">
        <v>1802</v>
      </c>
    </row>
    <row r="24" spans="1:11" ht="15.75" thickBot="1">
      <c r="A24" s="276"/>
      <c r="B24" s="499"/>
      <c r="C24" s="357" t="s">
        <v>1803</v>
      </c>
      <c r="D24" s="412" t="s">
        <v>1806</v>
      </c>
      <c r="E24" s="7"/>
      <c r="F24" s="3">
        <f t="shared" si="1"/>
        <v>2</v>
      </c>
      <c r="G24" s="3">
        <v>3</v>
      </c>
      <c r="H24" s="3" t="s">
        <v>1804</v>
      </c>
      <c r="I24" s="3" t="s">
        <v>1805</v>
      </c>
      <c r="J24" s="3" t="s">
        <v>1806</v>
      </c>
      <c r="K24" s="3" t="s">
        <v>1807</v>
      </c>
    </row>
    <row r="25" spans="1:11">
      <c r="A25" s="276"/>
      <c r="B25" s="279"/>
      <c r="C25" s="358"/>
      <c r="D25" s="413"/>
      <c r="E25" s="7"/>
      <c r="F25" s="313"/>
      <c r="G25" s="313"/>
      <c r="H25" s="313"/>
      <c r="I25" s="313"/>
      <c r="J25" s="313"/>
      <c r="K25" s="313"/>
    </row>
    <row r="26" spans="1:11" ht="20.25">
      <c r="A26" s="276"/>
      <c r="B26" s="14" t="s">
        <v>1644</v>
      </c>
      <c r="C26" s="359"/>
      <c r="D26" s="401" t="s">
        <v>22</v>
      </c>
      <c r="E26" s="7"/>
      <c r="F26" s="313"/>
      <c r="G26" s="313"/>
      <c r="H26" s="313"/>
      <c r="I26" s="313"/>
      <c r="J26" s="313"/>
      <c r="K26" s="313"/>
    </row>
    <row r="27" spans="1:11">
      <c r="A27" s="276"/>
      <c r="B27" s="500" t="s">
        <v>1644</v>
      </c>
      <c r="C27" s="351" t="s">
        <v>1635</v>
      </c>
      <c r="D27" s="414"/>
      <c r="E27" s="7"/>
    </row>
    <row r="28" spans="1:11">
      <c r="A28" s="276"/>
      <c r="B28" s="501"/>
      <c r="C28" s="351" t="s">
        <v>1632</v>
      </c>
      <c r="D28" s="411" t="s">
        <v>163</v>
      </c>
      <c r="E28" s="7"/>
      <c r="F28" s="3">
        <f>IF(D28=H28,0,IF(D28=I28,1,"ERROR"))</f>
        <v>1</v>
      </c>
      <c r="G28" s="3">
        <v>1</v>
      </c>
      <c r="H28" s="3" t="s">
        <v>1512</v>
      </c>
      <c r="I28" s="3" t="s">
        <v>163</v>
      </c>
    </row>
    <row r="29" spans="1:11">
      <c r="A29" s="276"/>
      <c r="B29" s="501"/>
      <c r="C29" s="351" t="s">
        <v>1631</v>
      </c>
      <c r="D29" s="411" t="s">
        <v>163</v>
      </c>
      <c r="E29" s="7"/>
      <c r="F29" s="3">
        <f>IF(D29=H29,0,IF(D29=I29,1,"ERROR"))</f>
        <v>1</v>
      </c>
      <c r="G29" s="3">
        <v>1</v>
      </c>
      <c r="H29" s="3" t="s">
        <v>1512</v>
      </c>
      <c r="I29" s="3" t="s">
        <v>163</v>
      </c>
    </row>
    <row r="30" spans="1:11">
      <c r="A30" s="276"/>
      <c r="B30" s="501"/>
      <c r="C30" s="355" t="s">
        <v>1634</v>
      </c>
      <c r="D30" s="411" t="s">
        <v>1780</v>
      </c>
      <c r="E30" s="7"/>
      <c r="F30" s="3">
        <f t="shared" ref="F30:F37" si="2">IF(D30=H30,0,IF(D30=I30,1,IF(D30=J30,2,IF(D30=K30,3,"ERROR"))))</f>
        <v>1</v>
      </c>
      <c r="G30" s="3">
        <v>3</v>
      </c>
      <c r="H30" s="3" t="s">
        <v>1779</v>
      </c>
      <c r="I30" s="3" t="s">
        <v>1780</v>
      </c>
      <c r="J30" s="3" t="s">
        <v>1781</v>
      </c>
      <c r="K30" s="3" t="s">
        <v>1782</v>
      </c>
    </row>
    <row r="31" spans="1:11">
      <c r="A31" s="276"/>
      <c r="B31" s="501"/>
      <c r="C31" s="356" t="s">
        <v>1641</v>
      </c>
      <c r="D31" s="411" t="s">
        <v>1784</v>
      </c>
      <c r="E31" s="7"/>
      <c r="F31" s="3">
        <f t="shared" si="2"/>
        <v>1</v>
      </c>
      <c r="G31" s="3">
        <v>3</v>
      </c>
      <c r="H31" s="3" t="s">
        <v>1783</v>
      </c>
      <c r="I31" s="3" t="s">
        <v>1784</v>
      </c>
      <c r="J31" s="3" t="s">
        <v>1785</v>
      </c>
      <c r="K31" s="3" t="s">
        <v>1786</v>
      </c>
    </row>
    <row r="32" spans="1:11">
      <c r="A32" s="276"/>
      <c r="B32" s="501"/>
      <c r="C32" s="352" t="s">
        <v>1661</v>
      </c>
      <c r="D32" s="411" t="s">
        <v>1791</v>
      </c>
      <c r="E32" s="7"/>
      <c r="F32" s="3">
        <f>IF(D32=H32,0,IF(D32=I32,1,IF(D32=J32,5,IF(D32=K32,10,"ERROR"))))</f>
        <v>1</v>
      </c>
      <c r="G32" s="3">
        <v>10</v>
      </c>
      <c r="H32" s="3" t="s">
        <v>1787</v>
      </c>
      <c r="I32" s="3" t="s">
        <v>1791</v>
      </c>
      <c r="J32" s="3" t="s">
        <v>26</v>
      </c>
      <c r="K32" s="3" t="s">
        <v>1792</v>
      </c>
    </row>
    <row r="33" spans="1:11">
      <c r="A33" s="276"/>
      <c r="B33" s="501"/>
      <c r="C33" s="356" t="s">
        <v>1660</v>
      </c>
      <c r="D33" s="411" t="s">
        <v>1789</v>
      </c>
      <c r="E33" s="7"/>
      <c r="F33" s="3">
        <f t="shared" si="2"/>
        <v>2</v>
      </c>
      <c r="G33" s="3">
        <v>3</v>
      </c>
      <c r="H33" s="3" t="s">
        <v>1787</v>
      </c>
      <c r="I33" s="3" t="s">
        <v>1788</v>
      </c>
      <c r="J33" s="3" t="s">
        <v>1789</v>
      </c>
      <c r="K33" s="3" t="s">
        <v>1790</v>
      </c>
    </row>
    <row r="34" spans="1:11">
      <c r="A34" s="276"/>
      <c r="B34" s="501"/>
      <c r="C34" s="356" t="s">
        <v>1662</v>
      </c>
      <c r="D34" s="411" t="s">
        <v>1787</v>
      </c>
      <c r="E34" s="7"/>
      <c r="F34" s="3">
        <f>IF(D34=H34,0,IF(D34=I34,1,IF(D34=J34,5,IF(D34=K34,10,"ERROR"))))</f>
        <v>0</v>
      </c>
      <c r="G34" s="3">
        <v>10</v>
      </c>
      <c r="H34" s="3" t="s">
        <v>1787</v>
      </c>
      <c r="I34" s="3" t="s">
        <v>1793</v>
      </c>
      <c r="J34" s="3" t="s">
        <v>1794</v>
      </c>
      <c r="K34" s="3" t="s">
        <v>1795</v>
      </c>
    </row>
    <row r="35" spans="1:11">
      <c r="A35" s="276"/>
      <c r="B35" s="501"/>
      <c r="C35" s="356" t="s">
        <v>1663</v>
      </c>
      <c r="D35" s="411" t="s">
        <v>1797</v>
      </c>
      <c r="E35" s="7"/>
      <c r="F35" s="3">
        <f t="shared" si="2"/>
        <v>1</v>
      </c>
      <c r="G35" s="3">
        <v>3</v>
      </c>
      <c r="H35" s="3" t="s">
        <v>1796</v>
      </c>
      <c r="I35" s="3" t="s">
        <v>1797</v>
      </c>
      <c r="J35" s="3" t="s">
        <v>1798</v>
      </c>
      <c r="K35" s="3" t="s">
        <v>1799</v>
      </c>
    </row>
    <row r="36" spans="1:11">
      <c r="A36" s="276"/>
      <c r="B36" s="501"/>
      <c r="C36" s="356" t="s">
        <v>1664</v>
      </c>
      <c r="D36" s="411" t="s">
        <v>1801</v>
      </c>
      <c r="E36" s="7"/>
      <c r="F36" s="3">
        <f>IF(D36=H36,0,IF(D36=I36,1,IF(D36=J36,5,IF(D36=K36,10,"ERROR"))))</f>
        <v>5</v>
      </c>
      <c r="G36" s="3">
        <v>10</v>
      </c>
      <c r="H36" s="3" t="s">
        <v>1783</v>
      </c>
      <c r="I36" s="3" t="s">
        <v>1800</v>
      </c>
      <c r="J36" s="3" t="s">
        <v>1801</v>
      </c>
      <c r="K36" s="3" t="s">
        <v>1802</v>
      </c>
    </row>
    <row r="37" spans="1:11" ht="15.75" thickBot="1">
      <c r="A37" s="276"/>
      <c r="B37" s="502"/>
      <c r="C37" s="357" t="s">
        <v>1803</v>
      </c>
      <c r="D37" s="412" t="s">
        <v>1806</v>
      </c>
      <c r="E37" s="7"/>
      <c r="F37" s="3">
        <f t="shared" si="2"/>
        <v>2</v>
      </c>
      <c r="G37" s="3">
        <v>3</v>
      </c>
      <c r="H37" s="3" t="s">
        <v>1804</v>
      </c>
      <c r="I37" s="3" t="s">
        <v>1805</v>
      </c>
      <c r="J37" s="3" t="s">
        <v>1806</v>
      </c>
      <c r="K37" s="3" t="s">
        <v>1807</v>
      </c>
    </row>
    <row r="38" spans="1:11">
      <c r="A38" s="276"/>
      <c r="B38" s="276"/>
      <c r="C38" s="276"/>
      <c r="D38" s="476"/>
      <c r="E38" s="7"/>
      <c r="F38" s="313"/>
      <c r="G38" s="313"/>
      <c r="H38" s="313"/>
      <c r="I38" s="313"/>
      <c r="J38" s="313"/>
      <c r="K38" s="313"/>
    </row>
    <row r="39" spans="1:11">
      <c r="A39" s="276"/>
      <c r="B39" s="276"/>
      <c r="C39" s="276"/>
      <c r="D39" s="476"/>
      <c r="E39" s="7"/>
      <c r="F39" s="313"/>
      <c r="G39" s="313"/>
      <c r="H39" s="313"/>
      <c r="I39" s="313"/>
      <c r="J39" s="313"/>
      <c r="K39" s="313"/>
    </row>
  </sheetData>
  <sheetProtection algorithmName="SHA-512" hashValue="xy4fRsgHQ9eRP8O2c8xipZm0+GaM0Nk1Rz/TL9Gy7JoYneMGEpbbBTNdVUaqFANZdBskKKOgOeFXZrwiv75hQQ==" saltValue="HiUWUBz2WbDRP41QPugKtw==" spinCount="100000" sheet="1" formatCells="0" formatColumns="0" formatRows="0" insertColumns="0" insertRows="0" insertHyperlinks="0" sort="0" autoFilter="0"/>
  <mergeCells count="3">
    <mergeCell ref="B5:B11"/>
    <mergeCell ref="B27:B37"/>
    <mergeCell ref="B14:B24"/>
  </mergeCells>
  <dataValidations count="17">
    <dataValidation type="list" allowBlank="1" showInputMessage="1" showErrorMessage="1" sqref="D5" xr:uid="{C0FBED2D-C8A2-4DE8-8023-393B6B41E46E}">
      <formula1>$H$5:$I$5</formula1>
    </dataValidation>
    <dataValidation type="list" allowBlank="1" showInputMessage="1" showErrorMessage="1" sqref="D6" xr:uid="{E1760B54-411C-4841-82AD-2D07B0C50ACA}">
      <formula1>$H$6:$I$6</formula1>
    </dataValidation>
    <dataValidation type="list" allowBlank="1" showInputMessage="1" showErrorMessage="1" sqref="D7" xr:uid="{CDF9BDD2-56D4-417E-A2C0-DDD21853C237}">
      <formula1>$H$7:$I$7</formula1>
    </dataValidation>
    <dataValidation type="list" allowBlank="1" showInputMessage="1" showErrorMessage="1" sqref="D8" xr:uid="{30C85041-D23F-45E1-965E-20DBB469C3F1}">
      <formula1>$H$8:$I$8</formula1>
    </dataValidation>
    <dataValidation type="list" allowBlank="1" showInputMessage="1" showErrorMessage="1" sqref="D9" xr:uid="{49B49653-B8E2-4FDE-98E8-05035F04C506}">
      <formula1>$H$9:$I$9</formula1>
    </dataValidation>
    <dataValidation type="list" allowBlank="1" showInputMessage="1" showErrorMessage="1" sqref="D10" xr:uid="{6E37C956-BAB4-4B0B-BE20-5F4AE823298F}">
      <formula1>$H$10:$I$10</formula1>
    </dataValidation>
    <dataValidation type="list" allowBlank="1" showInputMessage="1" showErrorMessage="1" sqref="D11" xr:uid="{253D4668-7B36-41DE-955E-FB05CB5799C1}">
      <formula1>$H$11:$K$11</formula1>
    </dataValidation>
    <dataValidation type="list" allowBlank="1" showInputMessage="1" showErrorMessage="1" sqref="D15 D28" xr:uid="{645B63A1-6A4F-4448-86D0-ADD04F194A3C}">
      <formula1>$H$15:$I$15</formula1>
    </dataValidation>
    <dataValidation type="list" allowBlank="1" showInputMessage="1" showErrorMessage="1" sqref="D16 D29" xr:uid="{084D7132-446D-4476-AABF-B73B3DB9E4BC}">
      <formula1>$H$16:$I$16</formula1>
    </dataValidation>
    <dataValidation type="list" allowBlank="1" showInputMessage="1" showErrorMessage="1" sqref="D17 D30" xr:uid="{D2254A79-5139-4192-89FF-6168F492F325}">
      <formula1>$H$17:$K$17</formula1>
    </dataValidation>
    <dataValidation type="list" allowBlank="1" showInputMessage="1" showErrorMessage="1" sqref="D18 D31" xr:uid="{8B7D1C4D-19EF-4CF8-A8A5-8ACEF5718F6B}">
      <formula1>$H$18:$K$18</formula1>
    </dataValidation>
    <dataValidation type="list" allowBlank="1" showInputMessage="1" showErrorMessage="1" sqref="D19 D32" xr:uid="{7B31DB23-2B0F-4440-A085-099E10170D16}">
      <formula1>$H$19:$K$19</formula1>
    </dataValidation>
    <dataValidation type="list" allowBlank="1" showInputMessage="1" showErrorMessage="1" sqref="D20 D33" xr:uid="{C23D926B-2C7C-4E07-B60A-C2AB018F962A}">
      <formula1>$H$20:$K$20</formula1>
    </dataValidation>
    <dataValidation type="list" allowBlank="1" showInputMessage="1" showErrorMessage="1" sqref="D21 D34" xr:uid="{F4EC7476-9E66-4C1B-A604-D3B7374A436A}">
      <formula1>$H$21:$K$21</formula1>
    </dataValidation>
    <dataValidation type="list" allowBlank="1" showInputMessage="1" showErrorMessage="1" sqref="D22 D35" xr:uid="{D539B603-EF8C-4DF6-9AFD-916E78BC0A00}">
      <formula1>$H$22:$K$22</formula1>
    </dataValidation>
    <dataValidation type="list" allowBlank="1" showInputMessage="1" showErrorMessage="1" sqref="D23 D36" xr:uid="{2232FCBB-B3EE-45EB-88C5-363BEC39C169}">
      <formula1>$H$23:$K$23</formula1>
    </dataValidation>
    <dataValidation type="list" allowBlank="1" showInputMessage="1" showErrorMessage="1" sqref="D24 D37" xr:uid="{2BC49294-A711-447B-8852-7C875C681272}">
      <formula1>$H$24:$K$24</formula1>
    </dataValidation>
  </dataValidations>
  <pageMargins left="0.7" right="0.7" top="0.75" bottom="0.75" header="0.3" footer="0.3"/>
  <pageSetup paperSize="9" orientation="portrait"/>
  <drawing r:id="rId1"/>
  <legacyDrawing r:id="rId2"/>
</worksheet>
</file>

<file path=xl/worksheets/sheet7.xml><?xml version="1.0" encoding="utf-8"?>
<worksheet xmlns="http://schemas.openxmlformats.org/spreadsheetml/2006/main" xmlns:ns1="http://schemas.openxmlformats.org/markup-compatibility/2006" xmlns:ns2="http://schemas.microsoft.com/office/spreadsheetml/2014/revision" ns1:Ignorable="x14ac xr xr2 xr3" ns2:uid="{EBA89E2A-F642-4CAD-9020-E78832C0A236}">
  <sheetPr codeName="Sheet2"/>
  <dimension ref="A1:E36"/>
  <sheetViews>
    <sheetView rightToLeft="1" zoomScale="121" zoomScaleNormal="145" workbookViewId="0">
      <selection activeCell="D6" sqref="D6"/>
    </sheetView>
  </sheetViews>
  <sheetFormatPr defaultColWidth="0" defaultRowHeight="14.25" zeroHeight="1"/>
  <cols>
    <col min="1" max="1" width="9.125" style="1" customWidth="1"/>
    <col min="2" max="2" width="17" style="1" customWidth="1"/>
    <col min="3" max="3" width="82" style="1" customWidth="1"/>
    <col min="4" max="4" width="9.125" style="2" customWidth="1"/>
    <col min="5" max="5" width="9.125" style="1" customWidth="1"/>
    <col min="6" max="16384" width="9.125" style="1" hidden="1"/>
  </cols>
  <sheetData>
    <row r="1" spans="1:5" ht="14.25" customHeight="1">
      <c r="A1" s="28"/>
      <c r="B1" s="28"/>
      <c r="C1" s="28"/>
      <c r="D1" s="29"/>
      <c r="E1" s="28"/>
    </row>
    <row r="2" spans="1:5">
      <c r="A2" s="28"/>
      <c r="B2" s="28"/>
      <c r="C2" s="28"/>
      <c r="D2" s="29"/>
      <c r="E2" s="28"/>
    </row>
    <row r="3" spans="1:5">
      <c r="A3" s="28"/>
      <c r="B3" s="28"/>
      <c r="C3" s="28"/>
      <c r="D3" s="29"/>
      <c r="E3" s="28"/>
    </row>
    <row r="4" spans="1:5" ht="15">
      <c r="A4" s="28"/>
      <c r="B4" s="21"/>
      <c r="C4" s="22"/>
      <c r="D4" s="21"/>
      <c r="E4" s="28"/>
    </row>
    <row r="5" spans="1:5" ht="21" thickBot="1">
      <c r="A5" s="30"/>
      <c r="C5" s="15" t="s">
        <v>1599</v>
      </c>
      <c r="D5" s="16" t="s">
        <v>22</v>
      </c>
      <c r="E5" s="31"/>
    </row>
    <row r="6" spans="1:5" ht="16.5" customHeight="1">
      <c r="A6" s="32" t="s">
        <v>1906</v>
      </c>
      <c r="B6" s="503" t="s">
        <v>13</v>
      </c>
      <c r="C6" s="23" t="s">
        <v>1855</v>
      </c>
      <c r="D6" s="415" t="inlineStr">
        <is>
          <t xml:space="preserve">בלמס</t>
        </is>
      </c>
      <c r="E6" s="28"/>
    </row>
    <row r="7" spans="1:5" ht="16.5" customHeight="1" thickBot="1">
      <c r="A7" s="32" t="s">
        <v>1907</v>
      </c>
      <c r="B7" s="504"/>
      <c r="C7" s="25" t="s">
        <v>153</v>
      </c>
      <c r="D7" s="416" t="inlineStr">
        <is>
          <t xml:space="preserve">כן</t>
        </is>
      </c>
      <c r="E7" s="28"/>
    </row>
    <row r="8" spans="1:5" ht="16.5" customHeight="1" thickBot="1">
      <c r="A8" s="28"/>
      <c r="B8" s="26"/>
      <c r="C8" s="27"/>
      <c r="D8" s="417"/>
      <c r="E8" s="28"/>
    </row>
    <row r="9" spans="1:5" ht="16.5" customHeight="1">
      <c r="A9" s="32" t="s">
        <v>1908</v>
      </c>
      <c r="B9" s="503" t="s">
        <v>14</v>
      </c>
      <c r="C9" s="23" t="s">
        <v>145</v>
      </c>
      <c r="D9" s="415" t="inlineStr">
        <is>
          <t xml:space="preserve">כן</t>
        </is>
      </c>
      <c r="E9" s="28"/>
    </row>
    <row r="10" spans="1:5">
      <c r="A10" s="32" t="s">
        <v>1909</v>
      </c>
      <c r="B10" s="505"/>
      <c r="C10" s="24" t="s">
        <v>17</v>
      </c>
      <c r="D10" s="418" t="inlineStr">
        <is>
          <t xml:space="preserve">לא</t>
        </is>
      </c>
      <c r="E10" s="28"/>
    </row>
    <row r="11" spans="1:5" ht="15" thickBot="1">
      <c r="A11" s="32" t="s">
        <v>1910</v>
      </c>
      <c r="B11" s="504"/>
      <c r="C11" s="25" t="s">
        <v>2049</v>
      </c>
      <c r="D11" s="416" t="inlineStr">
        <is>
          <t xml:space="preserve">לא</t>
        </is>
      </c>
      <c r="E11" s="28"/>
    </row>
    <row r="12" spans="1:5" ht="15.75" thickBot="1">
      <c r="A12" s="28"/>
      <c r="B12" s="26"/>
      <c r="C12" s="27"/>
      <c r="D12" s="417"/>
      <c r="E12" s="28"/>
    </row>
    <row r="13" spans="1:5">
      <c r="A13" s="32" t="s">
        <v>1911</v>
      </c>
      <c r="B13" s="506" t="s">
        <v>2050</v>
      </c>
      <c r="C13" s="23" t="s">
        <v>19</v>
      </c>
      <c r="D13" s="415" t="inlineStr">
        <is>
          <t xml:space="preserve">לא</t>
        </is>
      </c>
      <c r="E13" s="28"/>
    </row>
    <row r="14" spans="1:5" ht="18.75" customHeight="1">
      <c r="A14" s="32" t="s">
        <v>1912</v>
      </c>
      <c r="B14" s="507"/>
      <c r="C14" s="24" t="s">
        <v>146</v>
      </c>
      <c r="D14" s="418" t="inlineStr">
        <is>
          <t xml:space="preserve">לא</t>
        </is>
      </c>
      <c r="E14" s="28"/>
    </row>
    <row r="15" spans="1:5" ht="18.75" customHeight="1">
      <c r="A15" s="32" t="s">
        <v>1913</v>
      </c>
      <c r="B15" s="507"/>
      <c r="C15" s="24" t="s">
        <v>1853</v>
      </c>
      <c r="D15" s="418" t="inlineStr">
        <is>
          <t xml:space="preserve">לא</t>
        </is>
      </c>
      <c r="E15" s="28"/>
    </row>
    <row r="16" spans="1:5" s="386" customFormat="1" ht="22.5" customHeight="1" thickBot="1">
      <c r="A16" s="32" t="s">
        <v>1914</v>
      </c>
      <c r="B16" s="508"/>
      <c r="C16" s="399" t="s">
        <v>1854</v>
      </c>
      <c r="D16" s="419" t="inlineStr">
        <is>
          <t xml:space="preserve">לא</t>
        </is>
      </c>
      <c r="E16" s="28"/>
    </row>
    <row r="17" spans="1:5" ht="20.25">
      <c r="A17" s="32"/>
      <c r="C17" s="121" t="s">
        <v>105</v>
      </c>
      <c r="E17" s="28"/>
    </row>
    <row r="18" spans="1:5" ht="15" customHeight="1" thickBot="1">
      <c r="A18" s="32"/>
      <c r="B18" s="509" t="s">
        <v>1598</v>
      </c>
      <c r="C18" s="509"/>
      <c r="D18" s="509"/>
      <c r="E18" s="28"/>
    </row>
    <row r="19" spans="1:5" ht="36.75" customHeight="1" thickBot="1">
      <c r="A19" s="32"/>
      <c r="B19" s="510" t="str">
        <f>'חישובים ונתונים'!B12</f>
        <v>בלמס - מידע פנימי</v>
      </c>
      <c r="C19" s="511"/>
      <c r="D19" s="512"/>
      <c r="E19" s="28"/>
    </row>
    <row r="20" spans="1:5" ht="23.25" customHeight="1">
      <c r="A20" s="32"/>
      <c r="B20" s="6"/>
      <c r="C20" s="6"/>
      <c r="D20" s="6"/>
      <c r="E20" s="28"/>
    </row>
    <row r="21" spans="1:5" ht="23.25" customHeight="1" thickBot="1">
      <c r="A21" s="32"/>
      <c r="B21" s="513" t="s">
        <v>1823</v>
      </c>
      <c r="C21" s="513"/>
      <c r="D21" s="513"/>
      <c r="E21" s="28"/>
    </row>
    <row r="22" spans="1:5" ht="23.25" customHeight="1">
      <c r="A22" s="32"/>
      <c r="B22" s="12" t="s">
        <v>106</v>
      </c>
      <c r="C22" s="275" t="s">
        <v>1596</v>
      </c>
      <c r="D22" s="12" t="s">
        <v>6</v>
      </c>
      <c r="E22" s="28"/>
    </row>
    <row r="23" spans="1:5" ht="15">
      <c r="A23" s="32"/>
      <c r="B23" s="290" t="s">
        <v>1592</v>
      </c>
      <c r="C23" s="18" t="s">
        <v>1597</v>
      </c>
      <c r="D23" s="17">
        <v>1</v>
      </c>
      <c r="E23" s="28"/>
    </row>
    <row r="24" spans="1:5" ht="15">
      <c r="A24" s="32"/>
      <c r="B24" s="291" t="s">
        <v>1593</v>
      </c>
      <c r="C24" s="18" t="s">
        <v>1856</v>
      </c>
      <c r="D24" s="17">
        <v>2</v>
      </c>
      <c r="E24" s="28"/>
    </row>
    <row r="25" spans="1:5" ht="15">
      <c r="A25" s="28"/>
      <c r="B25" s="292" t="s">
        <v>1594</v>
      </c>
      <c r="C25" s="18" t="s">
        <v>1613</v>
      </c>
      <c r="D25" s="17">
        <v>3</v>
      </c>
      <c r="E25" s="28"/>
    </row>
    <row r="26" spans="1:5" ht="15.75" thickBot="1">
      <c r="A26" s="28"/>
      <c r="B26" s="293" t="s">
        <v>1595</v>
      </c>
      <c r="C26" s="18" t="s">
        <v>1613</v>
      </c>
      <c r="D26" s="19">
        <v>4</v>
      </c>
      <c r="E26" s="28"/>
    </row>
    <row r="27" spans="1:5">
      <c r="A27" s="28"/>
      <c r="B27" s="6"/>
      <c r="C27" s="6"/>
      <c r="D27" s="6"/>
      <c r="E27" s="28"/>
    </row>
    <row r="28" spans="1:5" ht="21" thickBot="1">
      <c r="A28" s="28"/>
      <c r="B28" s="509" t="s">
        <v>1591</v>
      </c>
      <c r="C28" s="509"/>
      <c r="D28" s="509"/>
      <c r="E28" s="28"/>
    </row>
    <row r="29" spans="1:5" ht="15">
      <c r="A29" s="28"/>
      <c r="B29" s="12" t="s">
        <v>7</v>
      </c>
      <c r="C29" s="275" t="s">
        <v>7</v>
      </c>
      <c r="D29" s="12" t="s">
        <v>6</v>
      </c>
      <c r="E29" s="28"/>
    </row>
    <row r="30" spans="1:5" ht="15">
      <c r="A30" s="28"/>
      <c r="B30" s="48" t="s">
        <v>8</v>
      </c>
      <c r="C30" s="18" t="s">
        <v>9</v>
      </c>
      <c r="D30" s="17">
        <v>1</v>
      </c>
      <c r="E30" s="28"/>
    </row>
    <row r="31" spans="1:5" ht="28.5">
      <c r="A31" s="28"/>
      <c r="B31" s="49" t="s">
        <v>10</v>
      </c>
      <c r="C31" s="18" t="s">
        <v>2051</v>
      </c>
      <c r="D31" s="17">
        <v>2</v>
      </c>
      <c r="E31" s="28"/>
    </row>
    <row r="32" spans="1:5" ht="28.5">
      <c r="A32" s="28"/>
      <c r="B32" s="50" t="s">
        <v>11</v>
      </c>
      <c r="C32" s="18" t="s">
        <v>2052</v>
      </c>
      <c r="D32" s="17">
        <v>3</v>
      </c>
      <c r="E32" s="28"/>
    </row>
    <row r="33" spans="1:5" ht="29.25" thickBot="1">
      <c r="A33" s="28"/>
      <c r="B33" s="51" t="s">
        <v>12</v>
      </c>
      <c r="C33" s="20" t="s">
        <v>2053</v>
      </c>
      <c r="D33" s="19">
        <v>4</v>
      </c>
      <c r="E33" s="28"/>
    </row>
    <row r="34" spans="1:5" ht="15">
      <c r="A34" s="28"/>
      <c r="B34" s="21"/>
      <c r="C34" s="22"/>
      <c r="D34" s="21"/>
      <c r="E34" s="28"/>
    </row>
    <row r="35" spans="1:5">
      <c r="A35" s="28"/>
      <c r="B35" s="28"/>
      <c r="C35" s="28"/>
      <c r="D35" s="29"/>
      <c r="E35" s="28"/>
    </row>
    <row r="36" spans="1:5">
      <c r="A36" s="28"/>
      <c r="B36" s="28"/>
      <c r="C36" s="28"/>
      <c r="D36" s="29"/>
      <c r="E36" s="28"/>
    </row>
  </sheetData>
  <sheetProtection algorithmName="SHA-512" hashValue="zsrkjHL04IZh8wCC4KQNucLS6r0PfGvVUMPTnHo6aJ1QT4RmU4XiCRml74nAwso0Pf4o2+2fW6R5KYdV2XE6vw==" saltValue="D1E9xvrwNRLzdgFDrVhQ1w==" spinCount="100000" sheet="1" formatCells="0" formatColumns="0" formatRows="0" insertColumns="0" insertRows="0" sort="0" autoFilter="0" pivotTables="0"/>
  <mergeCells count="7">
    <mergeCell ref="B6:B7"/>
    <mergeCell ref="B9:B11"/>
    <mergeCell ref="B13:B16"/>
    <mergeCell ref="B28:D28"/>
    <mergeCell ref="B19:D19"/>
    <mergeCell ref="B18:D18"/>
    <mergeCell ref="B21:D21"/>
  </mergeCells>
  <phoneticPr fontId="11" type="noConversion"/>
  <conditionalFormatting sqref="B19">
    <cfRule type="containsText" dxfId="419" priority="6" operator="containsText" text="סתירה">
      <formula>NOT(ISERROR(SEARCH("סתירה",B19)))</formula>
    </cfRule>
    <cfRule type="containsText" dxfId="418" priority="7" operator="containsText" text="בלמס - מידע פנימי חסוי">
      <formula>NOT(ISERROR(SEARCH("בלמס - מידע פנימי חסוי",B19)))</formula>
    </cfRule>
    <cfRule type="containsText" dxfId="417" priority="8" operator="containsText" text="בלמס - מידע פנימי מוגבל">
      <formula>NOT(ISERROR(SEARCH("בלמס - מידע פנימי מוגבל",B19)))</formula>
    </cfRule>
    <cfRule type="containsText" dxfId="416" priority="11" operator="containsText" text="בלמס - מידע פנימי">
      <formula>NOT(ISERROR(SEARCH("בלמס - מידע פנימי",B19)))</formula>
    </cfRule>
    <cfRule type="containsText" dxfId="415" priority="15" operator="containsText" text="בלמס - מידע פומבי">
      <formula>NOT(ISERROR(SEARCH("בלמס - מידע פומבי",B19)))</formula>
    </cfRule>
  </conditionalFormatting>
  <conditionalFormatting sqref="B19:D19">
    <cfRule type="containsText" dxfId="414" priority="1" operator="containsText" text="התאמה">
      <formula>NOT(ISERROR(SEARCH("התאמה",B19)))</formula>
    </cfRule>
    <cfRule type="containsText" dxfId="413" priority="2" operator="containsText" text="שמור צהוב - מידע פנימי חסוי">
      <formula>NOT(ISERROR(SEARCH("שמור צהוב - מידע פנימי חסוי",B19)))</formula>
    </cfRule>
    <cfRule type="containsText" dxfId="412" priority="3" operator="containsText" text="שמור צהוב - מידע פנימי מוגבל">
      <formula>NOT(ISERROR(SEARCH("שמור צהוב - מידע פנימי מוגבל",B19)))</formula>
    </cfRule>
    <cfRule type="containsText" dxfId="411" priority="4" operator="containsText" text="שמור צהוב - מידע פנימי">
      <formula>NOT(ISERROR(SEARCH("שמור צהוב - מידע פנימי",B19)))</formula>
    </cfRule>
    <cfRule type="containsText" dxfId="410" priority="5" operator="containsText" text="שמור צהוב - מידע פומבי">
      <formula>NOT(ISERROR(SEARCH("שמור צהוב - מידע פומבי",B19)))</formula>
    </cfRule>
    <cfRule type="containsText" dxfId="409" priority="16" operator="containsText" text="מנחה">
      <formula>NOT(ISERROR(SEARCH("מנחה",B19)))</formula>
    </cfRule>
  </conditionalFormatting>
  <dataValidations count="2">
    <dataValidation type="list" allowBlank="1" showInputMessage="1" showErrorMessage="1" sqref="D13:D16 D9:D11 D7" ns2:uid="{FB97AAE6-544D-4715-B242-29CB8301505A}">
      <formula1>"כן, לא"</formula1>
    </dataValidation>
    <dataValidation type="list" allowBlank="1" showInputMessage="1" showErrorMessage="1" sqref="D6" ns2:uid="{225424D0-0E5E-4081-B33D-DFAC8E264EF6}">
      <formula1>"בלמס, שמור צהוב, שמור אדום, סודי"</formula1>
    </dataValidation>
  </dataValidation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2D657-F7EE-444D-A5E9-BD0DF38E4F7D}">
  <sheetPr codeName="Sheet3"/>
  <dimension ref="A1:K39"/>
  <sheetViews>
    <sheetView rightToLeft="1" topLeftCell="A23" zoomScale="70" zoomScaleNormal="70" workbookViewId="0">
      <selection activeCell="I26" sqref="I26"/>
    </sheetView>
  </sheetViews>
  <sheetFormatPr defaultColWidth="0" defaultRowHeight="14.25" zeroHeight="1"/>
  <cols>
    <col min="1" max="1" width="9.125" style="428" customWidth="1"/>
    <col min="2" max="2" width="28.375" style="1" bestFit="1" customWidth="1"/>
    <col min="3" max="3" width="15.625" style="1" customWidth="1"/>
    <col min="4" max="8" width="15.625" style="28" customWidth="1"/>
    <col min="9" max="9" width="15.625" style="1" customWidth="1"/>
    <col min="10" max="10" width="15.5" style="1" bestFit="1" customWidth="1"/>
    <col min="11" max="11" width="9.125" style="1" customWidth="1"/>
    <col min="12" max="16384" width="9.125" style="1" hidden="1"/>
  </cols>
  <sheetData>
    <row r="1" spans="1:11">
      <c r="A1" s="32"/>
      <c r="B1" s="28"/>
      <c r="C1" s="28"/>
      <c r="I1" s="28"/>
      <c r="J1" s="28"/>
      <c r="K1" s="28"/>
    </row>
    <row r="2" spans="1:11">
      <c r="A2" s="32"/>
      <c r="B2" s="28"/>
      <c r="C2" s="28"/>
      <c r="I2" s="28"/>
      <c r="J2" s="28"/>
      <c r="K2" s="28"/>
    </row>
    <row r="3" spans="1:11">
      <c r="A3" s="32"/>
      <c r="B3" s="28"/>
      <c r="C3" s="28"/>
      <c r="I3" s="28"/>
      <c r="J3" s="28"/>
      <c r="K3" s="28"/>
    </row>
    <row r="4" spans="1:11" ht="21" thickBot="1">
      <c r="A4" s="32"/>
      <c r="B4" s="513" t="s">
        <v>142</v>
      </c>
      <c r="C4" s="513"/>
      <c r="D4" s="513"/>
      <c r="E4" s="513"/>
      <c r="F4" s="513"/>
      <c r="G4" s="513"/>
      <c r="H4" s="513"/>
      <c r="I4" s="513"/>
      <c r="J4" s="513"/>
      <c r="K4" s="28"/>
    </row>
    <row r="5" spans="1:11" ht="15.75" thickBot="1">
      <c r="A5" s="32"/>
      <c r="B5" s="12" t="s">
        <v>107</v>
      </c>
      <c r="C5" s="524" t="s">
        <v>108</v>
      </c>
      <c r="D5" s="524"/>
      <c r="E5" s="524"/>
      <c r="F5" s="524"/>
      <c r="G5" s="524"/>
      <c r="H5" s="524"/>
      <c r="I5" s="525"/>
      <c r="J5" s="33" t="s">
        <v>40</v>
      </c>
      <c r="K5" s="28"/>
    </row>
    <row r="6" spans="1:11" ht="15">
      <c r="A6" s="32"/>
      <c r="B6" s="44" t="s">
        <v>41</v>
      </c>
      <c r="C6" s="518" t="s">
        <v>147</v>
      </c>
      <c r="D6" s="519"/>
      <c r="E6" s="519"/>
      <c r="F6" s="519"/>
      <c r="G6" s="519"/>
      <c r="H6" s="519"/>
      <c r="I6" s="520"/>
      <c r="J6" s="9">
        <v>1</v>
      </c>
      <c r="K6" s="28"/>
    </row>
    <row r="7" spans="1:11" ht="15">
      <c r="A7" s="32"/>
      <c r="B7" s="45" t="s">
        <v>42</v>
      </c>
      <c r="C7" s="521" t="s">
        <v>1824</v>
      </c>
      <c r="D7" s="522"/>
      <c r="E7" s="522"/>
      <c r="F7" s="522"/>
      <c r="G7" s="522"/>
      <c r="H7" s="522"/>
      <c r="I7" s="523"/>
      <c r="J7" s="10">
        <v>2</v>
      </c>
      <c r="K7" s="28"/>
    </row>
    <row r="8" spans="1:11" ht="15">
      <c r="A8" s="32"/>
      <c r="B8" s="46" t="s">
        <v>43</v>
      </c>
      <c r="C8" s="521" t="s">
        <v>1825</v>
      </c>
      <c r="D8" s="522"/>
      <c r="E8" s="522"/>
      <c r="F8" s="522"/>
      <c r="G8" s="522"/>
      <c r="H8" s="522"/>
      <c r="I8" s="523"/>
      <c r="J8" s="10">
        <v>3</v>
      </c>
      <c r="K8" s="28"/>
    </row>
    <row r="9" spans="1:11" ht="15.75" thickBot="1">
      <c r="A9" s="32"/>
      <c r="B9" s="47" t="s">
        <v>44</v>
      </c>
      <c r="C9" s="514" t="s">
        <v>148</v>
      </c>
      <c r="D9" s="515"/>
      <c r="E9" s="515"/>
      <c r="F9" s="515"/>
      <c r="G9" s="515"/>
      <c r="H9" s="515"/>
      <c r="I9" s="516"/>
      <c r="J9" s="11">
        <v>4</v>
      </c>
      <c r="K9" s="28"/>
    </row>
    <row r="10" spans="1:11">
      <c r="A10" s="32"/>
      <c r="D10" s="1"/>
      <c r="E10" s="1"/>
      <c r="F10" s="1"/>
      <c r="G10" s="1"/>
      <c r="H10" s="1"/>
      <c r="K10" s="28"/>
    </row>
    <row r="11" spans="1:11">
      <c r="A11" s="32"/>
      <c r="D11" s="1"/>
      <c r="E11" s="1"/>
      <c r="F11" s="1"/>
      <c r="G11" s="1"/>
      <c r="H11" s="1"/>
      <c r="K11" s="28"/>
    </row>
    <row r="12" spans="1:11" ht="20.25">
      <c r="A12" s="32"/>
      <c r="B12" s="513" t="s">
        <v>143</v>
      </c>
      <c r="C12" s="513"/>
      <c r="D12" s="513"/>
      <c r="E12" s="513"/>
      <c r="F12" s="513"/>
      <c r="G12" s="513"/>
      <c r="H12" s="513"/>
      <c r="I12" s="513"/>
      <c r="J12" s="513"/>
      <c r="K12" s="28"/>
    </row>
    <row r="13" spans="1:11" ht="18.75" thickBot="1">
      <c r="A13" s="32"/>
      <c r="B13" s="517" t="s">
        <v>66</v>
      </c>
      <c r="C13" s="517"/>
      <c r="D13" s="517"/>
      <c r="E13" s="517"/>
      <c r="F13" s="517"/>
      <c r="G13" s="517"/>
      <c r="H13" s="517"/>
      <c r="I13" s="517"/>
      <c r="J13" s="517"/>
      <c r="K13" s="28"/>
    </row>
    <row r="14" spans="1:11" ht="60.75" thickBot="1">
      <c r="A14" s="32"/>
      <c r="B14" s="34"/>
      <c r="C14" s="122" t="s">
        <v>1826</v>
      </c>
      <c r="D14" s="122" t="s">
        <v>1832</v>
      </c>
      <c r="E14" s="122" t="s">
        <v>47</v>
      </c>
      <c r="F14" s="122" t="s">
        <v>1833</v>
      </c>
      <c r="G14" s="122" t="s">
        <v>1841</v>
      </c>
      <c r="H14" s="122" t="s">
        <v>1846</v>
      </c>
      <c r="I14" s="123" t="s">
        <v>1827</v>
      </c>
      <c r="J14" s="122" t="s">
        <v>141</v>
      </c>
      <c r="K14" s="28"/>
    </row>
    <row r="15" spans="1:11" ht="27.75" thickBot="1">
      <c r="A15" s="32" t="s">
        <v>1903</v>
      </c>
      <c r="B15" s="87" t="s">
        <v>152</v>
      </c>
      <c r="C15" s="478" t="s">
        <v>63</v>
      </c>
      <c r="D15" s="478" t="s">
        <v>35</v>
      </c>
      <c r="E15" s="478" t="s">
        <v>28</v>
      </c>
      <c r="F15" s="478" t="s">
        <v>28</v>
      </c>
      <c r="G15" s="478" t="s">
        <v>63</v>
      </c>
      <c r="H15" s="478" t="s">
        <v>37</v>
      </c>
      <c r="I15" s="479" t="s">
        <v>63</v>
      </c>
      <c r="J15" s="480" t="str">
        <f>'חישובים ונתונים'!S42</f>
        <v>מוגבלת</v>
      </c>
      <c r="K15" s="28"/>
    </row>
    <row r="16" spans="1:11" ht="27.75" thickBot="1">
      <c r="A16" s="32" t="s">
        <v>1904</v>
      </c>
      <c r="B16" s="87" t="s">
        <v>150</v>
      </c>
      <c r="C16" s="478" t="s">
        <v>63</v>
      </c>
      <c r="D16" s="478" t="s">
        <v>35</v>
      </c>
      <c r="E16" s="478" t="s">
        <v>28</v>
      </c>
      <c r="F16" s="478" t="s">
        <v>63</v>
      </c>
      <c r="G16" s="478" t="s">
        <v>63</v>
      </c>
      <c r="H16" s="478" t="s">
        <v>37</v>
      </c>
      <c r="I16" s="479" t="s">
        <v>63</v>
      </c>
      <c r="J16" s="480" t="str">
        <f>'חישובים ונתונים'!S43</f>
        <v>מוגבלת</v>
      </c>
      <c r="K16" s="28"/>
    </row>
    <row r="17" spans="1:11" ht="27.75" thickBot="1">
      <c r="A17" s="32" t="s">
        <v>1905</v>
      </c>
      <c r="B17" s="73" t="s">
        <v>151</v>
      </c>
      <c r="C17" s="481" t="s">
        <v>63</v>
      </c>
      <c r="D17" s="481" t="s">
        <v>35</v>
      </c>
      <c r="E17" s="481" t="s">
        <v>63</v>
      </c>
      <c r="F17" s="481" t="s">
        <v>63</v>
      </c>
      <c r="G17" s="481" t="s">
        <v>63</v>
      </c>
      <c r="H17" s="481" t="s">
        <v>36</v>
      </c>
      <c r="I17" s="482" t="s">
        <v>29</v>
      </c>
      <c r="J17" s="483" t="str">
        <f>'חישובים ונתונים'!S44</f>
        <v>בינונית</v>
      </c>
      <c r="K17" s="28"/>
    </row>
    <row r="18" spans="1:11" ht="66.75" customHeight="1" thickBot="1">
      <c r="A18" s="32"/>
      <c r="B18" s="74" t="s">
        <v>77</v>
      </c>
      <c r="C18" s="75"/>
      <c r="D18" s="76"/>
      <c r="E18" s="76"/>
      <c r="F18" s="76"/>
      <c r="G18" s="76"/>
      <c r="H18" s="76"/>
      <c r="I18" s="77"/>
      <c r="K18" s="28"/>
    </row>
    <row r="19" spans="1:11" ht="14.45" customHeight="1">
      <c r="A19" s="32"/>
      <c r="B19" s="35"/>
      <c r="D19" s="1"/>
      <c r="E19" s="1"/>
      <c r="F19" s="526" t="s">
        <v>79</v>
      </c>
      <c r="G19" s="526"/>
      <c r="H19" s="1"/>
      <c r="K19" s="28"/>
    </row>
    <row r="20" spans="1:11" ht="14.45" customHeight="1">
      <c r="A20" s="32"/>
      <c r="B20" s="35"/>
      <c r="D20" s="1"/>
      <c r="E20" s="1"/>
      <c r="F20" s="527"/>
      <c r="G20" s="527"/>
      <c r="H20" s="1"/>
      <c r="K20" s="28"/>
    </row>
    <row r="21" spans="1:11" ht="21" thickBot="1">
      <c r="A21" s="32"/>
      <c r="B21" s="513" t="s">
        <v>109</v>
      </c>
      <c r="C21" s="513"/>
      <c r="D21" s="513"/>
      <c r="E21" s="513"/>
      <c r="F21" s="513"/>
      <c r="G21" s="513"/>
      <c r="H21" s="513"/>
      <c r="I21" s="513"/>
      <c r="J21" s="513"/>
      <c r="K21" s="28"/>
    </row>
    <row r="22" spans="1:11" ht="18.75" thickBot="1">
      <c r="A22" s="32"/>
      <c r="B22" s="528" t="str">
        <f>'חישובים ונתונים'!D39</f>
        <v xml:space="preserve"> מידת הנזק הפוטנציאלי הצפוי למשרד הוא - נזק בינוני</v>
      </c>
      <c r="C22" s="529"/>
      <c r="D22" s="529"/>
      <c r="E22" s="529"/>
      <c r="F22" s="529"/>
      <c r="G22" s="529"/>
      <c r="H22" s="529"/>
      <c r="I22" s="529"/>
      <c r="J22" s="530"/>
      <c r="K22" s="28"/>
    </row>
    <row r="23" spans="1:11">
      <c r="A23" s="32"/>
      <c r="D23" s="1"/>
      <c r="E23" s="1"/>
      <c r="F23" s="1"/>
      <c r="G23" s="1"/>
      <c r="H23" s="1"/>
      <c r="K23" s="28"/>
    </row>
    <row r="24" spans="1:11">
      <c r="A24" s="32"/>
      <c r="D24" s="1"/>
      <c r="E24" s="1"/>
      <c r="F24" s="1"/>
      <c r="G24" s="1"/>
      <c r="H24" s="1"/>
      <c r="K24" s="28"/>
    </row>
    <row r="25" spans="1:11" ht="21" thickBot="1">
      <c r="A25" s="32"/>
      <c r="B25" s="513" t="s">
        <v>65</v>
      </c>
      <c r="C25" s="513"/>
      <c r="D25" s="513"/>
      <c r="E25" s="513"/>
      <c r="F25" s="513"/>
      <c r="G25" s="513"/>
      <c r="H25" s="513"/>
      <c r="I25" s="513"/>
      <c r="J25" s="513"/>
      <c r="K25" s="28"/>
    </row>
    <row r="26" spans="1:11" ht="51">
      <c r="A26" s="32"/>
      <c r="B26" s="127" t="s">
        <v>45</v>
      </c>
      <c r="C26" s="102" t="s">
        <v>1828</v>
      </c>
      <c r="D26" s="102" t="s">
        <v>1832</v>
      </c>
      <c r="E26" s="102" t="s">
        <v>47</v>
      </c>
      <c r="F26" s="102" t="s">
        <v>1833</v>
      </c>
      <c r="G26" s="102" t="s">
        <v>1841</v>
      </c>
      <c r="H26" s="102" t="s">
        <v>1846</v>
      </c>
      <c r="I26" s="128" t="s">
        <v>1827</v>
      </c>
      <c r="K26" s="28"/>
    </row>
    <row r="27" spans="1:11" ht="38.25">
      <c r="A27" s="32"/>
      <c r="B27" s="129" t="s">
        <v>46</v>
      </c>
      <c r="C27" s="126" t="s">
        <v>1829</v>
      </c>
      <c r="D27" s="126" t="s">
        <v>111</v>
      </c>
      <c r="E27" s="126" t="s">
        <v>112</v>
      </c>
      <c r="F27" s="126" t="s">
        <v>1916</v>
      </c>
      <c r="G27" s="126" t="s">
        <v>114</v>
      </c>
      <c r="H27" s="126" t="s">
        <v>115</v>
      </c>
      <c r="I27" s="130" t="s">
        <v>116</v>
      </c>
      <c r="K27" s="28"/>
    </row>
    <row r="28" spans="1:11" ht="51.75" thickBot="1">
      <c r="A28" s="32"/>
      <c r="B28" s="131" t="s">
        <v>42</v>
      </c>
      <c r="C28" s="126" t="s">
        <v>1857</v>
      </c>
      <c r="D28" s="126" t="s">
        <v>118</v>
      </c>
      <c r="E28" s="126" t="s">
        <v>119</v>
      </c>
      <c r="F28" s="126" t="s">
        <v>1917</v>
      </c>
      <c r="G28" s="126" t="s">
        <v>121</v>
      </c>
      <c r="H28" s="126" t="s">
        <v>1920</v>
      </c>
      <c r="I28" s="130" t="s">
        <v>122</v>
      </c>
      <c r="K28" s="28"/>
    </row>
    <row r="29" spans="1:11" ht="64.5" thickBot="1">
      <c r="A29" s="32"/>
      <c r="B29" s="132" t="s">
        <v>43</v>
      </c>
      <c r="C29" s="126" t="s">
        <v>1858</v>
      </c>
      <c r="D29" s="126" t="s">
        <v>124</v>
      </c>
      <c r="E29" s="126" t="s">
        <v>125</v>
      </c>
      <c r="F29" s="486" t="s">
        <v>2090</v>
      </c>
      <c r="G29" s="126" t="s">
        <v>149</v>
      </c>
      <c r="H29" s="126" t="s">
        <v>1921</v>
      </c>
      <c r="I29" s="130" t="s">
        <v>128</v>
      </c>
      <c r="K29" s="28"/>
    </row>
    <row r="30" spans="1:11" ht="102.75" thickBot="1">
      <c r="A30" s="32"/>
      <c r="B30" s="133" t="s">
        <v>44</v>
      </c>
      <c r="C30" s="134" t="s">
        <v>1859</v>
      </c>
      <c r="D30" s="134" t="s">
        <v>1830</v>
      </c>
      <c r="E30" s="134" t="s">
        <v>131</v>
      </c>
      <c r="F30" s="134" t="s">
        <v>1919</v>
      </c>
      <c r="G30" s="134" t="s">
        <v>1915</v>
      </c>
      <c r="H30" s="134" t="s">
        <v>1922</v>
      </c>
      <c r="I30" s="135" t="s">
        <v>76</v>
      </c>
      <c r="K30" s="28"/>
    </row>
    <row r="31" spans="1:11">
      <c r="A31" s="32"/>
      <c r="D31" s="101"/>
      <c r="E31" s="100"/>
      <c r="F31" s="100"/>
      <c r="G31" s="100"/>
      <c r="H31" s="100"/>
      <c r="K31" s="28"/>
    </row>
    <row r="32" spans="1:11">
      <c r="A32" s="32"/>
      <c r="D32" s="101"/>
      <c r="E32" s="100"/>
      <c r="F32" s="100"/>
      <c r="G32" s="100"/>
      <c r="H32" s="100"/>
      <c r="K32" s="28"/>
    </row>
    <row r="33" spans="1:11">
      <c r="A33" s="32"/>
      <c r="D33" s="101"/>
      <c r="E33" s="100"/>
      <c r="F33" s="100"/>
      <c r="G33" s="100"/>
      <c r="H33" s="100"/>
      <c r="K33" s="28"/>
    </row>
    <row r="34" spans="1:11">
      <c r="A34" s="32"/>
      <c r="D34" s="101"/>
      <c r="E34" s="100"/>
      <c r="F34" s="100"/>
      <c r="G34" s="100"/>
      <c r="H34" s="100"/>
      <c r="K34" s="28"/>
    </row>
    <row r="35" spans="1:11">
      <c r="A35" s="32"/>
      <c r="D35" s="101"/>
      <c r="E35" s="100"/>
      <c r="F35" s="100"/>
      <c r="G35" s="100"/>
      <c r="H35" s="100"/>
      <c r="K35" s="28"/>
    </row>
    <row r="36" spans="1:11">
      <c r="A36" s="32"/>
      <c r="D36" s="101"/>
      <c r="E36" s="100"/>
      <c r="F36" s="100"/>
      <c r="G36" s="100"/>
      <c r="H36" s="100"/>
      <c r="K36" s="28"/>
    </row>
    <row r="37" spans="1:11">
      <c r="A37" s="32"/>
      <c r="B37" s="28"/>
      <c r="C37" s="28"/>
      <c r="D37" s="52"/>
      <c r="E37" s="52"/>
      <c r="F37" s="53"/>
      <c r="G37" s="53"/>
      <c r="H37" s="53"/>
      <c r="I37" s="28"/>
      <c r="J37" s="28"/>
      <c r="K37" s="28"/>
    </row>
    <row r="38" spans="1:11">
      <c r="A38" s="32"/>
      <c r="B38" s="28"/>
      <c r="C38" s="28"/>
      <c r="D38" s="54"/>
      <c r="E38" s="52"/>
      <c r="F38" s="53"/>
      <c r="G38" s="53"/>
      <c r="H38" s="53"/>
      <c r="I38" s="28"/>
      <c r="J38" s="28"/>
      <c r="K38" s="28"/>
    </row>
    <row r="39" spans="1:11">
      <c r="A39" s="32"/>
      <c r="B39" s="28"/>
      <c r="C39" s="28"/>
      <c r="I39" s="28"/>
      <c r="J39" s="28"/>
      <c r="K39" s="28"/>
    </row>
  </sheetData>
  <sheetProtection algorithmName="SHA-512" hashValue="5n2QPTtDQfeyYkqQl0ZZ+fOn9AuHgfxrTiIPSXfpMVlOR6svBxgqO7aapk87xNo/v2R3Ct03lSQ3S6pBwTZ85g==" saltValue="Lg4fPCr6sA7sJ5j6LnOSYQ==" spinCount="100000" sheet="1" objects="1" scenarios="1"/>
  <mergeCells count="12">
    <mergeCell ref="F19:G20"/>
    <mergeCell ref="B12:J12"/>
    <mergeCell ref="B22:J22"/>
    <mergeCell ref="B21:J21"/>
    <mergeCell ref="B25:J25"/>
    <mergeCell ref="C9:I9"/>
    <mergeCell ref="B13:J13"/>
    <mergeCell ref="B4:J4"/>
    <mergeCell ref="C6:I6"/>
    <mergeCell ref="C7:I7"/>
    <mergeCell ref="C5:I5"/>
    <mergeCell ref="C8:I8"/>
  </mergeCells>
  <phoneticPr fontId="11" type="noConversion"/>
  <conditionalFormatting sqref="B22:J22">
    <cfRule type="containsText" dxfId="408" priority="9" operator="containsText" text="חמור">
      <formula>NOT(ISERROR(SEARCH("חמור",B22)))</formula>
    </cfRule>
    <cfRule type="containsText" dxfId="407" priority="10" operator="containsText" text="בינוני">
      <formula>NOT(ISERROR(SEARCH("בינוני",B22)))</formula>
    </cfRule>
    <cfRule type="containsText" dxfId="406" priority="11" operator="containsText" text="מוגבל">
      <formula>NOT(ISERROR(SEARCH("מוגבל",B22)))</formula>
    </cfRule>
    <cfRule type="containsText" dxfId="405" priority="12" operator="containsText" text="מינימלי">
      <formula>NOT(ISERROR(SEARCH("מינימלי",B22)))</formula>
    </cfRule>
  </conditionalFormatting>
  <conditionalFormatting sqref="C15:J17">
    <cfRule type="containsText" dxfId="404" priority="1" operator="containsText" text="חמור">
      <formula>NOT(ISERROR(SEARCH("חמור",C15)))</formula>
    </cfRule>
    <cfRule type="containsText" dxfId="403" priority="2" operator="containsText" text="בינוני">
      <formula>NOT(ISERROR(SEARCH("בינוני",C15)))</formula>
    </cfRule>
    <cfRule type="containsText" dxfId="402" priority="3" operator="containsText" text="מוגבל">
      <formula>NOT(ISERROR(SEARCH("מוגבל",C15)))</formula>
    </cfRule>
    <cfRule type="beginsWith" dxfId="401" priority="4" operator="beginsWith" text="מינימלי">
      <formula>LEFT(C15,LEN("מינימלי"))="מינימלי"</formula>
    </cfRule>
  </conditionalFormatting>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3">
        <x14:dataValidation type="list" allowBlank="1" showInputMessage="1" showErrorMessage="1" xr:uid="{93355377-14F0-4812-B801-CE2115FB505A}">
          <x14:formula1>
            <xm:f>'חישובים ונתונים'!$K$12:$K$15</xm:f>
          </x14:formula1>
          <xm:sqref>E15:G17 I15:I17 C15:C17</xm:sqref>
        </x14:dataValidation>
        <x14:dataValidation type="list" allowBlank="1" showInputMessage="1" showErrorMessage="1" xr:uid="{F7BBD0C0-04F8-4362-A9DC-7B587314DE96}">
          <x14:formula1>
            <xm:f>'חישובים ונתונים'!$K$17:$K$20</xm:f>
          </x14:formula1>
          <xm:sqref>D15:D17</xm:sqref>
        </x14:dataValidation>
        <x14:dataValidation type="list" allowBlank="1" showInputMessage="1" showErrorMessage="1" xr:uid="{95A58467-1377-4F81-83C8-6E2C11C6F136}">
          <x14:formula1>
            <xm:f>'חישובים ונתונים'!$K$22:$K$25</xm:f>
          </x14:formula1>
          <xm:sqref>H15:H17</xm:sqref>
        </x14:dataValidation>
      </x14:dataValidations>
    </ext>
  </extLst>
</worksheet>
</file>

<file path=xl/worksheets/sheet9.xml><?xml version="1.0" encoding="utf-8"?>
<worksheet xmlns="http://schemas.openxmlformats.org/spreadsheetml/2006/main" xmlns:ns1="http://schemas.openxmlformats.org/markup-compatibility/2006" xmlns:ns2="http://schemas.microsoft.com/office/spreadsheetml/2014/revision" xmlns:ns4="http://schemas.microsoft.com/office/spreadsheetml/2009/9/main" xmlns:ns5="http://schemas.microsoft.com/office/excel/2006/main" xmlns:r="http://schemas.openxmlformats.org/officeDocument/2006/relationships" ns1:Ignorable="x14ac xr xr2 xr3" ns2:uid="{EDE97CC0-0234-4992-9752-F0626B0C6BA9}">
  <sheetPr codeName="Sheet14"/>
  <dimension ref="A1:F39"/>
  <sheetViews>
    <sheetView rightToLeft="1" zoomScale="130" zoomScaleNormal="130" workbookViewId="0">
      <selection activeCell="C35" sqref="C35"/>
    </sheetView>
  </sheetViews>
  <sheetFormatPr defaultColWidth="0" defaultRowHeight="15"/>
  <cols>
    <col min="1" max="1" width="9.125" style="277" customWidth="1"/>
    <col min="2" max="2" width="11" style="4" customWidth="1"/>
    <col min="3" max="3" width="62" style="426" bestFit="1" customWidth="1"/>
    <col min="4" max="4" width="10.875" style="441" customWidth="1"/>
    <col min="5" max="5" width="52.5" style="3" customWidth="1"/>
    <col min="6" max="6" width="9.125" style="3" customWidth="1"/>
    <col min="7" max="16384" width="9.125" style="3" hidden="1"/>
  </cols>
  <sheetData>
    <row r="1" spans="1:6">
      <c r="A1" s="276"/>
      <c r="B1" s="8"/>
      <c r="C1" s="421"/>
      <c r="D1" s="437"/>
      <c r="E1" s="7"/>
      <c r="F1" s="7"/>
    </row>
    <row r="2" spans="1:6">
      <c r="A2" s="276"/>
      <c r="B2" s="8"/>
      <c r="C2" s="421"/>
      <c r="D2" s="437"/>
      <c r="E2" s="7"/>
      <c r="F2" s="7"/>
    </row>
    <row r="3" spans="1:6" ht="20.25">
      <c r="A3" s="276"/>
      <c r="B3" s="534"/>
      <c r="C3" s="534"/>
      <c r="D3" s="534"/>
      <c r="E3" s="297"/>
      <c r="F3" s="7"/>
    </row>
    <row r="4" spans="1:6" ht="21" thickBot="1">
      <c r="A4" s="276"/>
      <c r="B4" s="14"/>
      <c r="C4" s="422" t="s">
        <v>1665</v>
      </c>
      <c r="D4" s="429" t="s">
        <v>22</v>
      </c>
      <c r="E4" s="315" t="s">
        <v>1812</v>
      </c>
      <c r="F4" s="7"/>
    </row>
    <row r="5" spans="1:6">
      <c r="A5" s="276"/>
      <c r="B5" s="535" t="s">
        <v>1673</v>
      </c>
      <c r="C5" s="423" t="s">
        <v>1835</v>
      </c>
      <c r="D5" s="438" t="inlineStr">
        <is>
          <t xml:space="preserve">לא</t>
        </is>
      </c>
      <c r="E5" s="390" t="inlineStr">
        <is>
          <t xml:space="preserve">אין FW/IDS/IPS ייעודי — הגנת רשת ברובד ה-Edge של ספק הענן</t>
        </is>
      </c>
      <c r="F5" s="7"/>
    </row>
    <row r="6" spans="1:6">
      <c r="A6" s="276"/>
      <c r="B6" s="536"/>
      <c r="C6" s="424" t="s">
        <v>1666</v>
      </c>
      <c r="D6" s="439" t="inlineStr">
        <is>
          <t xml:space="preserve">כן</t>
        </is>
      </c>
      <c r="E6" s="420" t="inlineStr">
        <is>
          <t xml:space="preserve">Vercel Firewall / Attack Challenge Mode (אומת בפועל: x-vercel-mitigated: challenge)</t>
        </is>
      </c>
      <c r="F6" s="7"/>
    </row>
    <row r="7" spans="1:6">
      <c r="A7" s="276"/>
      <c r="B7" s="536"/>
      <c r="C7" s="424" t="s">
        <v>1688</v>
      </c>
      <c r="D7" s="439" t="inlineStr">
        <is>
          <t xml:space="preserve">לא</t>
        </is>
      </c>
      <c r="E7" s="420" t="inlineStr">
        <is>
          <t xml:space="preserve">ממשקי API ממומשים כ-Route Handlers של Next.js עם אימות והרשאות בצד השרת</t>
        </is>
      </c>
      <c r="F7" s="7"/>
    </row>
    <row r="8" spans="1:6">
      <c r="A8" s="276"/>
      <c r="B8" s="536"/>
      <c r="C8" s="424" t="s">
        <v>1674</v>
      </c>
      <c r="D8" s="439" t="inlineStr">
        <is>
          <t xml:space="preserve">כן</t>
        </is>
      </c>
      <c r="E8" s="391" t="inlineStr">
        <is>
          <t xml:space="preserve">Vercel Edge Network (CDN)</t>
        </is>
      </c>
      <c r="F8" s="7"/>
    </row>
    <row r="9" spans="1:6" ht="15.75" thickBot="1">
      <c r="A9" s="276"/>
      <c r="B9" s="537"/>
      <c r="C9" s="425" t="s">
        <v>1675</v>
      </c>
      <c r="D9" s="440" t="inlineStr">
        <is>
          <t xml:space="preserve">לא</t>
        </is>
      </c>
      <c r="E9" s="394" t="inlineStr">
        <is>
          <t xml:space="preserve">אין רכיבי IoT במערכת</t>
        </is>
      </c>
      <c r="F9" s="7"/>
    </row>
    <row r="10" spans="1:6" ht="15.75" thickBot="1">
      <c r="A10" s="276"/>
      <c r="E10" s="393"/>
      <c r="F10" s="7"/>
    </row>
    <row r="11" spans="1:6" ht="16.5" customHeight="1">
      <c r="A11" s="276"/>
      <c r="B11" s="531" t="s">
        <v>1684</v>
      </c>
      <c r="C11" s="423" t="s">
        <v>1838</v>
      </c>
      <c r="D11" s="438" t="inlineStr">
        <is>
          <t xml:space="preserve">לא</t>
        </is>
      </c>
      <c r="E11" s="396" t="inlineStr">
        <is>
          <t xml:space="preserve">-</t>
        </is>
      </c>
      <c r="F11" s="7"/>
    </row>
    <row r="12" spans="1:6">
      <c r="A12" s="276"/>
      <c r="B12" s="532"/>
      <c r="C12" s="424" t="s">
        <v>1685</v>
      </c>
      <c r="D12" s="439" t="inlineStr">
        <is>
          <t xml:space="preserve">לא</t>
        </is>
      </c>
      <c r="E12" s="391" t="inlineStr">
        <is>
          <t xml:space="preserve">-</t>
        </is>
      </c>
      <c r="F12" s="7"/>
    </row>
    <row r="13" spans="1:6">
      <c r="A13" s="7"/>
      <c r="B13" s="532"/>
      <c r="C13" s="424" t="s">
        <v>1836</v>
      </c>
      <c r="D13" s="439" t="inlineStr">
        <is>
          <t xml:space="preserve">כן</t>
        </is>
      </c>
      <c r="E13" s="395" t="inlineStr">
        <is>
          <t xml:space="preserve">Neon PostgreSQL — TLS בתעבורה, הצפנה במנוחה, בידוד רשת והרשאות</t>
        </is>
      </c>
      <c r="F13" s="7"/>
    </row>
    <row r="14" spans="1:6" ht="15.75" thickBot="1">
      <c r="A14" s="276"/>
      <c r="B14" s="533"/>
      <c r="C14" s="425" t="s">
        <v>1686</v>
      </c>
      <c r="D14" s="440" t="inlineStr">
        <is>
          <t xml:space="preserve">לא</t>
        </is>
      </c>
      <c r="E14" s="394" t="inlineStr">
        <is>
          <t xml:space="preserve">-</t>
        </is>
      </c>
      <c r="F14" s="7"/>
    </row>
    <row r="15" spans="1:6">
      <c r="A15" s="276"/>
      <c r="C15" s="427"/>
      <c r="F15" s="7"/>
    </row>
    <row r="16" spans="1:6" ht="15.75" thickBot="1">
      <c r="A16" s="276"/>
      <c r="C16" s="427"/>
      <c r="F16" s="7"/>
    </row>
    <row r="17" spans="1:6">
      <c r="A17" s="7"/>
      <c r="B17" s="531" t="s">
        <v>1679</v>
      </c>
      <c r="C17" s="423" t="s">
        <v>1667</v>
      </c>
      <c r="D17" s="438" t="inlineStr">
        <is>
          <t xml:space="preserve">לא</t>
        </is>
      </c>
      <c r="E17" s="396" t="inlineStr">
        <is>
          <t xml:space="preserve">-</t>
        </is>
      </c>
      <c r="F17" s="7"/>
    </row>
    <row r="18" spans="1:6" ht="15.75" thickBot="1">
      <c r="A18" s="7"/>
      <c r="B18" s="533"/>
      <c r="C18" s="425" t="s">
        <v>1860</v>
      </c>
      <c r="D18" s="440" t="inlineStr">
        <is>
          <t xml:space="preserve">לא</t>
        </is>
      </c>
      <c r="E18" s="394" t="inlineStr">
        <is>
          <t xml:space="preserve">פער מזוהה — נדרש CDR/Sandbox להעלאת קבצים (GIS / מפות מדידה) לפני ייצור</t>
        </is>
      </c>
      <c r="F18" s="7"/>
    </row>
    <row r="19" spans="1:6" ht="15.75" thickBot="1">
      <c r="A19" s="7"/>
      <c r="E19" s="393"/>
      <c r="F19" s="7"/>
    </row>
    <row r="20" spans="1:6">
      <c r="A20" s="7"/>
      <c r="B20" s="531" t="s">
        <v>1680</v>
      </c>
      <c r="C20" s="423" t="s">
        <v>1668</v>
      </c>
      <c r="D20" s="438" t="inlineStr">
        <is>
          <t xml:space="preserve">לא</t>
        </is>
      </c>
      <c r="E20" s="392" t="inlineStr">
        <is>
          <t xml:space="preserve">-</t>
        </is>
      </c>
      <c r="F20" s="7"/>
    </row>
    <row r="21" spans="1:6">
      <c r="A21" s="7"/>
      <c r="B21" s="532"/>
      <c r="C21" s="424" t="s">
        <v>1669</v>
      </c>
      <c r="D21" s="439" t="inlineStr">
        <is>
          <t xml:space="preserve">לא</t>
        </is>
      </c>
      <c r="E21" s="420" t="inlineStr">
        <is>
          <t xml:space="preserve">-</t>
        </is>
      </c>
      <c r="F21" s="7"/>
    </row>
    <row r="22" spans="1:6">
      <c r="A22" s="7"/>
      <c r="B22" s="532"/>
      <c r="C22" s="424" t="s">
        <v>1839</v>
      </c>
      <c r="D22" s="439" t="inlineStr">
        <is>
          <t xml:space="preserve">כן</t>
        </is>
      </c>
      <c r="E22" s="395" t="inlineStr">
        <is>
          <t xml:space="preserve">ניהול סודות במשתני סביבה של Vercel ומפתחות מנוהלים בענן (Neon)</t>
        </is>
      </c>
      <c r="F22" s="7"/>
    </row>
    <row r="23" spans="1:6" ht="15.75" thickBot="1">
      <c r="A23" s="7"/>
      <c r="B23" s="533"/>
      <c r="C23" s="425" t="s">
        <v>2250</v>
      </c>
      <c r="D23" s="440" t="inlineStr">
        <is>
          <t xml:space="preserve">לא</t>
        </is>
      </c>
      <c r="E23" s="397" t="inlineStr">
        <is>
          <t xml:space="preserve">-</t>
        </is>
      </c>
      <c r="F23" s="7"/>
    </row>
    <row r="24" spans="1:6" ht="15.75" thickBot="1">
      <c r="A24" s="7"/>
      <c r="E24" s="393"/>
      <c r="F24" s="7"/>
    </row>
    <row r="25" spans="1:6">
      <c r="A25" s="7"/>
      <c r="B25" s="531" t="s">
        <v>1682</v>
      </c>
      <c r="C25" s="423" t="s">
        <v>1670</v>
      </c>
      <c r="D25" s="438" t="inlineStr">
        <is>
          <t xml:space="preserve">לא</t>
        </is>
      </c>
      <c r="E25" s="396" t="inlineStr">
        <is>
          <t xml:space="preserve">פער מזוהה — נדרש חיבור לניטור SIEM/SOC ארגוני לפני ייצור</t>
        </is>
      </c>
      <c r="F25" s="7"/>
    </row>
    <row r="26" spans="1:6">
      <c r="A26" s="7"/>
      <c r="B26" s="532"/>
      <c r="C26" s="424" t="s">
        <v>1676</v>
      </c>
      <c r="D26" s="439" t="inlineStr">
        <is>
          <t xml:space="preserve">לא</t>
        </is>
      </c>
      <c r="E26" s="391" t="inlineStr">
        <is>
          <t xml:space="preserve">-</t>
        </is>
      </c>
      <c r="F26" s="7"/>
    </row>
    <row r="27" spans="1:6">
      <c r="A27" s="7"/>
      <c r="B27" s="532"/>
      <c r="C27" s="424" t="s">
        <v>1681</v>
      </c>
      <c r="D27" s="439" t="inlineStr">
        <is>
          <t xml:space="preserve">לא</t>
        </is>
      </c>
      <c r="E27" s="420" t="inlineStr">
        <is>
          <t xml:space="preserve">-</t>
        </is>
      </c>
      <c r="F27" s="7"/>
    </row>
    <row r="28" spans="1:6" ht="15.75" thickBot="1">
      <c r="A28" s="7"/>
      <c r="B28" s="533"/>
      <c r="C28" s="425" t="s">
        <v>1683</v>
      </c>
      <c r="D28" s="440" t="inlineStr">
        <is>
          <t xml:space="preserve">לא</t>
        </is>
      </c>
      <c r="E28" s="397" t="inlineStr">
        <is>
          <t xml:space="preserve">-</t>
        </is>
      </c>
      <c r="F28" s="7"/>
    </row>
    <row r="29" spans="1:6" ht="15.75" thickBot="1">
      <c r="A29" s="7"/>
      <c r="C29" s="427"/>
      <c r="E29" s="393"/>
      <c r="F29" s="7"/>
    </row>
    <row r="30" spans="1:6">
      <c r="A30" s="7"/>
      <c r="B30" s="531" t="s">
        <v>1677</v>
      </c>
      <c r="C30" s="423" t="s">
        <v>1671</v>
      </c>
      <c r="D30" s="438" t="inlineStr">
        <is>
          <t xml:space="preserve">לא</t>
        </is>
      </c>
      <c r="E30" s="392" t="inlineStr">
        <is>
          <t xml:space="preserve">כיום הזדהות מקומית ל-CMS (סיסמה בגיבוב SHA-256, עוגייה חתומה). מתוכנן: SSO ארגוני</t>
        </is>
      </c>
      <c r="F30" s="7"/>
    </row>
    <row r="31" spans="1:6">
      <c r="A31" s="7"/>
      <c r="B31" s="532"/>
      <c r="C31" s="424" t="s">
        <v>1837</v>
      </c>
      <c r="D31" s="439" t="inlineStr">
        <is>
          <t xml:space="preserve">לא</t>
        </is>
      </c>
      <c r="E31" s="391" t="inlineStr">
        <is>
          <t xml:space="preserve">-</t>
        </is>
      </c>
      <c r="F31" s="7"/>
    </row>
    <row r="32" spans="1:6" ht="15.75" thickBot="1">
      <c r="A32" s="7"/>
      <c r="B32" s="533"/>
      <c r="C32" s="425" t="s">
        <v>1687</v>
      </c>
      <c r="D32" s="440" t="inlineStr">
        <is>
          <t xml:space="preserve">לא</t>
        </is>
      </c>
      <c r="E32" s="397" t="inlineStr">
        <is>
          <t xml:space="preserve">-</t>
        </is>
      </c>
      <c r="F32" s="7"/>
    </row>
    <row r="33" spans="1:6" ht="15.75" thickBot="1">
      <c r="A33" s="7"/>
      <c r="E33" s="393"/>
      <c r="F33" s="7"/>
    </row>
    <row r="34" spans="1:6" ht="17.25" customHeight="1">
      <c r="A34" s="7"/>
      <c r="B34" s="531" t="s">
        <v>1672</v>
      </c>
      <c r="C34" s="423" t="s">
        <v>2035</v>
      </c>
      <c r="D34" s="438" t="inlineStr">
        <is>
          <t xml:space="preserve">כן</t>
        </is>
      </c>
      <c r="E34" s="396" t="inlineStr">
        <is>
          <t xml:space="preserve">בדיקת אבטחה אוטומטית בצנרת: npm audit ו-npm run security:check (סריקת סודות וכותרות אבטחה)</t>
        </is>
      </c>
      <c r="F34" s="7"/>
    </row>
    <row r="35" spans="1:6">
      <c r="A35" s="7"/>
      <c r="B35" s="532"/>
      <c r="C35" s="424" t="s">
        <v>1678</v>
      </c>
      <c r="D35" s="439" t="inlineStr">
        <is>
          <t xml:space="preserve">כן</t>
        </is>
      </c>
      <c r="E35" s="395" t="inlineStr">
        <is>
          <t xml:space="preserve">עדכוני תלויות ו-npm audit, כולל overrides לחסימת גרסאות פגיעות</t>
        </is>
      </c>
      <c r="F35" s="7"/>
    </row>
    <row r="36" spans="1:6" ht="15.75" thickBot="1">
      <c r="A36" s="7"/>
      <c r="B36" s="533"/>
      <c r="C36" s="425" t="s">
        <v>1834</v>
      </c>
      <c r="D36" s="440" t="inlineStr">
        <is>
          <t xml:space="preserve">לא</t>
        </is>
      </c>
      <c r="E36" s="397" t="inlineStr">
        <is>
          <t xml:space="preserve">אין קונטיינרים — ארכיטקטורת Serverless</t>
        </is>
      </c>
      <c r="F36" s="7"/>
    </row>
    <row r="37" spans="1:6">
      <c r="A37" s="7"/>
      <c r="C37" s="427"/>
      <c r="F37" s="7"/>
    </row>
    <row r="38" spans="1:6">
      <c r="A38" s="7"/>
      <c r="C38" s="427"/>
      <c r="F38" s="7"/>
    </row>
    <row r="39" spans="1:6">
      <c r="A39" s="7"/>
      <c r="B39" s="7"/>
      <c r="C39" s="421"/>
      <c r="D39" s="437"/>
      <c r="E39" s="7"/>
      <c r="F39" s="7"/>
    </row>
  </sheetData>
  <mergeCells count="8">
    <mergeCell ref="B34:B36"/>
    <mergeCell ref="B20:B23"/>
    <mergeCell ref="B25:B28"/>
    <mergeCell ref="B30:B32"/>
    <mergeCell ref="B3:D3"/>
    <mergeCell ref="B5:B9"/>
    <mergeCell ref="B17:B18"/>
    <mergeCell ref="B11:B14"/>
  </mergeCells>
  <conditionalFormatting sqref="D1:D1048576">
    <cfRule type="containsText" dxfId="400" priority="1" operator="containsText" text="לא">
      <formula>NOT(ISERROR(SEARCH("לא",D1)))</formula>
    </cfRule>
    <cfRule type="containsText" dxfId="399" priority="2" operator="containsText" text="לא נדרש">
      <formula>NOT(ISERROR(SEARCH("לא נדרש",D1)))</formula>
    </cfRule>
    <cfRule type="containsText" dxfId="398" priority="3" operator="containsText" text="כן">
      <formula>NOT(ISERROR(SEARCH("כן",D1)))</formula>
    </cfRule>
  </conditionalFormatting>
  <dataValidations count="1">
    <dataValidation type="list" allowBlank="1" showInputMessage="1" showErrorMessage="1" sqref="D5:D9 D11:D14 D17:D18 D20:D23 D25:D28 D30:D32 D34:D36" ns2:uid="{0A6C5939-8B01-457C-8380-6388AA39F35C}">
      <formula1>"כן, לא, לא נדרש"</formula1>
    </dataValidation>
  </dataValidations>
  <pageMargins left="0.7" right="0.7" top="0.75" bottom="0.75" header="0.3" footer="0.3"/>
  <pageSetup paperSize="9" orientation="portrait"/>
  <drawing r:id="rId1"/>
  <extLst>
    <ext uri="{CCE6A557-97BC-4b89-ADB6-D9C93CAAB3DF}">
      <ns4:dataValidations count="1">
        <ns4:dataValidation type="list" allowBlank="1" showInputMessage="1" showErrorMessage="1" ns2:uid="{61D2F866-97C7-4A81-8739-B639C3E3106D}">
          <ns4:formula1>
            <ns5:f>'שרותי רובד 5'!$A$1:$A$106</ns5:f>
          </ns4:formula1>
          <ns5:sqref>E34:E36 E30:E32 E25:E28 E20:E23 E17:E18 E11:E14 E5:E9</ns5:sqref>
        </ns4:dataValidation>
      </ns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E5BA7-A2BD-41A4-9F25-31324E4A3F91}">
  <sheetPr codeName="Sheet15"/>
  <dimension ref="A1:E41"/>
  <sheetViews>
    <sheetView rightToLeft="1" zoomScale="120" zoomScaleNormal="115" workbookViewId="0">
      <selection activeCell="C23" sqref="C23"/>
    </sheetView>
  </sheetViews>
  <sheetFormatPr defaultColWidth="0" defaultRowHeight="15" zeroHeight="1"/>
  <cols>
    <col min="1" max="1" width="9.125" style="277" customWidth="1"/>
    <col min="2" max="2" width="7.375" style="4" customWidth="1"/>
    <col min="3" max="3" width="89.5" style="3" bestFit="1" customWidth="1"/>
    <col min="4" max="4" width="6.5" style="3" customWidth="1"/>
    <col min="5" max="5" width="9.125" style="3" customWidth="1"/>
    <col min="6" max="16384" width="9.125" style="3" hidden="1"/>
  </cols>
  <sheetData>
    <row r="1" spans="1:5">
      <c r="A1" s="276"/>
      <c r="B1" s="8"/>
      <c r="C1" s="7"/>
      <c r="D1" s="7"/>
      <c r="E1" s="7"/>
    </row>
    <row r="2" spans="1:5">
      <c r="A2" s="276"/>
      <c r="B2" s="8"/>
      <c r="C2" s="7"/>
      <c r="D2" s="7"/>
      <c r="E2" s="7"/>
    </row>
    <row r="3" spans="1:5" ht="20.25">
      <c r="A3" s="276"/>
      <c r="B3" s="534"/>
      <c r="C3" s="534"/>
      <c r="D3" s="534"/>
      <c r="E3" s="7"/>
    </row>
    <row r="4" spans="1:5" ht="20.25">
      <c r="A4" s="276"/>
      <c r="B4" s="513" t="s">
        <v>1628</v>
      </c>
      <c r="C4" s="513"/>
      <c r="D4" s="513"/>
      <c r="E4" s="7"/>
    </row>
    <row r="5" spans="1:5" ht="15.75" thickBot="1">
      <c r="A5" s="276"/>
      <c r="B5" s="279"/>
      <c r="C5" s="279" t="s">
        <v>1845</v>
      </c>
      <c r="D5" s="294"/>
      <c r="E5" s="7"/>
    </row>
    <row r="6" spans="1:5">
      <c r="A6" s="276"/>
      <c r="B6" s="279"/>
      <c r="C6" s="538" t="s">
        <v>1861</v>
      </c>
      <c r="D6" s="294"/>
      <c r="E6" s="7"/>
    </row>
    <row r="7" spans="1:5">
      <c r="A7" s="276"/>
      <c r="B7" s="279"/>
      <c r="C7" s="539"/>
      <c r="D7" s="294"/>
      <c r="E7" s="7"/>
    </row>
    <row r="8" spans="1:5">
      <c r="A8" s="276"/>
      <c r="B8" s="279"/>
      <c r="C8" s="539"/>
      <c r="D8" s="294"/>
      <c r="E8" s="7"/>
    </row>
    <row r="9" spans="1:5">
      <c r="A9" s="276"/>
      <c r="B9" s="279"/>
      <c r="C9" s="539"/>
      <c r="D9" s="294"/>
      <c r="E9" s="7"/>
    </row>
    <row r="10" spans="1:5">
      <c r="A10" s="276"/>
      <c r="C10" s="539"/>
      <c r="D10" s="294"/>
      <c r="E10" s="7"/>
    </row>
    <row r="11" spans="1:5">
      <c r="A11" s="276"/>
      <c r="C11" s="539"/>
      <c r="E11" s="7"/>
    </row>
    <row r="12" spans="1:5">
      <c r="A12" s="276"/>
      <c r="C12" s="539"/>
      <c r="E12" s="7"/>
    </row>
    <row r="13" spans="1:5">
      <c r="A13" s="276"/>
      <c r="C13" s="539"/>
      <c r="E13" s="7"/>
    </row>
    <row r="14" spans="1:5">
      <c r="A14" s="276"/>
      <c r="C14" s="539"/>
      <c r="E14" s="7"/>
    </row>
    <row r="15" spans="1:5">
      <c r="A15" s="276"/>
      <c r="C15" s="539"/>
      <c r="E15" s="7"/>
    </row>
    <row r="16" spans="1:5">
      <c r="A16" s="276"/>
      <c r="C16" s="539"/>
      <c r="E16" s="7"/>
    </row>
    <row r="17" spans="1:5">
      <c r="A17" s="276"/>
      <c r="C17" s="539"/>
      <c r="E17" s="7"/>
    </row>
    <row r="18" spans="1:5">
      <c r="A18" s="276"/>
      <c r="C18" s="539"/>
      <c r="E18" s="7"/>
    </row>
    <row r="19" spans="1:5">
      <c r="A19" s="276"/>
      <c r="C19" s="539"/>
      <c r="E19" s="7"/>
    </row>
    <row r="20" spans="1:5" ht="15.75" thickBot="1">
      <c r="A20" s="276"/>
      <c r="C20" s="540"/>
      <c r="E20" s="7"/>
    </row>
    <row r="21" spans="1:5">
      <c r="A21" s="276"/>
      <c r="E21" s="7"/>
    </row>
    <row r="22" spans="1:5" ht="20.25">
      <c r="A22" s="276"/>
      <c r="B22" s="513" t="s">
        <v>1845</v>
      </c>
      <c r="C22" s="513"/>
      <c r="D22" s="513"/>
      <c r="E22" s="7"/>
    </row>
    <row r="23" spans="1:5" ht="16.5" customHeight="1" thickBot="1">
      <c r="A23" s="276"/>
      <c r="C23" s="100"/>
      <c r="E23" s="7"/>
    </row>
    <row r="24" spans="1:5">
      <c r="A24" s="276"/>
      <c r="C24" s="538" t="s">
        <v>1862</v>
      </c>
      <c r="E24" s="7"/>
    </row>
    <row r="25" spans="1:5">
      <c r="A25" s="276"/>
      <c r="C25" s="539"/>
      <c r="E25" s="7"/>
    </row>
    <row r="26" spans="1:5">
      <c r="A26" s="276"/>
      <c r="C26" s="539"/>
      <c r="E26" s="7"/>
    </row>
    <row r="27" spans="1:5">
      <c r="A27" s="276"/>
      <c r="C27" s="539"/>
      <c r="E27" s="7"/>
    </row>
    <row r="28" spans="1:5">
      <c r="A28" s="276"/>
      <c r="C28" s="539"/>
      <c r="E28" s="7"/>
    </row>
    <row r="29" spans="1:5">
      <c r="A29" s="276"/>
      <c r="C29" s="539"/>
      <c r="E29" s="7"/>
    </row>
    <row r="30" spans="1:5">
      <c r="A30" s="276"/>
      <c r="C30" s="539"/>
      <c r="E30" s="7"/>
    </row>
    <row r="31" spans="1:5">
      <c r="A31" s="276"/>
      <c r="C31" s="539"/>
      <c r="E31" s="7"/>
    </row>
    <row r="32" spans="1:5">
      <c r="A32" s="276"/>
      <c r="C32" s="539"/>
      <c r="E32" s="7"/>
    </row>
    <row r="33" spans="1:5">
      <c r="A33" s="276"/>
      <c r="C33" s="539"/>
      <c r="E33" s="7"/>
    </row>
    <row r="34" spans="1:5">
      <c r="A34" s="276"/>
      <c r="C34" s="539"/>
      <c r="E34" s="7"/>
    </row>
    <row r="35" spans="1:5">
      <c r="A35" s="276"/>
      <c r="C35" s="539"/>
      <c r="E35" s="7"/>
    </row>
    <row r="36" spans="1:5">
      <c r="A36" s="276"/>
      <c r="C36" s="539"/>
      <c r="E36" s="7"/>
    </row>
    <row r="37" spans="1:5">
      <c r="A37" s="276"/>
      <c r="C37" s="539"/>
      <c r="E37" s="7"/>
    </row>
    <row r="38" spans="1:5" ht="15.75" thickBot="1">
      <c r="A38" s="276"/>
      <c r="C38" s="540"/>
      <c r="E38" s="7"/>
    </row>
    <row r="39" spans="1:5">
      <c r="A39" s="276"/>
      <c r="C39" s="100"/>
      <c r="E39" s="7"/>
    </row>
    <row r="40" spans="1:5">
      <c r="A40" s="276"/>
      <c r="C40" s="100"/>
      <c r="E40" s="7"/>
    </row>
    <row r="41" spans="1:5" ht="34.15" customHeight="1">
      <c r="A41" s="7"/>
      <c r="B41" s="7"/>
      <c r="C41" s="7"/>
      <c r="D41" s="7"/>
      <c r="E41" s="7"/>
    </row>
  </sheetData>
  <mergeCells count="5">
    <mergeCell ref="C24:C38"/>
    <mergeCell ref="B3:D3"/>
    <mergeCell ref="B4:D4"/>
    <mergeCell ref="C6:C20"/>
    <mergeCell ref="B22:D22"/>
  </mergeCells>
  <pageMargins left="0.7" right="0.7" top="0.75" bottom="0.75" header="0.3" footer="0.3"/>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7DD6E-BF99-42D8-A0E9-4D3311B57780}">
  <sheetPr codeName="Sheet5"/>
  <dimension ref="A1:J366"/>
  <sheetViews>
    <sheetView rightToLeft="1" topLeftCell="C240" zoomScale="115" zoomScaleNormal="115" workbookViewId="0">
      <selection activeCell="H253" sqref="H253:H1048576"/>
    </sheetView>
  </sheetViews>
  <sheetFormatPr defaultColWidth="0" defaultRowHeight="0" customHeight="1" zeroHeight="1"/>
  <cols>
    <col min="1" max="1" width="12.5" style="1" customWidth="1"/>
    <col min="2" max="2" width="16.125" style="22" bestFit="1" customWidth="1"/>
    <col min="3" max="3" width="12" style="22" bestFit="1" customWidth="1"/>
    <col min="4" max="4" width="16.5" style="22" customWidth="1"/>
    <col min="5" max="5" width="47.5" style="22" customWidth="1"/>
    <col min="6" max="7" width="12.5" style="22" customWidth="1"/>
    <col min="8" max="8" width="8.5" style="22" customWidth="1"/>
    <col min="9" max="9" width="20" style="22" customWidth="1"/>
    <col min="10" max="10" width="14.125" style="1" customWidth="1"/>
    <col min="11" max="16384" width="12" style="1" hidden="1"/>
  </cols>
  <sheetData>
    <row r="1" spans="1:10" ht="19.5" customHeight="1" thickBot="1">
      <c r="A1" s="28"/>
      <c r="B1" s="209"/>
      <c r="C1" s="209"/>
      <c r="D1" s="209"/>
      <c r="E1" s="209"/>
      <c r="F1" s="209"/>
      <c r="G1" s="209"/>
      <c r="H1" s="209"/>
      <c r="I1" s="209"/>
      <c r="J1" s="28"/>
    </row>
    <row r="2" spans="1:10" ht="19.5" customHeight="1" thickBot="1">
      <c r="A2" s="28"/>
      <c r="B2" s="30"/>
      <c r="C2" s="30"/>
      <c r="D2" s="193" t="s">
        <v>928</v>
      </c>
      <c r="E2" s="194" t="str">
        <f>'פרופיל מערכת (2)'!D50</f>
        <v>IaaS</v>
      </c>
      <c r="F2" s="209"/>
      <c r="G2" s="209"/>
      <c r="H2" s="209"/>
      <c r="I2" s="209"/>
      <c r="J2" s="28"/>
    </row>
    <row r="3" spans="1:10" ht="19.5" customHeight="1" thickBot="1">
      <c r="A3" s="28"/>
      <c r="B3" s="30"/>
      <c r="C3" s="30"/>
      <c r="D3" s="229" t="s">
        <v>936</v>
      </c>
      <c r="E3" s="182" t="str">
        <f>IF('פרופיל מערכת (2)'!D49="AWS","AWS",IF('פרופיל מערכת (2)'!D49="GCP","GCP","AWS"))</f>
        <v>GCP</v>
      </c>
      <c r="F3" s="209"/>
      <c r="G3" s="209"/>
      <c r="H3" s="209"/>
      <c r="I3" s="209"/>
      <c r="J3" s="28"/>
    </row>
    <row r="4" spans="1:10" ht="19.5" customHeight="1" thickBot="1">
      <c r="A4" s="28"/>
      <c r="B4" s="30"/>
      <c r="C4" s="30"/>
      <c r="D4" s="193" t="s">
        <v>982</v>
      </c>
      <c r="E4" s="194" t="s">
        <v>985</v>
      </c>
      <c r="F4" s="209"/>
      <c r="G4" s="209"/>
      <c r="H4" s="209"/>
      <c r="I4" s="209"/>
      <c r="J4" s="28"/>
    </row>
    <row r="5" spans="1:10" ht="129" customHeight="1">
      <c r="A5" s="28"/>
      <c r="B5" s="229"/>
      <c r="C5" s="210"/>
      <c r="D5" s="210"/>
      <c r="E5" s="210"/>
      <c r="F5" s="210"/>
      <c r="G5" s="210"/>
      <c r="H5" s="210"/>
      <c r="I5" s="226"/>
      <c r="J5" s="28"/>
    </row>
    <row r="6" spans="1:10" ht="14.25">
      <c r="A6" s="28"/>
      <c r="B6" s="230"/>
      <c r="I6" s="227"/>
      <c r="J6" s="28"/>
    </row>
    <row r="7" spans="1:10" ht="33.75" customHeight="1" thickBot="1">
      <c r="A7" s="28"/>
      <c r="B7" s="231"/>
      <c r="C7" s="211"/>
      <c r="D7" s="211"/>
      <c r="E7" s="211"/>
      <c r="F7" s="211"/>
      <c r="G7" s="211"/>
      <c r="H7" s="211"/>
      <c r="I7" s="228"/>
      <c r="J7" s="28"/>
    </row>
    <row r="8" spans="1:10" ht="14.25">
      <c r="A8" s="28"/>
      <c r="B8" s="209"/>
      <c r="C8" s="209"/>
      <c r="D8" s="209"/>
      <c r="E8" s="209"/>
      <c r="F8" s="209"/>
      <c r="G8" s="209"/>
      <c r="H8" s="209"/>
      <c r="I8" s="209"/>
      <c r="J8" s="28"/>
    </row>
    <row r="9" spans="1:10" ht="46.5" customHeight="1">
      <c r="A9" s="28"/>
      <c r="B9" s="191" t="str" cm="1">
        <f t="array" ref="B9:I366" ca="1">IF(
    AND(E4=חישובים!O2, E3=חישובים!N2),
    IF(
        INDEX(AWS[], SMALL(IF((AWS[Column1]=חישובים!$Q$1)+(AWS[Column1]=חישובים!$Q$2), ROW(AWS[Column1])-MIN(ROW(AWS[Column1]))+1, ""), ROW(INDIRECT("1:"&amp;COUNTIF(AWS[Column1],חישובים!$Q$1)+COUNTIF(AWS[Column1],חישובים!$Q$2)))), {3,4,5,6,27,2,23,21}) = 0,
        "",
        INDEX(AWS[], SMALL(IF((AWS[Column1]=חישובים!$Q$1)+(AWS[Column1]=חישובים!$Q$2), ROW(AWS[Column1])-MIN(ROW(AWS[Column1]))+1, ""), ROW(INDIRECT("1:"&amp;COUNTIF(AWS[Column1],חישובים!$Q$1)+COUNTIF(AWS[Column1],חישובים!$Q$2)))), {3,4,5,6,27,2,23,21})
    ),
    IF(
        AND(E4=חישובים!O3, E3=חישובים!N2),
        IF(
            INDEX(AWS_2[], SMALL(IF((AWS_2[Column1]=חישובים!$Q$1)+(AWS_2[Column1]=חישובים!$Q$2), ROW(AWS_2[Column1])-MIN(ROW(AWS_2[Column1]))+1, ""), ROW(INDIRECT("1:"&amp;COUNTIF(AWS_2[Column1],חישובים!$Q$1)+COUNTIF(AWS_2[Column1],חישובים!$Q$2)))), {3,4,5,6,27,2,23,21}) = 0,
            "",
            INDEX(AWS_2[], SMALL(IF((AWS_2[Column1]=חישובים!$Q$1)+(AWS_2[Column1]=חישובים!$Q$2), ROW(AWS_2[Column1])-MIN(ROW(AWS_2[Column1]))+1, ""), ROW(INDIRECT("1:"&amp;COUNTIF(AWS_2[Column1],חישובים!$Q$1)+COUNTIF(AWS_2[Column1],חישובים!$Q$2)))), {3,4,5,6,27,2,23,21})
        ),
        IF(
            AND(E4=חישובים!O2, E3=חישובים!N3),
            IF(
                INDEX(GCP[], SMALL(IF((GCP[Column1]=חישובים!$Q$1)+(GCP[Column1]=חישובים!$Q$2), ROW(GCP[Column1])-MIN(ROW(GCP[Column1]))+1, ""), ROW(INDIRECT("1:"&amp;COUNTIF(GCP[Column1],חישובים!$Q$1)+COUNTIF(GCP[Column1],חישובים!$Q$2)))), {3,4,5,6,27,2,23,21}) = 0,
                "",
                INDEX(GCP[], SMALL(IF((GCP[Column1]=חישובים!$Q$1)+(GCP[Column1]=חישובים!$Q$2), ROW(GCP[Column1])-MIN(ROW(GCP[Column1]))+1, ""), ROW(INDIRECT("1:"&amp;COUNTIF(GCP[Column1],חישובים!$Q$1)+COUNTIF(GCP[Column1],חישובים!$Q$2)))), {3,4,5,6,27,2,23,21})
            ),
            IF(
                AND(E4=חישובים!O3, E3=חישובים!N3),
                IF(
                    INDEX(GCP_2[], SMALL(IF((GCP_2[Column1]=חישובים!$Q$1)+(GCP_2[Column1]=חישובים!$Q$2), ROW(GCP_2[Column1])-MIN(ROW(GCP_2[Column1]))+1, ""), ROW(INDIRECT("1:"&amp;COUNTIF(GCP_2[Column1],חישובים!$Q$1)+COUNTIF(GCP_2[Column1],חישובים!$Q$2)))), {3,4,5,6,27,2,23,21}) = 0,
                    "",
                    INDEX(GCP_2[], SMALL(IF((GCP_2[Column1]=חישובים!$Q$1)+(GCP_2[Column1]=חישובים!$Q$2), ROW(GCP_2[Column1])-MIN(ROW(GCP_2[Column1]))+1, ""), ROW(INDIRECT("1:"&amp;COUNTIF(GCP_2[Column1],חישובים!$Q$1)+COUNTIF(GCP_2[Column1],חישובים!$Q$2)))), {3,4,5,6,27,2,23,21})
                ),
                "Error"
            )
        )
    )
)</f>
        <v>מספר בקרה ב CIS</v>
      </c>
      <c r="C9" s="191" t="str">
        <f ca="1"/>
        <v>סוג הנכס</v>
      </c>
      <c r="D9" s="191" t="str">
        <f ca="1"/>
        <v>סוג בקרת אבטחה</v>
      </c>
      <c r="E9" s="191" t="str">
        <f ca="1"/>
        <v>תיאור</v>
      </c>
      <c r="F9" s="191" t="str">
        <f ca="1"/>
        <v>בקרת ספק מומלצת</v>
      </c>
      <c r="G9" s="191" t="str">
        <f ca="1"/>
        <v>מספר בקרה ספק ענן CIS</v>
      </c>
      <c r="H9" s="191" t="str">
        <f ca="1"/>
        <v>סוג הבקרה</v>
      </c>
      <c r="I9" s="191" t="str">
        <f ca="1"/>
        <v>מתקבל כברירת מחדל באזור הנחיתה הממשלתי</v>
      </c>
      <c r="J9" s="28"/>
    </row>
    <row r="10" spans="1:10" ht="15">
      <c r="A10" s="28"/>
      <c r="B10" s="192" t="str">
        <f ca="1"/>
        <v>-</v>
      </c>
      <c r="C10" s="192" t="str">
        <f ca="1"/>
        <v>-</v>
      </c>
      <c r="D10" s="192" t="str">
        <f ca="1"/>
        <v>-</v>
      </c>
      <c r="E10" s="192" t="str">
        <f ca="1"/>
        <v>מיפוי ובקרה על נכסים ארגוניים</v>
      </c>
      <c r="F10" s="192" t="str">
        <f ca="1"/>
        <v>-</v>
      </c>
      <c r="G10" s="192" t="str">
        <f ca="1"/>
        <v>-</v>
      </c>
      <c r="H10" s="192" t="str">
        <f ca="1"/>
        <v>-</v>
      </c>
      <c r="I10" s="192" t="str">
        <f ca="1"/>
        <v>.</v>
      </c>
      <c r="J10" s="28"/>
    </row>
    <row r="11" spans="1:10" ht="14.25">
      <c r="A11" s="28"/>
      <c r="B11" s="192">
        <f ca="1"/>
        <v>1.1000000000000001</v>
      </c>
      <c r="C11" s="192" t="str">
        <f ca="1"/>
        <v>Devices</v>
      </c>
      <c r="D11" s="192" t="str">
        <f ca="1"/>
        <v>Identify</v>
      </c>
      <c r="E11" s="192" t="str">
        <f ca="1"/>
        <v>הקמה ותחזוקה של מיפוי נכסים ארגוניים מפורטים</v>
      </c>
      <c r="F11" s="192" t="str">
        <f ca="1"/>
        <v>v</v>
      </c>
      <c r="G11" s="192" t="str">
        <f ca="1"/>
        <v>2.13</v>
      </c>
      <c r="H11" s="192" t="str">
        <f ca="1"/>
        <v>מערכת</v>
      </c>
      <c r="I11" s="192" t="str">
        <f ca="1"/>
        <v>-</v>
      </c>
      <c r="J11" s="28"/>
    </row>
    <row r="12" spans="1:10" ht="14.25">
      <c r="A12" s="28"/>
      <c r="B12" s="192">
        <f ca="1"/>
        <v>1.2</v>
      </c>
      <c r="C12" s="192" t="str">
        <f ca="1"/>
        <v>Devices</v>
      </c>
      <c r="D12" s="192" t="str">
        <f ca="1"/>
        <v>Respond</v>
      </c>
      <c r="E12" s="192" t="str">
        <f ca="1"/>
        <v>התייחס לנכסים לא מורשים</v>
      </c>
      <c r="F12" s="192" t="str">
        <f ca="1"/>
        <v/>
      </c>
      <c r="G12" s="192" t="str">
        <f ca="1"/>
        <v>-</v>
      </c>
      <c r="H12" s="192" t="str">
        <f ca="1"/>
        <v>ארגוני</v>
      </c>
      <c r="I12" s="192" t="str">
        <f ca="1"/>
        <v>-</v>
      </c>
      <c r="J12" s="28"/>
    </row>
    <row r="13" spans="1:10" ht="15" customHeight="1">
      <c r="A13" s="28"/>
      <c r="B13" s="192">
        <f ca="1"/>
        <v>1.3</v>
      </c>
      <c r="C13" s="192" t="str">
        <f ca="1"/>
        <v>Devices</v>
      </c>
      <c r="D13" s="192" t="str">
        <f ca="1"/>
        <v>Detect</v>
      </c>
      <c r="E13" s="192" t="str">
        <f ca="1"/>
        <v>השתמשו בכלי גילוי אקטיביים</v>
      </c>
      <c r="F13" s="192" t="str">
        <f ca="1"/>
        <v/>
      </c>
      <c r="G13" s="192" t="str">
        <f ca="1"/>
        <v>-</v>
      </c>
      <c r="H13" s="192" t="str">
        <f ca="1"/>
        <v>ארגוני</v>
      </c>
      <c r="I13" s="192" t="str">
        <f ca="1"/>
        <v>-</v>
      </c>
      <c r="J13" s="28"/>
    </row>
    <row r="14" spans="1:10" ht="28.5">
      <c r="A14" s="28"/>
      <c r="B14" s="192">
        <f ca="1"/>
        <v>1.4</v>
      </c>
      <c r="C14" s="192" t="str">
        <f ca="1"/>
        <v>Devices</v>
      </c>
      <c r="D14" s="192" t="str">
        <f ca="1"/>
        <v>Identify</v>
      </c>
      <c r="E14" s="192" t="str">
        <f ca="1"/>
        <v>השתמש ברישום-Dynamic Host Configuration Protocol (DHCP)  כדי לעדכן את מיפוי הנכסים הארגוניים</v>
      </c>
      <c r="F14" s="192" t="str">
        <f ca="1"/>
        <v/>
      </c>
      <c r="G14" s="192" t="str">
        <f ca="1"/>
        <v>-</v>
      </c>
      <c r="H14" s="192" t="str">
        <f ca="1"/>
        <v>ארגוני</v>
      </c>
      <c r="I14" s="192" t="str">
        <f ca="1"/>
        <v>-</v>
      </c>
      <c r="J14" s="28"/>
    </row>
    <row r="15" spans="1:10" ht="15" customHeight="1">
      <c r="A15" s="28"/>
      <c r="B15" s="192">
        <f ca="1"/>
        <v>1.5</v>
      </c>
      <c r="C15" s="192" t="str">
        <f ca="1"/>
        <v>Devices</v>
      </c>
      <c r="D15" s="192" t="str">
        <f ca="1"/>
        <v>Detect</v>
      </c>
      <c r="E15" s="192" t="str">
        <f ca="1"/>
        <v>השתמש בכלי גילוי נכסים פסיבי</v>
      </c>
      <c r="F15" s="192" t="str">
        <f ca="1"/>
        <v/>
      </c>
      <c r="G15" s="192" t="str">
        <f ca="1"/>
        <v>-</v>
      </c>
      <c r="H15" s="192" t="str">
        <f ca="1"/>
        <v>ארגוני</v>
      </c>
      <c r="I15" s="192" t="str">
        <f ca="1"/>
        <v>-</v>
      </c>
      <c r="J15" s="28"/>
    </row>
    <row r="16" spans="1:10" ht="15" customHeight="1">
      <c r="A16" s="28"/>
      <c r="B16" s="192" t="str">
        <f ca="1"/>
        <v>-</v>
      </c>
      <c r="C16" s="192" t="str">
        <f ca="1"/>
        <v>-</v>
      </c>
      <c r="D16" s="192" t="str">
        <f ca="1"/>
        <v>-</v>
      </c>
      <c r="E16" s="192" t="str">
        <f ca="1"/>
        <v>מיפוי ובקרת נכסי תוכנה</v>
      </c>
      <c r="F16" s="192" t="str">
        <f ca="1"/>
        <v>-</v>
      </c>
      <c r="G16" s="192" t="str">
        <f ca="1"/>
        <v>-</v>
      </c>
      <c r="H16" s="192" t="str">
        <f ca="1"/>
        <v>-</v>
      </c>
      <c r="I16" s="192" t="str">
        <f ca="1"/>
        <v>-</v>
      </c>
      <c r="J16" s="28"/>
    </row>
    <row r="17" spans="1:10" ht="15" customHeight="1">
      <c r="A17" s="28"/>
      <c r="B17" s="192">
        <f ca="1"/>
        <v>2.1</v>
      </c>
      <c r="C17" s="192" t="str">
        <f ca="1"/>
        <v>Applications</v>
      </c>
      <c r="D17" s="192" t="str">
        <f ca="1"/>
        <v>Identify</v>
      </c>
      <c r="E17" s="192" t="str">
        <f ca="1"/>
        <v>הקמה ותחזוקה של מיפוי תוכנה</v>
      </c>
      <c r="F17" s="192" t="str">
        <f ca="1"/>
        <v/>
      </c>
      <c r="G17" s="192" t="str">
        <f ca="1"/>
        <v>-</v>
      </c>
      <c r="H17" s="192" t="str">
        <f ca="1"/>
        <v>ארגוני</v>
      </c>
      <c r="I17" s="192" t="str">
        <f ca="1"/>
        <v>-</v>
      </c>
      <c r="J17" s="28"/>
    </row>
    <row r="18" spans="1:10" ht="15" customHeight="1">
      <c r="A18" s="28"/>
      <c r="B18" s="192">
        <f ca="1"/>
        <v>2.2000000000000002</v>
      </c>
      <c r="C18" s="192" t="str">
        <f ca="1"/>
        <v>Applications</v>
      </c>
      <c r="D18" s="192" t="str">
        <f ca="1"/>
        <v>Identify</v>
      </c>
      <c r="E18" s="192" t="str">
        <f ca="1"/>
        <v>ודא כי התוכנה המורשית בארגון נתמכת על ידי היצרן</v>
      </c>
      <c r="F18" s="192" t="str">
        <f ca="1"/>
        <v>v</v>
      </c>
      <c r="G18" s="192" t="str">
        <f ca="1"/>
        <v>4.12</v>
      </c>
      <c r="H18" s="192" t="str">
        <f ca="1"/>
        <v>מערכת</v>
      </c>
      <c r="I18" s="192" t="str">
        <f ca="1"/>
        <v>-</v>
      </c>
      <c r="J18" s="28"/>
    </row>
    <row r="19" spans="1:10" ht="15" customHeight="1">
      <c r="A19" s="28"/>
      <c r="B19" s="192">
        <f ca="1"/>
        <v>2.2999999999999998</v>
      </c>
      <c r="C19" s="192" t="str">
        <f ca="1"/>
        <v>Applications</v>
      </c>
      <c r="D19" s="192" t="str">
        <f ca="1"/>
        <v>Respond</v>
      </c>
      <c r="E19" s="192" t="str">
        <f ca="1"/>
        <v>קיים תוכנית לטיפול ברכיבי תוכנה לא מאושרים</v>
      </c>
      <c r="F19" s="192" t="str">
        <f ca="1"/>
        <v/>
      </c>
      <c r="G19" s="192" t="str">
        <f ca="1"/>
        <v>-</v>
      </c>
      <c r="H19" s="192" t="str">
        <f ca="1"/>
        <v>ארגוני</v>
      </c>
      <c r="I19" s="192" t="str">
        <f ca="1"/>
        <v>-</v>
      </c>
      <c r="J19" s="28"/>
    </row>
    <row r="20" spans="1:10" ht="15" customHeight="1">
      <c r="A20" s="28"/>
      <c r="B20" s="192">
        <f ca="1"/>
        <v>2.4</v>
      </c>
      <c r="C20" s="192" t="str">
        <f ca="1"/>
        <v>Applications</v>
      </c>
      <c r="D20" s="192" t="str">
        <f ca="1"/>
        <v>Detect</v>
      </c>
      <c r="E20" s="192" t="str">
        <f ca="1"/>
        <v>השתמש בכלי מיפוי תוכנה אוטומטיים</v>
      </c>
      <c r="F20" s="192" t="str">
        <f ca="1"/>
        <v/>
      </c>
      <c r="G20" s="192" t="str">
        <f ca="1"/>
        <v>-</v>
      </c>
      <c r="H20" s="192" t="str">
        <f ca="1"/>
        <v>ארגוני</v>
      </c>
      <c r="I20" s="192" t="str">
        <f ca="1"/>
        <v>-</v>
      </c>
      <c r="J20" s="28"/>
    </row>
    <row r="21" spans="1:10" ht="15" customHeight="1">
      <c r="A21" s="28"/>
      <c r="B21" s="192">
        <f ca="1"/>
        <v>2.5</v>
      </c>
      <c r="C21" s="192" t="str">
        <f ca="1"/>
        <v>Applications</v>
      </c>
      <c r="D21" s="192" t="str">
        <f ca="1"/>
        <v>Protect</v>
      </c>
      <c r="E21" s="192" t="str">
        <f ca="1"/>
        <v>ניהול רשימת תוכנות מאושרות</v>
      </c>
      <c r="F21" s="192" t="str">
        <f ca="1"/>
        <v/>
      </c>
      <c r="G21" s="192" t="str">
        <f ca="1"/>
        <v>-</v>
      </c>
      <c r="H21" s="192" t="str">
        <f ca="1"/>
        <v>ארגוני</v>
      </c>
      <c r="I21" s="192" t="str">
        <f ca="1"/>
        <v>-</v>
      </c>
      <c r="J21" s="28"/>
    </row>
    <row r="22" spans="1:10" ht="15" customHeight="1">
      <c r="A22" s="28"/>
      <c r="B22" s="192">
        <f ca="1"/>
        <v>2.6</v>
      </c>
      <c r="C22" s="192" t="str">
        <f ca="1"/>
        <v>Applications</v>
      </c>
      <c r="D22" s="192" t="str">
        <f ca="1"/>
        <v>Protect</v>
      </c>
      <c r="E22" s="192" t="str">
        <f ca="1"/>
        <v>ניהול רשימת  ספריות קוד מאושרות</v>
      </c>
      <c r="F22" s="192" t="str">
        <f ca="1"/>
        <v/>
      </c>
      <c r="G22" s="192" t="str">
        <f ca="1"/>
        <v>-</v>
      </c>
      <c r="H22" s="192" t="str">
        <f ca="1"/>
        <v>מערכת</v>
      </c>
      <c r="I22" s="192" t="str">
        <f ca="1"/>
        <v>-</v>
      </c>
      <c r="J22" s="28"/>
    </row>
    <row r="23" spans="1:10" ht="15" customHeight="1">
      <c r="A23" s="28"/>
      <c r="B23" s="192">
        <f ca="1"/>
        <v>2.7</v>
      </c>
      <c r="C23" s="192" t="str">
        <f ca="1"/>
        <v>Applications</v>
      </c>
      <c r="D23" s="192" t="str">
        <f ca="1"/>
        <v>Protect</v>
      </c>
      <c r="E23" s="192" t="str">
        <f ca="1"/>
        <v>ניהול רשימת קטעי קוד וסקריפטים מאושרים</v>
      </c>
      <c r="F23" s="192" t="str">
        <f ca="1"/>
        <v>v</v>
      </c>
      <c r="G23" s="192" t="str">
        <f ca="1"/>
        <v>6.3.1</v>
      </c>
      <c r="H23" s="192" t="str">
        <f ca="1"/>
        <v>מערכת</v>
      </c>
      <c r="I23" s="192" t="str">
        <f ca="1"/>
        <v>-</v>
      </c>
      <c r="J23" s="28"/>
    </row>
    <row r="24" spans="1:10" ht="15" customHeight="1">
      <c r="A24" s="28" t="str" cm="1">
        <f t="array" ref="A24">IFERROR(INDEX(#REF!, MATCH("Yes",#REF!, 0),0),"")</f>
        <v/>
      </c>
      <c r="B24" s="192" t="str">
        <f ca="1"/>
        <v>-</v>
      </c>
      <c r="C24" s="192" t="str">
        <f ca="1"/>
        <v>-</v>
      </c>
      <c r="D24" s="192" t="str">
        <f ca="1"/>
        <v>-</v>
      </c>
      <c r="E24" s="192" t="str">
        <f ca="1"/>
        <v>הגנת מידע</v>
      </c>
      <c r="F24" s="192" t="str">
        <f ca="1"/>
        <v>-</v>
      </c>
      <c r="G24" s="192" t="str">
        <f ca="1"/>
        <v>-</v>
      </c>
      <c r="H24" s="192" t="str">
        <f ca="1"/>
        <v>-</v>
      </c>
      <c r="I24" s="192" t="str">
        <f ca="1"/>
        <v>-</v>
      </c>
      <c r="J24" s="28"/>
    </row>
    <row r="25" spans="1:10" ht="15" customHeight="1">
      <c r="A25" s="28" t="str" cm="1">
        <f t="array" ref="A25">IFERROR(INDEX(#REF!, MATCH("Yes",#REF!, 0),0),"")</f>
        <v/>
      </c>
      <c r="B25" s="192">
        <f ca="1"/>
        <v>3.1</v>
      </c>
      <c r="C25" s="192" t="str">
        <f ca="1"/>
        <v>Data</v>
      </c>
      <c r="D25" s="192" t="str">
        <f ca="1"/>
        <v>Identify</v>
      </c>
      <c r="E25" s="192" t="str">
        <f ca="1"/>
        <v>נדרש להקין ולתחזוק תהליך ניהול אבטחת מידע</v>
      </c>
      <c r="F25" s="192" t="str">
        <f ca="1"/>
        <v/>
      </c>
      <c r="G25" s="192" t="str">
        <f ca="1"/>
        <v>-</v>
      </c>
      <c r="H25" s="192" t="str">
        <f ca="1"/>
        <v>מערכת</v>
      </c>
      <c r="I25" s="192" t="str">
        <f ca="1"/>
        <v>-</v>
      </c>
      <c r="J25" s="28"/>
    </row>
    <row r="26" spans="1:10" ht="15" customHeight="1">
      <c r="A26" s="28"/>
      <c r="B26" s="192">
        <f ca="1"/>
        <v>3.2</v>
      </c>
      <c r="C26" s="192" t="str">
        <f ca="1"/>
        <v>Data</v>
      </c>
      <c r="D26" s="192" t="str">
        <f ca="1"/>
        <v>Identify</v>
      </c>
      <c r="E26" s="192" t="str">
        <f ca="1"/>
        <v>הקמה ותחזוקה של מיפוי נתונים</v>
      </c>
      <c r="F26" s="192" t="str">
        <f ca="1"/>
        <v/>
      </c>
      <c r="G26" s="192" t="str">
        <f ca="1"/>
        <v>-</v>
      </c>
      <c r="H26" s="192" t="str">
        <f ca="1"/>
        <v>ארגוני</v>
      </c>
      <c r="I26" s="192" t="str">
        <f ca="1"/>
        <v>-</v>
      </c>
      <c r="J26" s="28"/>
    </row>
    <row r="27" spans="1:10" ht="15" customHeight="1">
      <c r="A27" s="28"/>
      <c r="B27" s="192">
        <f ca="1"/>
        <v>3.3</v>
      </c>
      <c r="C27" s="192" t="str">
        <f ca="1"/>
        <v>Data</v>
      </c>
      <c r="D27" s="192" t="str">
        <f ca="1"/>
        <v>Protect</v>
      </c>
      <c r="E27" s="192" t="str">
        <f ca="1"/>
        <v>הגדר בקרת גישה לנתונים</v>
      </c>
      <c r="F27" s="192" t="str">
        <f ca="1"/>
        <v>v</v>
      </c>
      <c r="G27" s="192" t="str">
        <f ca="1"/>
        <v>1.6</v>
      </c>
      <c r="H27" s="192" t="str">
        <f ca="1"/>
        <v>ארגוני</v>
      </c>
      <c r="I27" s="192" t="str">
        <f ca="1"/>
        <v>v</v>
      </c>
      <c r="J27" s="28"/>
    </row>
    <row r="28" spans="1:10" ht="15" customHeight="1">
      <c r="A28" s="28"/>
      <c r="B28" s="192">
        <f ca="1"/>
        <v>3.3</v>
      </c>
      <c r="C28" s="192" t="str">
        <f ca="1"/>
        <v>Data</v>
      </c>
      <c r="D28" s="192" t="str">
        <f ca="1"/>
        <v>Protect</v>
      </c>
      <c r="E28" s="192" t="str">
        <f ca="1"/>
        <v>הגדר בקרת גישה לנתונים</v>
      </c>
      <c r="F28" s="192" t="str">
        <f ca="1"/>
        <v>v</v>
      </c>
      <c r="G28" s="192" t="str">
        <f ca="1"/>
        <v>1.8</v>
      </c>
      <c r="H28" s="192" t="str">
        <f ca="1"/>
        <v>מערכת</v>
      </c>
      <c r="I28" s="192" t="str">
        <f ca="1"/>
        <v>-</v>
      </c>
      <c r="J28" s="28"/>
    </row>
    <row r="29" spans="1:10" ht="15" customHeight="1">
      <c r="A29" s="28"/>
      <c r="B29" s="192">
        <f ca="1"/>
        <v>3.3</v>
      </c>
      <c r="C29" s="192" t="str">
        <f ca="1"/>
        <v>Data</v>
      </c>
      <c r="D29" s="192" t="str">
        <f ca="1"/>
        <v>Protect</v>
      </c>
      <c r="E29" s="192" t="str">
        <f ca="1"/>
        <v>הגדר בקרת גישה לנתונים</v>
      </c>
      <c r="F29" s="192" t="str">
        <f ca="1"/>
        <v>v</v>
      </c>
      <c r="G29" s="192" t="str">
        <f ca="1"/>
        <v>1.9</v>
      </c>
      <c r="H29" s="192" t="str">
        <f ca="1"/>
        <v>מערכת</v>
      </c>
      <c r="I29" s="192" t="str">
        <f ca="1"/>
        <v>-</v>
      </c>
      <c r="J29" s="28"/>
    </row>
    <row r="30" spans="1:10" ht="15" customHeight="1">
      <c r="A30" s="28"/>
      <c r="B30" s="192">
        <f ca="1"/>
        <v>3.3</v>
      </c>
      <c r="C30" s="192" t="str">
        <f ca="1"/>
        <v>Data</v>
      </c>
      <c r="D30" s="192" t="str">
        <f ca="1"/>
        <v>Protect</v>
      </c>
      <c r="E30" s="192" t="str">
        <f ca="1"/>
        <v>הגדר בקרת גישה לנתונים</v>
      </c>
      <c r="F30" s="192" t="str">
        <f ca="1"/>
        <v>v</v>
      </c>
      <c r="G30" s="192" t="str">
        <f ca="1"/>
        <v>1.11</v>
      </c>
      <c r="H30" s="192" t="str">
        <f ca="1"/>
        <v>מערכת</v>
      </c>
      <c r="I30" s="192" t="str">
        <f ca="1"/>
        <v>-</v>
      </c>
      <c r="J30" s="28"/>
    </row>
    <row r="31" spans="1:10" ht="15" customHeight="1">
      <c r="A31" s="28"/>
      <c r="B31" s="192">
        <f ca="1"/>
        <v>3.3</v>
      </c>
      <c r="C31" s="192" t="str">
        <f ca="1"/>
        <v>Data</v>
      </c>
      <c r="D31" s="192" t="str">
        <f ca="1"/>
        <v>Protect</v>
      </c>
      <c r="E31" s="192" t="str">
        <f ca="1"/>
        <v>הגדר בקרת גישה לנתונים</v>
      </c>
      <c r="F31" s="192" t="str">
        <f ca="1"/>
        <v>v</v>
      </c>
      <c r="G31" s="192" t="str">
        <f ca="1"/>
        <v>2.3</v>
      </c>
      <c r="H31" s="192" t="str">
        <f ca="1"/>
        <v>מערכת</v>
      </c>
      <c r="I31" s="192" t="str">
        <f ca="1"/>
        <v>-</v>
      </c>
      <c r="J31" s="28"/>
    </row>
    <row r="32" spans="1:10" ht="15" customHeight="1">
      <c r="A32" s="28"/>
      <c r="B32" s="192">
        <f ca="1"/>
        <v>3.3</v>
      </c>
      <c r="C32" s="192" t="str">
        <f ca="1"/>
        <v>Data</v>
      </c>
      <c r="D32" s="192" t="str">
        <f ca="1"/>
        <v>Protect</v>
      </c>
      <c r="E32" s="192" t="str">
        <f ca="1"/>
        <v>הגדר בקרת גישה לנתונים</v>
      </c>
      <c r="F32" s="192" t="str">
        <f ca="1"/>
        <v>v</v>
      </c>
      <c r="G32" s="192" t="str">
        <f ca="1"/>
        <v>2.15</v>
      </c>
      <c r="H32" s="192" t="str">
        <f ca="1"/>
        <v>מערכת</v>
      </c>
      <c r="I32" s="192" t="str">
        <f ca="1"/>
        <v>-</v>
      </c>
      <c r="J32" s="28"/>
    </row>
    <row r="33" spans="1:10" ht="15" customHeight="1">
      <c r="A33" s="28"/>
      <c r="B33" s="192">
        <f ca="1"/>
        <v>3.3</v>
      </c>
      <c r="C33" s="192" t="str">
        <f ca="1"/>
        <v>Data</v>
      </c>
      <c r="D33" s="192" t="str">
        <f ca="1"/>
        <v>Protect</v>
      </c>
      <c r="E33" s="192" t="str">
        <f ca="1"/>
        <v>הגדר בקרת גישה לנתונים</v>
      </c>
      <c r="F33" s="192" t="str">
        <f ca="1"/>
        <v>v</v>
      </c>
      <c r="G33" s="192" t="str">
        <f ca="1"/>
        <v>4.9</v>
      </c>
      <c r="H33" s="192" t="str">
        <f ca="1"/>
        <v>ארגוני</v>
      </c>
      <c r="I33" s="192" t="str">
        <f ca="1"/>
        <v>v</v>
      </c>
      <c r="J33" s="28"/>
    </row>
    <row r="34" spans="1:10" ht="15" customHeight="1">
      <c r="A34" s="28"/>
      <c r="B34" s="192">
        <f ca="1"/>
        <v>3.3</v>
      </c>
      <c r="C34" s="192" t="str">
        <f ca="1"/>
        <v>Data</v>
      </c>
      <c r="D34" s="192" t="str">
        <f ca="1"/>
        <v>Protect</v>
      </c>
      <c r="E34" s="192" t="str">
        <f ca="1"/>
        <v>הגדר בקרת גישה לנתונים</v>
      </c>
      <c r="F34" s="192" t="str">
        <f ca="1"/>
        <v>v</v>
      </c>
      <c r="G34" s="192" t="str">
        <f ca="1"/>
        <v>5.1</v>
      </c>
      <c r="H34" s="192" t="str">
        <f ca="1"/>
        <v>ארגוני</v>
      </c>
      <c r="I34" s="192" t="str">
        <f ca="1"/>
        <v>v</v>
      </c>
      <c r="J34" s="28"/>
    </row>
    <row r="35" spans="1:10" ht="15" customHeight="1">
      <c r="A35" s="28"/>
      <c r="B35" s="192">
        <f ca="1"/>
        <v>3.3</v>
      </c>
      <c r="C35" s="192" t="str">
        <f ca="1"/>
        <v>Data</v>
      </c>
      <c r="D35" s="192" t="str">
        <f ca="1"/>
        <v>Protect</v>
      </c>
      <c r="E35" s="192" t="str">
        <f ca="1"/>
        <v>הגדר בקרת גישה לנתונים</v>
      </c>
      <c r="F35" s="192" t="str">
        <f ca="1"/>
        <v>v</v>
      </c>
      <c r="G35" s="192" t="str">
        <f ca="1"/>
        <v>5.2</v>
      </c>
      <c r="H35" s="192" t="str">
        <f ca="1"/>
        <v>ארגוני</v>
      </c>
      <c r="I35" s="192" t="str">
        <f ca="1"/>
        <v>v</v>
      </c>
      <c r="J35" s="28"/>
    </row>
    <row r="36" spans="1:10" ht="15" customHeight="1">
      <c r="A36" s="28"/>
      <c r="B36" s="192">
        <f ca="1"/>
        <v>3.3</v>
      </c>
      <c r="C36" s="192" t="str">
        <f ca="1"/>
        <v>Data</v>
      </c>
      <c r="D36" s="192" t="str">
        <f ca="1"/>
        <v>Protect</v>
      </c>
      <c r="E36" s="192" t="str">
        <f ca="1"/>
        <v>הגדר בקרת גישה לנתונים</v>
      </c>
      <c r="F36" s="192" t="str">
        <f ca="1"/>
        <v>v</v>
      </c>
      <c r="G36" s="192" t="str">
        <f ca="1"/>
        <v>6.1.2</v>
      </c>
      <c r="H36" s="192" t="str">
        <f ca="1"/>
        <v>מערכת</v>
      </c>
      <c r="I36" s="192" t="str">
        <f ca="1"/>
        <v>-</v>
      </c>
      <c r="J36" s="28"/>
    </row>
    <row r="37" spans="1:10" ht="15" customHeight="1">
      <c r="A37" s="28"/>
      <c r="B37" s="192">
        <f ca="1"/>
        <v>3.3</v>
      </c>
      <c r="C37" s="192" t="str">
        <f ca="1"/>
        <v>Data</v>
      </c>
      <c r="D37" s="192" t="str">
        <f ca="1"/>
        <v>Protect</v>
      </c>
      <c r="E37" s="192" t="str">
        <f ca="1"/>
        <v>הגדר בקרת גישה לנתונים</v>
      </c>
      <c r="F37" s="192" t="str">
        <f ca="1"/>
        <v>v</v>
      </c>
      <c r="G37" s="192" t="str">
        <f ca="1"/>
        <v>6.3.2</v>
      </c>
      <c r="H37" s="192" t="str">
        <f ca="1"/>
        <v>מערכת</v>
      </c>
      <c r="I37" s="192" t="str">
        <f ca="1"/>
        <v>-</v>
      </c>
      <c r="J37" s="28"/>
    </row>
    <row r="38" spans="1:10" ht="15" customHeight="1">
      <c r="A38" s="28"/>
      <c r="B38" s="192">
        <f ca="1"/>
        <v>3.3</v>
      </c>
      <c r="C38" s="192" t="str">
        <f ca="1"/>
        <v>Data</v>
      </c>
      <c r="D38" s="192" t="str">
        <f ca="1"/>
        <v>Protect</v>
      </c>
      <c r="E38" s="192" t="str">
        <f ca="1"/>
        <v>הגדר בקרת גישה לנתונים</v>
      </c>
      <c r="F38" s="192" t="str">
        <f ca="1"/>
        <v>v</v>
      </c>
      <c r="G38" s="192" t="str">
        <f ca="1"/>
        <v>6.3.7</v>
      </c>
      <c r="H38" s="192" t="str">
        <f ca="1"/>
        <v>מערכת</v>
      </c>
      <c r="I38" s="192" t="str">
        <f ca="1"/>
        <v>-</v>
      </c>
      <c r="J38" s="28"/>
    </row>
    <row r="39" spans="1:10" ht="15" customHeight="1">
      <c r="A39" s="28"/>
      <c r="B39" s="192">
        <f ca="1"/>
        <v>3.3</v>
      </c>
      <c r="C39" s="192" t="str">
        <f ca="1"/>
        <v>Data</v>
      </c>
      <c r="D39" s="192" t="str">
        <f ca="1"/>
        <v>Protect</v>
      </c>
      <c r="E39" s="192" t="str">
        <f ca="1"/>
        <v>הגדר בקרת גישה לנתונים</v>
      </c>
      <c r="F39" s="192" t="str">
        <f ca="1"/>
        <v>v</v>
      </c>
      <c r="G39" s="192" t="str">
        <f ca="1"/>
        <v>6.5</v>
      </c>
      <c r="H39" s="192" t="str">
        <f ca="1"/>
        <v>מערכת</v>
      </c>
      <c r="I39" s="192" t="str">
        <f ca="1"/>
        <v>v</v>
      </c>
      <c r="J39" s="28"/>
    </row>
    <row r="40" spans="1:10" ht="15" customHeight="1">
      <c r="A40" s="28"/>
      <c r="B40" s="192">
        <f ca="1"/>
        <v>3.3</v>
      </c>
      <c r="C40" s="192" t="str">
        <f ca="1"/>
        <v>Data</v>
      </c>
      <c r="D40" s="192" t="str">
        <f ca="1"/>
        <v>Protect</v>
      </c>
      <c r="E40" s="192" t="str">
        <f ca="1"/>
        <v>הגדר בקרת גישה לנתונים</v>
      </c>
      <c r="F40" s="192" t="str">
        <f ca="1"/>
        <v>v</v>
      </c>
      <c r="G40" s="192" t="str">
        <f ca="1"/>
        <v>6.6</v>
      </c>
      <c r="H40" s="192" t="str">
        <f ca="1"/>
        <v>מערכת</v>
      </c>
      <c r="I40" s="192" t="str">
        <f ca="1"/>
        <v>v</v>
      </c>
      <c r="J40" s="28"/>
    </row>
    <row r="41" spans="1:10" ht="15" customHeight="1">
      <c r="A41" s="28"/>
      <c r="B41" s="192">
        <f ca="1"/>
        <v>3.3</v>
      </c>
      <c r="C41" s="192" t="str">
        <f ca="1"/>
        <v>Data</v>
      </c>
      <c r="D41" s="192" t="str">
        <f ca="1"/>
        <v>Protect</v>
      </c>
      <c r="E41" s="192" t="str">
        <f ca="1"/>
        <v>הגדר בקרת גישה לנתונים</v>
      </c>
      <c r="F41" s="192" t="str">
        <f ca="1"/>
        <v>v</v>
      </c>
      <c r="G41" s="192" t="str">
        <f ca="1"/>
        <v>7.1</v>
      </c>
      <c r="H41" s="192" t="str">
        <f ca="1"/>
        <v>מערכת</v>
      </c>
      <c r="I41" s="192" t="str">
        <f ca="1"/>
        <v>v</v>
      </c>
      <c r="J41" s="28"/>
    </row>
    <row r="42" spans="1:10" ht="15" customHeight="1">
      <c r="A42" s="28"/>
      <c r="B42" s="192">
        <f ca="1"/>
        <v>3.4</v>
      </c>
      <c r="C42" s="192" t="str">
        <f ca="1"/>
        <v>Data</v>
      </c>
      <c r="D42" s="192" t="str">
        <f ca="1"/>
        <v>Protect</v>
      </c>
      <c r="E42" s="192" t="str">
        <f ca="1"/>
        <v>יש להגדיר אכיפת Data Ritention</v>
      </c>
      <c r="F42" s="192" t="str">
        <f ca="1"/>
        <v/>
      </c>
      <c r="G42" s="192" t="str">
        <f ca="1"/>
        <v>-</v>
      </c>
      <c r="H42" s="192" t="str">
        <f ca="1"/>
        <v>ארגוני</v>
      </c>
      <c r="I42" s="192" t="str">
        <f ca="1"/>
        <v>-</v>
      </c>
      <c r="J42" s="28"/>
    </row>
    <row r="43" spans="1:10" ht="15" customHeight="1">
      <c r="A43" s="28"/>
      <c r="B43" s="192">
        <f ca="1"/>
        <v>3.5</v>
      </c>
      <c r="C43" s="192" t="str">
        <f ca="1"/>
        <v>Data</v>
      </c>
      <c r="D43" s="192" t="str">
        <f ca="1"/>
        <v>Protect</v>
      </c>
      <c r="E43" s="192" t="str">
        <f ca="1"/>
        <v>יש לוודא השמדת מידע מאובטחת בסיום תקופת ה Ritention</v>
      </c>
      <c r="F43" s="192" t="str">
        <f ca="1"/>
        <v/>
      </c>
      <c r="G43" s="192" t="str">
        <f ca="1"/>
        <v>-</v>
      </c>
      <c r="H43" s="192" t="str">
        <f ca="1"/>
        <v>ארגוני</v>
      </c>
      <c r="I43" s="192" t="str">
        <f ca="1"/>
        <v>-</v>
      </c>
      <c r="J43" s="28"/>
    </row>
    <row r="44" spans="1:10" ht="15" customHeight="1">
      <c r="A44" s="28"/>
      <c r="B44" s="192">
        <f ca="1"/>
        <v>3.7</v>
      </c>
      <c r="C44" s="192" t="str">
        <f ca="1"/>
        <v>Data</v>
      </c>
      <c r="D44" s="192" t="str">
        <f ca="1"/>
        <v>Identify</v>
      </c>
      <c r="E44" s="192" t="str">
        <f ca="1"/>
        <v>הקמה ותחזוקה של תוכנית סיווג נתונים</v>
      </c>
      <c r="F44" s="192" t="str">
        <f ca="1"/>
        <v/>
      </c>
      <c r="G44" s="192" t="str">
        <f ca="1"/>
        <v>-</v>
      </c>
      <c r="H44" s="192" t="str">
        <f ca="1"/>
        <v>ארגוני</v>
      </c>
      <c r="I44" s="192" t="str">
        <f ca="1"/>
        <v>-</v>
      </c>
      <c r="J44" s="28"/>
    </row>
    <row r="45" spans="1:10" ht="15" customHeight="1">
      <c r="A45" s="28"/>
      <c r="B45" s="192">
        <f ca="1"/>
        <v>3.8</v>
      </c>
      <c r="C45" s="192" t="str">
        <f ca="1"/>
        <v>Data</v>
      </c>
      <c r="D45" s="192" t="str">
        <f ca="1"/>
        <v>Identify</v>
      </c>
      <c r="E45" s="192" t="str">
        <f ca="1"/>
        <v>הגדרת אופן זרימת נתונים</v>
      </c>
      <c r="F45" s="192" t="str">
        <f ca="1"/>
        <v/>
      </c>
      <c r="G45" s="192" t="str">
        <f ca="1"/>
        <v>-</v>
      </c>
      <c r="H45" s="192" t="str">
        <f ca="1"/>
        <v>ארגוני</v>
      </c>
      <c r="I45" s="192" t="str">
        <f ca="1"/>
        <v>-</v>
      </c>
      <c r="J45" s="28"/>
    </row>
    <row r="46" spans="1:10" ht="15" customHeight="1">
      <c r="A46" s="28"/>
      <c r="B46" s="192">
        <f ca="1"/>
        <v>3.1</v>
      </c>
      <c r="C46" s="192" t="str">
        <f ca="1"/>
        <v>Data</v>
      </c>
      <c r="D46" s="192" t="str">
        <f ca="1"/>
        <v>Protect</v>
      </c>
      <c r="E46" s="192" t="str">
        <f ca="1"/>
        <v>הצפנת נתונים רגישים בתנועה</v>
      </c>
      <c r="F46" s="192" t="str">
        <f ca="1"/>
        <v>v</v>
      </c>
      <c r="G46" s="192" t="str">
        <f ca="1"/>
        <v>3.9</v>
      </c>
      <c r="H46" s="192" t="str">
        <f ca="1"/>
        <v>ארגוני</v>
      </c>
      <c r="I46" s="192" t="str">
        <f ca="1"/>
        <v>v</v>
      </c>
      <c r="J46" s="28"/>
    </row>
    <row r="47" spans="1:10" ht="15" customHeight="1">
      <c r="A47" s="28"/>
      <c r="B47" s="192">
        <f ca="1"/>
        <v>3.1</v>
      </c>
      <c r="C47" s="192" t="str">
        <f ca="1"/>
        <v>Data</v>
      </c>
      <c r="D47" s="192" t="str">
        <f ca="1"/>
        <v>Protect</v>
      </c>
      <c r="E47" s="192" t="str">
        <f ca="1"/>
        <v>הצפנת נתונים רגישים בתנועה</v>
      </c>
      <c r="F47" s="192" t="str">
        <f ca="1"/>
        <v>v</v>
      </c>
      <c r="G47" s="192" t="str">
        <f ca="1"/>
        <v>4.3</v>
      </c>
      <c r="H47" s="192" t="str">
        <f ca="1"/>
        <v>מערכת</v>
      </c>
      <c r="I47" s="192" t="str">
        <f ca="1"/>
        <v>-</v>
      </c>
      <c r="J47" s="28"/>
    </row>
    <row r="48" spans="1:10" ht="15" customHeight="1">
      <c r="A48" s="28"/>
      <c r="B48" s="192">
        <f ca="1"/>
        <v>3.1</v>
      </c>
      <c r="C48" s="192" t="str">
        <f ca="1"/>
        <v>Data</v>
      </c>
      <c r="D48" s="192" t="str">
        <f ca="1"/>
        <v>Protect</v>
      </c>
      <c r="E48" s="192" t="str">
        <f ca="1"/>
        <v>הצפנת נתונים רגישים בתנועה</v>
      </c>
      <c r="F48" s="192" t="str">
        <f ca="1"/>
        <v>v</v>
      </c>
      <c r="G48" s="192" t="str">
        <f ca="1"/>
        <v>4.10</v>
      </c>
      <c r="H48" s="192" t="str">
        <f ca="1"/>
        <v>מערכת</v>
      </c>
      <c r="I48" s="192" t="str">
        <f ca="1"/>
        <v>-</v>
      </c>
      <c r="J48" s="28"/>
    </row>
    <row r="49" spans="1:10" ht="15" customHeight="1">
      <c r="A49" s="28"/>
      <c r="B49" s="192">
        <f ca="1"/>
        <v>3.1</v>
      </c>
      <c r="C49" s="192" t="str">
        <f ca="1"/>
        <v>Data</v>
      </c>
      <c r="D49" s="192" t="str">
        <f ca="1"/>
        <v>Protect</v>
      </c>
      <c r="E49" s="192" t="str">
        <f ca="1"/>
        <v>הצפנת נתונים רגישים בתנועה</v>
      </c>
      <c r="F49" s="192" t="str">
        <f ca="1"/>
        <v>v</v>
      </c>
      <c r="G49" s="192" t="str">
        <f ca="1"/>
        <v>6.4</v>
      </c>
      <c r="H49" s="192" t="str">
        <f ca="1"/>
        <v>מערכת</v>
      </c>
      <c r="I49" s="192" t="str">
        <f ca="1"/>
        <v>-</v>
      </c>
      <c r="J49" s="28"/>
    </row>
    <row r="50" spans="1:10" ht="15" customHeight="1">
      <c r="A50" s="28"/>
      <c r="B50" s="192">
        <f ca="1"/>
        <v>3.11</v>
      </c>
      <c r="C50" s="192" t="str">
        <f ca="1"/>
        <v>Data</v>
      </c>
      <c r="D50" s="192" t="str">
        <f ca="1"/>
        <v>Protect</v>
      </c>
      <c r="E50" s="192" t="str">
        <f ca="1"/>
        <v>הצפנת נתונים רגישים במנוחה</v>
      </c>
      <c r="F50" s="192" t="str">
        <f ca="1"/>
        <v>v</v>
      </c>
      <c r="G50" s="192" t="str">
        <f ca="1"/>
        <v>1.10</v>
      </c>
      <c r="H50" s="192" t="str">
        <f ca="1"/>
        <v>מערכת</v>
      </c>
      <c r="I50" s="192" t="str">
        <f ca="1"/>
        <v>-</v>
      </c>
      <c r="J50" s="28"/>
    </row>
    <row r="51" spans="1:10" ht="15" customHeight="1">
      <c r="A51" s="28"/>
      <c r="B51" s="192">
        <f ca="1"/>
        <v>3.11</v>
      </c>
      <c r="C51" s="192" t="str">
        <f ca="1"/>
        <v>Data</v>
      </c>
      <c r="D51" s="192" t="str">
        <f ca="1"/>
        <v>Protect</v>
      </c>
      <c r="E51" s="192" t="str">
        <f ca="1"/>
        <v>הצפנת נתונים רגישים במנוחה</v>
      </c>
      <c r="F51" s="192" t="str">
        <f ca="1"/>
        <v>v</v>
      </c>
      <c r="G51" s="192" t="str">
        <f ca="1"/>
        <v>1.17</v>
      </c>
      <c r="H51" s="192" t="str">
        <f ca="1"/>
        <v>מערכת</v>
      </c>
      <c r="I51" s="192" t="str">
        <f ca="1"/>
        <v>-</v>
      </c>
      <c r="J51" s="28"/>
    </row>
    <row r="52" spans="1:10" ht="15" customHeight="1">
      <c r="A52" s="28"/>
      <c r="B52" s="192">
        <f ca="1"/>
        <v>3.11</v>
      </c>
      <c r="C52" s="192" t="str">
        <f ca="1"/>
        <v>Data</v>
      </c>
      <c r="D52" s="192" t="str">
        <f ca="1"/>
        <v>Protect</v>
      </c>
      <c r="E52" s="192" t="str">
        <f ca="1"/>
        <v>הצפנת נתונים רגישים במנוחה</v>
      </c>
      <c r="F52" s="192" t="str">
        <f ca="1"/>
        <v>v</v>
      </c>
      <c r="G52" s="192" t="str">
        <f ca="1"/>
        <v>1.18</v>
      </c>
      <c r="H52" s="192" t="str">
        <f ca="1"/>
        <v>מערכת</v>
      </c>
      <c r="I52" s="192" t="str">
        <f ca="1"/>
        <v>-</v>
      </c>
      <c r="J52" s="28"/>
    </row>
    <row r="53" spans="1:10" ht="15" customHeight="1">
      <c r="A53" s="28"/>
      <c r="B53" s="192">
        <f ca="1"/>
        <v>3.11</v>
      </c>
      <c r="C53" s="192" t="str">
        <f ca="1"/>
        <v>Data</v>
      </c>
      <c r="D53" s="192" t="str">
        <f ca="1"/>
        <v>Protect</v>
      </c>
      <c r="E53" s="192" t="str">
        <f ca="1"/>
        <v>הצפנת נתונים רגישים במנוחה</v>
      </c>
      <c r="F53" s="192" t="str">
        <f ca="1"/>
        <v>v</v>
      </c>
      <c r="G53" s="192" t="str">
        <f ca="1"/>
        <v>4.7</v>
      </c>
      <c r="H53" s="192" t="str">
        <f ca="1"/>
        <v>מערכת</v>
      </c>
      <c r="I53" s="192" t="str">
        <f ca="1"/>
        <v>-</v>
      </c>
      <c r="J53" s="28"/>
    </row>
    <row r="54" spans="1:10" ht="15" customHeight="1">
      <c r="A54" s="28"/>
      <c r="B54" s="192">
        <f ca="1"/>
        <v>3.11</v>
      </c>
      <c r="C54" s="192" t="str">
        <f ca="1"/>
        <v>Data</v>
      </c>
      <c r="D54" s="192" t="str">
        <f ca="1"/>
        <v>Protect</v>
      </c>
      <c r="E54" s="192" t="str">
        <f ca="1"/>
        <v>הצפנת נתונים רגישים במנוחה</v>
      </c>
      <c r="F54" s="192" t="str">
        <f ca="1"/>
        <v>v</v>
      </c>
      <c r="G54" s="192" t="str">
        <f ca="1"/>
        <v>4.11</v>
      </c>
      <c r="H54" s="192" t="str">
        <f ca="1"/>
        <v>מערכת</v>
      </c>
      <c r="I54" s="192" t="str">
        <f ca="1"/>
        <v>-</v>
      </c>
      <c r="J54" s="28"/>
    </row>
    <row r="55" spans="1:10" ht="15" customHeight="1">
      <c r="A55" s="28"/>
      <c r="B55" s="192">
        <f ca="1"/>
        <v>3.11</v>
      </c>
      <c r="C55" s="192" t="str">
        <f ca="1"/>
        <v>Data</v>
      </c>
      <c r="D55" s="192" t="str">
        <f ca="1"/>
        <v>Protect</v>
      </c>
      <c r="E55" s="192" t="str">
        <f ca="1"/>
        <v>הצפנת נתונים רגישים במנוחה</v>
      </c>
      <c r="F55" s="192" t="str">
        <f ca="1"/>
        <v>v</v>
      </c>
      <c r="G55" s="192" t="str">
        <f ca="1"/>
        <v>7.2</v>
      </c>
      <c r="H55" s="192" t="str">
        <f ca="1"/>
        <v>מערכת</v>
      </c>
      <c r="I55" s="192" t="str">
        <f ca="1"/>
        <v>-</v>
      </c>
      <c r="J55" s="28"/>
    </row>
    <row r="56" spans="1:10" ht="15" customHeight="1">
      <c r="A56" s="28"/>
      <c r="B56" s="192">
        <f ca="1"/>
        <v>3.11</v>
      </c>
      <c r="C56" s="192" t="str">
        <f ca="1"/>
        <v>Data</v>
      </c>
      <c r="D56" s="192" t="str">
        <f ca="1"/>
        <v>Protect</v>
      </c>
      <c r="E56" s="192" t="str">
        <f ca="1"/>
        <v>הצפנת נתונים רגישים במנוחה</v>
      </c>
      <c r="F56" s="192" t="str">
        <f ca="1"/>
        <v>v</v>
      </c>
      <c r="G56" s="192" t="str">
        <f ca="1"/>
        <v>7.3</v>
      </c>
      <c r="H56" s="192" t="str">
        <f ca="1"/>
        <v>מערכת</v>
      </c>
      <c r="I56" s="192" t="str">
        <f ca="1"/>
        <v>-</v>
      </c>
      <c r="J56" s="28"/>
    </row>
    <row r="57" spans="1:10" ht="15" customHeight="1">
      <c r="A57" s="28"/>
      <c r="B57" s="192">
        <f ca="1"/>
        <v>3.11</v>
      </c>
      <c r="C57" s="192" t="str">
        <f ca="1"/>
        <v>Data</v>
      </c>
      <c r="D57" s="192" t="str">
        <f ca="1"/>
        <v>Protect</v>
      </c>
      <c r="E57" s="192" t="str">
        <f ca="1"/>
        <v>הצפנת נתונים רגישים במנוחה</v>
      </c>
      <c r="F57" s="192" t="str">
        <f ca="1"/>
        <v>v</v>
      </c>
      <c r="G57" s="192" t="str">
        <f ca="1"/>
        <v>1.7</v>
      </c>
      <c r="H57" s="192" t="str">
        <f ca="1"/>
        <v>מערכת</v>
      </c>
      <c r="I57" s="192" t="str">
        <f ca="1"/>
        <v>-</v>
      </c>
      <c r="J57" s="28"/>
    </row>
    <row r="58" spans="1:10" ht="15" customHeight="1">
      <c r="A58" s="28"/>
      <c r="B58" s="192">
        <f ca="1"/>
        <v>3.12</v>
      </c>
      <c r="C58" s="192" t="str">
        <f ca="1"/>
        <v>Network</v>
      </c>
      <c r="D58" s="192" t="str">
        <f ca="1"/>
        <v>Protect</v>
      </c>
      <c r="E58" s="192" t="str">
        <f ca="1"/>
        <v>פלח עיבוד נתונים ואחסון בהתבסס על רגישות המידע</v>
      </c>
      <c r="F58" s="192" t="str">
        <f ca="1"/>
        <v/>
      </c>
      <c r="G58" s="192" t="str">
        <f ca="1"/>
        <v>-</v>
      </c>
      <c r="H58" s="192" t="str">
        <f ca="1"/>
        <v>ארגוני</v>
      </c>
      <c r="I58" s="192" t="str">
        <f ca="1"/>
        <v>-</v>
      </c>
      <c r="J58" s="28"/>
    </row>
    <row r="59" spans="1:10" ht="15" customHeight="1">
      <c r="A59" s="28"/>
      <c r="B59" s="192" t="str">
        <f ca="1"/>
        <v>-</v>
      </c>
      <c r="C59" s="192" t="str">
        <f ca="1"/>
        <v>-</v>
      </c>
      <c r="D59" s="192" t="str">
        <f ca="1"/>
        <v>-</v>
      </c>
      <c r="E59" s="192" t="str">
        <f ca="1"/>
        <v>תצורה מאובטחת של נכסים ותוכנה ארגוניים</v>
      </c>
      <c r="F59" s="192" t="str">
        <f ca="1"/>
        <v>-</v>
      </c>
      <c r="G59" s="192" t="str">
        <f ca="1"/>
        <v>-</v>
      </c>
      <c r="H59" s="192" t="str">
        <f ca="1"/>
        <v>-</v>
      </c>
      <c r="I59" s="192" t="str">
        <f ca="1"/>
        <v>-</v>
      </c>
      <c r="J59" s="28"/>
    </row>
    <row r="60" spans="1:10" ht="15" customHeight="1">
      <c r="A60" s="28"/>
      <c r="B60" s="192">
        <f ca="1"/>
        <v>4.0999999999999996</v>
      </c>
      <c r="C60" s="192" t="str">
        <f ca="1"/>
        <v>Applications</v>
      </c>
      <c r="D60" s="192" t="str">
        <f ca="1"/>
        <v>Protect</v>
      </c>
      <c r="E60" s="192" t="str">
        <f ca="1"/>
        <v>הקמה ותחזוקה של תהליך תצורה מאובטח</v>
      </c>
      <c r="F60" s="192" t="str">
        <f ca="1"/>
        <v>v</v>
      </c>
      <c r="G60" s="192" t="str">
        <f ca="1"/>
        <v>6.3.3</v>
      </c>
      <c r="H60" s="192" t="str">
        <f ca="1"/>
        <v>מערכת</v>
      </c>
      <c r="I60" s="192" t="str">
        <f ca="1"/>
        <v>-</v>
      </c>
      <c r="J60" s="28"/>
    </row>
    <row r="61" spans="1:10" ht="15" customHeight="1">
      <c r="A61" s="28"/>
      <c r="B61" s="192">
        <f ca="1"/>
        <v>4.0999999999999996</v>
      </c>
      <c r="C61" s="192" t="str">
        <f ca="1"/>
        <v>Applications</v>
      </c>
      <c r="D61" s="192" t="str">
        <f ca="1"/>
        <v>Protect</v>
      </c>
      <c r="E61" s="192" t="str">
        <f ca="1"/>
        <v>הקמה ותחזוקה של תהליך תצורה מאובטח</v>
      </c>
      <c r="F61" s="192" t="str">
        <f ca="1"/>
        <v>v</v>
      </c>
      <c r="G61" s="192" t="str">
        <f ca="1"/>
        <v>6.3.4</v>
      </c>
      <c r="H61" s="192" t="str">
        <f ca="1"/>
        <v>מערכת</v>
      </c>
      <c r="I61" s="192" t="str">
        <f ca="1"/>
        <v>-</v>
      </c>
      <c r="J61" s="28"/>
    </row>
    <row r="62" spans="1:10" ht="15" customHeight="1">
      <c r="A62" s="28"/>
      <c r="B62" s="192">
        <f ca="1"/>
        <v>4.0999999999999996</v>
      </c>
      <c r="C62" s="192" t="str">
        <f ca="1"/>
        <v>Applications</v>
      </c>
      <c r="D62" s="192" t="str">
        <f ca="1"/>
        <v>Protect</v>
      </c>
      <c r="E62" s="192" t="str">
        <f ca="1"/>
        <v>הקמה ותחזוקה של תהליך תצורה מאובטח</v>
      </c>
      <c r="F62" s="192" t="str">
        <f ca="1"/>
        <v>v</v>
      </c>
      <c r="G62" s="192" t="str">
        <f ca="1"/>
        <v>6.3.6</v>
      </c>
      <c r="H62" s="192" t="str">
        <f ca="1"/>
        <v>מערכת</v>
      </c>
      <c r="I62" s="192" t="str">
        <f ca="1"/>
        <v>-</v>
      </c>
      <c r="J62" s="28"/>
    </row>
    <row r="63" spans="1:10" ht="15" customHeight="1">
      <c r="A63" s="28"/>
      <c r="B63" s="192">
        <f ca="1"/>
        <v>4.2</v>
      </c>
      <c r="C63" s="192" t="str">
        <f ca="1"/>
        <v>Network</v>
      </c>
      <c r="D63" s="192" t="str">
        <f ca="1"/>
        <v>Protect</v>
      </c>
      <c r="E63" s="192" t="str">
        <f ca="1"/>
        <v>הקמה ותחזוקה של תהליך תצורה מאובטח עבור תשתית רשת</v>
      </c>
      <c r="F63" s="192" t="str">
        <f ca="1"/>
        <v>v</v>
      </c>
      <c r="G63" s="192" t="str">
        <f ca="1"/>
        <v>3.1</v>
      </c>
      <c r="H63" s="192" t="str">
        <f ca="1"/>
        <v>ארגוני</v>
      </c>
      <c r="I63" s="192" t="str">
        <f ca="1"/>
        <v>v</v>
      </c>
      <c r="J63" s="28"/>
    </row>
    <row r="64" spans="1:10" ht="15" customHeight="1">
      <c r="A64" s="28"/>
      <c r="B64" s="192">
        <f ca="1"/>
        <v>4.2</v>
      </c>
      <c r="C64" s="192" t="str">
        <f ca="1"/>
        <v>Network</v>
      </c>
      <c r="D64" s="192" t="str">
        <f ca="1"/>
        <v>Protect</v>
      </c>
      <c r="E64" s="192" t="str">
        <f ca="1"/>
        <v>הקמה ותחזוקה של תהליך תצורה מאובטח עבור תשתית רשת</v>
      </c>
      <c r="F64" s="192" t="str">
        <f ca="1"/>
        <v>v</v>
      </c>
      <c r="G64" s="192" t="str">
        <f ca="1"/>
        <v>3.2</v>
      </c>
      <c r="H64" s="192" t="str">
        <f ca="1"/>
        <v>מערכת</v>
      </c>
      <c r="I64" s="192" t="str">
        <f ca="1"/>
        <v>-</v>
      </c>
      <c r="J64" s="28"/>
    </row>
    <row r="65" spans="1:10" ht="15" customHeight="1">
      <c r="A65" s="28"/>
      <c r="B65" s="192">
        <f ca="1"/>
        <v>4.2</v>
      </c>
      <c r="C65" s="192" t="str">
        <f ca="1"/>
        <v>Network</v>
      </c>
      <c r="D65" s="192" t="str">
        <f ca="1"/>
        <v>Protect</v>
      </c>
      <c r="E65" s="192" t="str">
        <f ca="1"/>
        <v>הקמה ותחזוקה של תהליך תצורה מאובטח עבור תשתית רשת</v>
      </c>
      <c r="F65" s="192" t="str">
        <f ca="1"/>
        <v>v</v>
      </c>
      <c r="G65" s="192" t="str">
        <f ca="1"/>
        <v>3.3</v>
      </c>
      <c r="H65" s="192" t="str">
        <f ca="1"/>
        <v>מערכת</v>
      </c>
      <c r="I65" s="192" t="str">
        <f ca="1"/>
        <v>-</v>
      </c>
      <c r="J65" s="28"/>
    </row>
    <row r="66" spans="1:10" ht="15" customHeight="1">
      <c r="A66" s="28"/>
      <c r="B66" s="192">
        <f ca="1"/>
        <v>4.2</v>
      </c>
      <c r="C66" s="192" t="str">
        <f ca="1"/>
        <v>Network</v>
      </c>
      <c r="D66" s="192" t="str">
        <f ca="1"/>
        <v>Protect</v>
      </c>
      <c r="E66" s="192" t="str">
        <f ca="1"/>
        <v>הקמה ותחזוקה של תהליך תצורה מאובטח עבור תשתית רשת</v>
      </c>
      <c r="F66" s="192" t="str">
        <f ca="1"/>
        <v>v</v>
      </c>
      <c r="G66" s="192" t="str">
        <f ca="1"/>
        <v>3.5</v>
      </c>
      <c r="H66" s="192" t="str">
        <f ca="1"/>
        <v>מערכת</v>
      </c>
      <c r="I66" s="192" t="str">
        <f ca="1"/>
        <v>-</v>
      </c>
      <c r="J66" s="28"/>
    </row>
    <row r="67" spans="1:10" ht="15" customHeight="1">
      <c r="A67" s="28"/>
      <c r="B67" s="192">
        <f ca="1"/>
        <v>4.2</v>
      </c>
      <c r="C67" s="192" t="str">
        <f ca="1"/>
        <v>Network</v>
      </c>
      <c r="D67" s="192" t="str">
        <f ca="1"/>
        <v>Protect</v>
      </c>
      <c r="E67" s="192" t="str">
        <f ca="1"/>
        <v>הקמה ותחזוקה של תהליך תצורה מאובטח עבור תשתית רשת</v>
      </c>
      <c r="F67" s="192" t="str">
        <f ca="1"/>
        <v>v</v>
      </c>
      <c r="G67" s="192" t="str">
        <f ca="1"/>
        <v>3.4</v>
      </c>
      <c r="H67" s="192" t="str">
        <f ca="1"/>
        <v>מערכת</v>
      </c>
      <c r="I67" s="192" t="str">
        <f ca="1"/>
        <v>-</v>
      </c>
      <c r="J67" s="28"/>
    </row>
    <row r="68" spans="1:10" ht="15" customHeight="1">
      <c r="A68" s="28"/>
      <c r="B68" s="192">
        <f ca="1"/>
        <v>4.3</v>
      </c>
      <c r="C68" s="192" t="str">
        <f ca="1"/>
        <v>Users</v>
      </c>
      <c r="D68" s="192" t="str">
        <f ca="1"/>
        <v>Protect</v>
      </c>
      <c r="E68" s="192" t="str">
        <f ca="1"/>
        <v>הגדר נעילת  אוטומטית בהתחברות לנכסים ארגוניים</v>
      </c>
      <c r="F68" s="192" t="str">
        <f ca="1"/>
        <v/>
      </c>
      <c r="G68" s="192" t="str">
        <f ca="1"/>
        <v>-</v>
      </c>
      <c r="H68" s="192" t="str">
        <f ca="1"/>
        <v>מערכת</v>
      </c>
      <c r="I68" s="192" t="str">
        <f ca="1"/>
        <v>-</v>
      </c>
      <c r="J68" s="28"/>
    </row>
    <row r="69" spans="1:10" ht="15" customHeight="1">
      <c r="A69" s="28"/>
      <c r="B69" s="192">
        <f ca="1"/>
        <v>4.4000000000000004</v>
      </c>
      <c r="C69" s="192" t="str">
        <f ca="1"/>
        <v>Devices</v>
      </c>
      <c r="D69" s="192" t="str">
        <f ca="1"/>
        <v>Protect</v>
      </c>
      <c r="E69" s="192" t="str">
        <f ca="1"/>
        <v>יש להתמיע מערכת חומת אש ולנהל אותה</v>
      </c>
      <c r="F69" s="192" t="str">
        <f ca="1"/>
        <v>v</v>
      </c>
      <c r="G69" s="192" t="str">
        <f ca="1"/>
        <v>3.6</v>
      </c>
      <c r="H69" s="192" t="str">
        <f ca="1"/>
        <v>מערכת</v>
      </c>
      <c r="I69" s="192" t="str">
        <f ca="1"/>
        <v>v</v>
      </c>
      <c r="J69" s="28"/>
    </row>
    <row r="70" spans="1:10" ht="15" customHeight="1">
      <c r="A70" s="28"/>
      <c r="B70" s="192">
        <f ca="1"/>
        <v>4.4000000000000004</v>
      </c>
      <c r="C70" s="192" t="str">
        <f ca="1"/>
        <v>Devices</v>
      </c>
      <c r="D70" s="192" t="str">
        <f ca="1"/>
        <v>Protect</v>
      </c>
      <c r="E70" s="192" t="str">
        <f ca="1"/>
        <v>יש להתמיע מערכת חומת אש ולנהל אותה</v>
      </c>
      <c r="F70" s="192" t="str">
        <f ca="1"/>
        <v>v</v>
      </c>
      <c r="G70" s="192" t="str">
        <f ca="1"/>
        <v>3.7</v>
      </c>
      <c r="H70" s="192" t="str">
        <f ca="1"/>
        <v>ארגוני</v>
      </c>
      <c r="I70" s="192" t="str">
        <f ca="1"/>
        <v>v</v>
      </c>
      <c r="J70" s="28"/>
    </row>
    <row r="71" spans="1:10" ht="15" customHeight="1">
      <c r="A71" s="28"/>
      <c r="B71" s="192">
        <f ca="1"/>
        <v>4.4000000000000004</v>
      </c>
      <c r="C71" s="192" t="str">
        <f ca="1"/>
        <v>Devices</v>
      </c>
      <c r="D71" s="192" t="str">
        <f ca="1"/>
        <v>Protect</v>
      </c>
      <c r="E71" s="192" t="str">
        <f ca="1"/>
        <v>יש להתמיע מערכת חומת אש ולנהל אותה</v>
      </c>
      <c r="F71" s="192" t="str">
        <f ca="1"/>
        <v>v</v>
      </c>
      <c r="G71" s="192" t="str">
        <f ca="1"/>
        <v>4.6</v>
      </c>
      <c r="H71" s="192" t="str">
        <f ca="1"/>
        <v>מערכת</v>
      </c>
      <c r="I71" s="192" t="str">
        <f ca="1"/>
        <v>-</v>
      </c>
      <c r="J71" s="28"/>
    </row>
    <row r="72" spans="1:10" ht="15" customHeight="1">
      <c r="A72" s="28"/>
      <c r="B72" s="192">
        <f ca="1"/>
        <v>4.5</v>
      </c>
      <c r="C72" s="192" t="str">
        <f ca="1"/>
        <v>Devices</v>
      </c>
      <c r="D72" s="192" t="str">
        <f ca="1"/>
        <v>Protect</v>
      </c>
      <c r="E72" s="192" t="str">
        <f ca="1"/>
        <v>יישום וניהול חומת אש עבור שרתים ומשתמש קצה</v>
      </c>
      <c r="F72" s="192" t="str">
        <f ca="1"/>
        <v>v</v>
      </c>
      <c r="G72" s="192" t="str">
        <f ca="1"/>
        <v>3.6</v>
      </c>
      <c r="H72" s="192" t="str">
        <f ca="1"/>
        <v>ארגוני</v>
      </c>
      <c r="I72" s="192" t="str">
        <f ca="1"/>
        <v>-</v>
      </c>
      <c r="J72" s="28"/>
    </row>
    <row r="73" spans="1:10" ht="15" customHeight="1">
      <c r="A73" s="28"/>
      <c r="B73" s="192">
        <f ca="1"/>
        <v>4.5</v>
      </c>
      <c r="C73" s="192" t="str">
        <f ca="1"/>
        <v>Devices</v>
      </c>
      <c r="D73" s="192" t="str">
        <f ca="1"/>
        <v>Protect</v>
      </c>
      <c r="E73" s="192" t="str">
        <f ca="1"/>
        <v>יישום וניהול חומת אש עבור שרתים ומשתמש קצה</v>
      </c>
      <c r="F73" s="192" t="str">
        <f ca="1"/>
        <v>v</v>
      </c>
      <c r="G73" s="192" t="str">
        <f ca="1"/>
        <v>3.7</v>
      </c>
      <c r="H73" s="192" t="str">
        <f ca="1"/>
        <v>ארגוני</v>
      </c>
      <c r="I73" s="192" t="str">
        <f ca="1"/>
        <v>-</v>
      </c>
      <c r="J73" s="28"/>
    </row>
    <row r="74" spans="1:10" ht="15" customHeight="1">
      <c r="A74" s="28"/>
      <c r="B74" s="192">
        <f ca="1"/>
        <v>4.5</v>
      </c>
      <c r="C74" s="192" t="str">
        <f ca="1"/>
        <v>Devices</v>
      </c>
      <c r="D74" s="192" t="str">
        <f ca="1"/>
        <v>Protect</v>
      </c>
      <c r="E74" s="192" t="str">
        <f ca="1"/>
        <v>יישום וניהול חומת אש עבור שרתים ומשתמש קצה</v>
      </c>
      <c r="F74" s="192" t="str">
        <f ca="1"/>
        <v>v</v>
      </c>
      <c r="G74" s="192" t="str">
        <f ca="1"/>
        <v>4.6</v>
      </c>
      <c r="H74" s="192" t="str">
        <f ca="1"/>
        <v>מערכת</v>
      </c>
      <c r="I74" s="192" t="str">
        <f ca="1"/>
        <v>-</v>
      </c>
      <c r="J74" s="28"/>
    </row>
    <row r="75" spans="1:10" ht="15" customHeight="1">
      <c r="A75" s="28"/>
      <c r="B75" s="192">
        <f ca="1"/>
        <v>4.5999999999999996</v>
      </c>
      <c r="C75" s="192" t="str">
        <f ca="1"/>
        <v>Network</v>
      </c>
      <c r="D75" s="192" t="str">
        <f ca="1"/>
        <v>Protect</v>
      </c>
      <c r="E75" s="192" t="str">
        <f ca="1"/>
        <v>ניהול מאובטח של נכסים ותוכנה ארגוניים</v>
      </c>
      <c r="F75" s="192" t="str">
        <f ca="1"/>
        <v>v</v>
      </c>
      <c r="G75" s="192" t="str">
        <f ca="1"/>
        <v>6.2.9</v>
      </c>
      <c r="H75" s="192" t="str">
        <f ca="1"/>
        <v>מערכת</v>
      </c>
      <c r="I75" s="192" t="str">
        <f ca="1"/>
        <v>v</v>
      </c>
      <c r="J75" s="28"/>
    </row>
    <row r="76" spans="1:10" ht="15" customHeight="1">
      <c r="A76" s="28"/>
      <c r="B76" s="192">
        <f ca="1"/>
        <v>4.7</v>
      </c>
      <c r="C76" s="192" t="str">
        <f ca="1"/>
        <v>Users</v>
      </c>
      <c r="D76" s="192" t="str">
        <f ca="1"/>
        <v>Protect</v>
      </c>
      <c r="E76" s="192" t="str">
        <f ca="1"/>
        <v>נהל חשבונות ברירת מחדל בנכסים ותוכנה ארגוניים</v>
      </c>
      <c r="F76" s="192" t="str">
        <f ca="1"/>
        <v>v</v>
      </c>
      <c r="G76" s="192" t="str">
        <f ca="1"/>
        <v>4.1</v>
      </c>
      <c r="H76" s="192" t="str">
        <f ca="1"/>
        <v>מערכת</v>
      </c>
      <c r="I76" s="192" t="str">
        <f ca="1"/>
        <v>v</v>
      </c>
      <c r="J76" s="28"/>
    </row>
    <row r="77" spans="1:10" ht="15" customHeight="1">
      <c r="A77" s="28"/>
      <c r="B77" s="192">
        <f ca="1"/>
        <v>4.7</v>
      </c>
      <c r="C77" s="192" t="str">
        <f ca="1"/>
        <v>Users</v>
      </c>
      <c r="D77" s="192" t="str">
        <f ca="1"/>
        <v>Protect</v>
      </c>
      <c r="E77" s="192" t="str">
        <f ca="1"/>
        <v>נהל חשבונות ברירת מחדל בנכסים ותוכנה ארגוניים</v>
      </c>
      <c r="F77" s="192" t="str">
        <f ca="1"/>
        <v>v</v>
      </c>
      <c r="G77" s="192" t="str">
        <f ca="1"/>
        <v>4.2</v>
      </c>
      <c r="H77" s="192" t="str">
        <f ca="1"/>
        <v>מערכת</v>
      </c>
      <c r="I77" s="192" t="str">
        <f ca="1"/>
        <v>v</v>
      </c>
      <c r="J77" s="28"/>
    </row>
    <row r="78" spans="1:10" ht="15" customHeight="1">
      <c r="A78" s="28"/>
      <c r="B78" s="192">
        <f ca="1"/>
        <v>4.7</v>
      </c>
      <c r="C78" s="192" t="str">
        <f ca="1"/>
        <v>Users</v>
      </c>
      <c r="D78" s="192" t="str">
        <f ca="1"/>
        <v>Protect</v>
      </c>
      <c r="E78" s="192" t="str">
        <f ca="1"/>
        <v>נהל חשבונות ברירת מחדל בנכסים ותוכנה ארגוניים</v>
      </c>
      <c r="F78" s="192" t="str">
        <f ca="1"/>
        <v>v</v>
      </c>
      <c r="G78" s="192" t="str">
        <f ca="1"/>
        <v>6.1.1</v>
      </c>
      <c r="H78" s="192" t="str">
        <f ca="1"/>
        <v>מערכת</v>
      </c>
      <c r="I78" s="192" t="str">
        <f ca="1"/>
        <v>-</v>
      </c>
      <c r="J78" s="28"/>
    </row>
    <row r="79" spans="1:10" ht="15" customHeight="1">
      <c r="A79" s="28"/>
      <c r="B79" s="192">
        <f ca="1"/>
        <v>4.8</v>
      </c>
      <c r="C79" s="192" t="str">
        <f ca="1"/>
        <v>Devices</v>
      </c>
      <c r="D79" s="192" t="str">
        <f ca="1"/>
        <v>Protect</v>
      </c>
      <c r="E79" s="192" t="str">
        <f ca="1"/>
        <v>הסר או השבת שירותים מיותרים בנכסים ותוכנות ארגוניות</v>
      </c>
      <c r="F79" s="192" t="str">
        <f ca="1"/>
        <v>v</v>
      </c>
      <c r="G79" s="192" t="str">
        <f ca="1"/>
        <v>4.5</v>
      </c>
      <c r="H79" s="192" t="str">
        <f ca="1"/>
        <v>מערכת</v>
      </c>
      <c r="I79" s="192" t="str">
        <f ca="1"/>
        <v>v</v>
      </c>
      <c r="J79" s="28"/>
    </row>
    <row r="80" spans="1:10" ht="15" customHeight="1">
      <c r="A80" s="28"/>
      <c r="B80" s="192">
        <f ca="1"/>
        <v>4.8</v>
      </c>
      <c r="C80" s="192" t="str">
        <f ca="1"/>
        <v>Devices</v>
      </c>
      <c r="D80" s="192" t="str">
        <f ca="1"/>
        <v>Protect</v>
      </c>
      <c r="E80" s="192" t="str">
        <f ca="1"/>
        <v>הסר או השבת שירותים מיותרים בנכסים ותוכנות ארגוניות</v>
      </c>
      <c r="F80" s="192" t="str">
        <f ca="1"/>
        <v>v</v>
      </c>
      <c r="G80" s="192" t="str">
        <f ca="1"/>
        <v>6.3.5</v>
      </c>
      <c r="H80" s="192" t="str">
        <f ca="1"/>
        <v>מערכת</v>
      </c>
      <c r="I80" s="192" t="str">
        <f ca="1"/>
        <v>-</v>
      </c>
      <c r="J80" s="28"/>
    </row>
    <row r="81" spans="1:10" ht="15" customHeight="1">
      <c r="A81" s="28"/>
      <c r="B81" s="192">
        <f ca="1"/>
        <v>4.9000000000000004</v>
      </c>
      <c r="C81" s="192" t="str">
        <f ca="1"/>
        <v>Devices</v>
      </c>
      <c r="D81" s="192" t="str">
        <f ca="1"/>
        <v>Protect</v>
      </c>
      <c r="E81" s="192" t="str">
        <f ca="1"/>
        <v>הגדר שרתי DNS מהימנים בנכסי ארגונים</v>
      </c>
      <c r="F81" s="192" t="str">
        <f ca="1"/>
        <v/>
      </c>
      <c r="G81" s="192" t="str">
        <f ca="1"/>
        <v>-</v>
      </c>
      <c r="H81" s="192" t="str">
        <f ca="1"/>
        <v>מערכת</v>
      </c>
      <c r="I81" s="192" t="str">
        <f ca="1"/>
        <v>-</v>
      </c>
      <c r="J81" s="28"/>
    </row>
    <row r="82" spans="1:10" ht="15" customHeight="1">
      <c r="A82" s="28"/>
      <c r="B82" s="192">
        <f ca="1"/>
        <v>4.0999999999999996</v>
      </c>
      <c r="C82" s="192" t="str">
        <f ca="1"/>
        <v>Devices</v>
      </c>
      <c r="D82" s="192" t="str">
        <f ca="1"/>
        <v>Respond</v>
      </c>
      <c r="E82" s="192" t="str">
        <f ca="1"/>
        <v>יש להגדיר אכיפה של נעילת מכשיר אוטומטית על מכשירי משתמש קצה ניידים</v>
      </c>
      <c r="F82" s="192" t="str">
        <f ca="1"/>
        <v/>
      </c>
      <c r="G82" s="192" t="str">
        <f ca="1"/>
        <v>-</v>
      </c>
      <c r="H82" s="192" t="str">
        <f ca="1"/>
        <v>מערכת</v>
      </c>
      <c r="I82" s="192" t="str">
        <f ca="1"/>
        <v>-</v>
      </c>
      <c r="J82" s="28"/>
    </row>
    <row r="83" spans="1:10" ht="15" customHeight="1">
      <c r="A83" s="28"/>
      <c r="B83" s="192">
        <f ca="1"/>
        <v>4.1100000000000003</v>
      </c>
      <c r="C83" s="192" t="str">
        <f ca="1"/>
        <v>Devices</v>
      </c>
      <c r="D83" s="192" t="str">
        <f ca="1"/>
        <v>Protect</v>
      </c>
      <c r="E83" s="192" t="str">
        <f ca="1"/>
        <v>אכיפת יכולת מחיקה מרחוק במכשירי משתמש קצה ניידים</v>
      </c>
      <c r="F83" s="192" t="str">
        <f ca="1"/>
        <v/>
      </c>
      <c r="G83" s="192" t="str">
        <f ca="1"/>
        <v>-</v>
      </c>
      <c r="H83" s="192" t="str">
        <f ca="1"/>
        <v>מערכת</v>
      </c>
      <c r="I83" s="192" t="str">
        <f ca="1"/>
        <v>-</v>
      </c>
      <c r="J83" s="28"/>
    </row>
    <row r="84" spans="1:10" ht="15" customHeight="1">
      <c r="A84" s="28"/>
      <c r="B84" s="192">
        <f ca="1"/>
        <v>4.12</v>
      </c>
      <c r="C84" s="192" t="str">
        <f ca="1"/>
        <v>Devices</v>
      </c>
      <c r="D84" s="192" t="str">
        <f ca="1"/>
        <v>Protect</v>
      </c>
      <c r="E84" s="192" t="str">
        <f ca="1"/>
        <v>הפרד סביבות עבודה ארגוניות במכשירי משתמש קצה ניידים</v>
      </c>
      <c r="F84" s="192" t="str">
        <f ca="1"/>
        <v/>
      </c>
      <c r="G84" s="192" t="str">
        <f ca="1"/>
        <v>-</v>
      </c>
      <c r="H84" s="192" t="str">
        <f ca="1"/>
        <v>מערכת</v>
      </c>
      <c r="I84" s="192" t="str">
        <f ca="1"/>
        <v>-</v>
      </c>
      <c r="J84" s="28"/>
    </row>
    <row r="85" spans="1:10" ht="15" customHeight="1">
      <c r="A85" s="28"/>
      <c r="B85" s="192" t="str">
        <f ca="1"/>
        <v>-</v>
      </c>
      <c r="C85" s="192" t="str">
        <f ca="1"/>
        <v>-</v>
      </c>
      <c r="D85" s="192" t="str">
        <f ca="1"/>
        <v>-</v>
      </c>
      <c r="E85" s="192" t="str">
        <f ca="1"/>
        <v>ניהול חשבון</v>
      </c>
      <c r="F85" s="192" t="str">
        <f ca="1"/>
        <v>-</v>
      </c>
      <c r="G85" s="192" t="str">
        <f ca="1"/>
        <v>-</v>
      </c>
      <c r="H85" s="192" t="str">
        <f ca="1"/>
        <v>-</v>
      </c>
      <c r="I85" s="192" t="str">
        <f ca="1"/>
        <v>-</v>
      </c>
      <c r="J85" s="28"/>
    </row>
    <row r="86" spans="1:10" ht="15" customHeight="1">
      <c r="A86" s="28"/>
      <c r="B86" s="192">
        <f ca="1"/>
        <v>5.0999999999999996</v>
      </c>
      <c r="C86" s="192" t="str">
        <f ca="1"/>
        <v>Users</v>
      </c>
      <c r="D86" s="192" t="str">
        <f ca="1"/>
        <v>Identify</v>
      </c>
      <c r="E86" s="192" t="str">
        <f ca="1"/>
        <v>הקמה ותחזוקה של מיפוי חשבונות וזהויות</v>
      </c>
      <c r="F86" s="192" t="str">
        <f ca="1"/>
        <v/>
      </c>
      <c r="G86" s="192" t="str">
        <f ca="1"/>
        <v>-</v>
      </c>
      <c r="H86" s="192" t="str">
        <f ca="1"/>
        <v>ארגוני</v>
      </c>
      <c r="I86" s="192" t="str">
        <f ca="1"/>
        <v>-</v>
      </c>
      <c r="J86" s="28"/>
    </row>
    <row r="87" spans="1:10" ht="15" customHeight="1">
      <c r="A87" s="28"/>
      <c r="B87" s="192">
        <f ca="1"/>
        <v>5.2</v>
      </c>
      <c r="C87" s="192" t="str">
        <f ca="1"/>
        <v>Users</v>
      </c>
      <c r="D87" s="192" t="str">
        <f ca="1"/>
        <v>Protect</v>
      </c>
      <c r="E87" s="192" t="str">
        <f ca="1"/>
        <v>השתמש בסיסמאות ייחודיות</v>
      </c>
      <c r="F87" s="192" t="str">
        <f ca="1"/>
        <v>v</v>
      </c>
      <c r="G87" s="192" t="str">
        <f ca="1"/>
        <v>4.3</v>
      </c>
      <c r="H87" s="192" t="str">
        <f ca="1"/>
        <v>ארגוני</v>
      </c>
      <c r="I87" s="192" t="str">
        <f ca="1"/>
        <v>-</v>
      </c>
      <c r="J87" s="28"/>
    </row>
    <row r="88" spans="1:10" ht="15" customHeight="1">
      <c r="A88" s="28"/>
      <c r="B88" s="192">
        <f ca="1"/>
        <v>5.3</v>
      </c>
      <c r="C88" s="192" t="str">
        <f ca="1"/>
        <v>Users</v>
      </c>
      <c r="D88" s="192" t="str">
        <f ca="1"/>
        <v>Respond</v>
      </c>
      <c r="E88" s="192" t="str">
        <f ca="1"/>
        <v>השבת חשבונות רדומים</v>
      </c>
      <c r="F88" s="192" t="str">
        <f ca="1"/>
        <v/>
      </c>
      <c r="G88" s="192" t="str">
        <f ca="1"/>
        <v>-</v>
      </c>
      <c r="H88" s="192" t="str">
        <f ca="1"/>
        <v>ארגוני</v>
      </c>
      <c r="I88" s="192" t="str">
        <f ca="1"/>
        <v>-</v>
      </c>
      <c r="J88" s="28"/>
    </row>
    <row r="89" spans="1:10" ht="15" customHeight="1">
      <c r="A89" s="28"/>
      <c r="B89" s="192">
        <f ca="1"/>
        <v>5.4</v>
      </c>
      <c r="C89" s="192" t="str">
        <f ca="1"/>
        <v>Users</v>
      </c>
      <c r="D89" s="192" t="str">
        <f ca="1"/>
        <v>Protect</v>
      </c>
      <c r="E89" s="192" t="str">
        <f ca="1"/>
        <v>הגבל את הרשאות מנהל לחשבונות מנהל ייעודיים</v>
      </c>
      <c r="F89" s="192" t="str">
        <f ca="1"/>
        <v>v</v>
      </c>
      <c r="G89" s="192" t="str">
        <f ca="1"/>
        <v>1.5</v>
      </c>
      <c r="H89" s="192" t="str">
        <f ca="1"/>
        <v>ארגוני</v>
      </c>
      <c r="I89" s="192" t="str">
        <f ca="1"/>
        <v>-</v>
      </c>
      <c r="J89" s="28"/>
    </row>
    <row r="90" spans="1:10" ht="15" customHeight="1">
      <c r="A90" s="28"/>
      <c r="B90" s="192">
        <f ca="1"/>
        <v>5.5</v>
      </c>
      <c r="C90" s="192" t="str">
        <f ca="1"/>
        <v>Users</v>
      </c>
      <c r="D90" s="192" t="str">
        <f ca="1"/>
        <v>Identify</v>
      </c>
      <c r="E90" s="192" t="str">
        <f ca="1"/>
        <v>הקמה ותחזוקה של מיפוי של חשבונות שירות</v>
      </c>
      <c r="F90" s="192" t="str">
        <f ca="1"/>
        <v/>
      </c>
      <c r="G90" s="192" t="str">
        <f ca="1"/>
        <v>-</v>
      </c>
      <c r="H90" s="192" t="str">
        <f ca="1"/>
        <v>ארגוני</v>
      </c>
      <c r="I90" s="192" t="str">
        <f ca="1"/>
        <v>-</v>
      </c>
      <c r="J90" s="28"/>
    </row>
    <row r="91" spans="1:10" ht="15" customHeight="1">
      <c r="A91" s="28"/>
      <c r="B91" s="192">
        <f ca="1"/>
        <v>5.6</v>
      </c>
      <c r="C91" s="192" t="str">
        <f ca="1"/>
        <v>Users</v>
      </c>
      <c r="D91" s="192" t="str">
        <f ca="1"/>
        <v>Protect</v>
      </c>
      <c r="E91" s="192" t="str">
        <f ca="1"/>
        <v>הגדר ניהול מרכזי לחשבונות וזהויות עבור הארגון</v>
      </c>
      <c r="F91" s="192" t="str">
        <f ca="1"/>
        <v>v</v>
      </c>
      <c r="G91" s="192" t="str">
        <f ca="1"/>
        <v>1.1</v>
      </c>
      <c r="H91" s="192" t="str">
        <f ca="1"/>
        <v>ארגוני</v>
      </c>
      <c r="I91" s="192" t="str">
        <f ca="1"/>
        <v>-</v>
      </c>
      <c r="J91" s="28"/>
    </row>
    <row r="92" spans="1:10" ht="15" customHeight="1">
      <c r="A92" s="28"/>
      <c r="B92" s="192">
        <f ca="1"/>
        <v>5.6</v>
      </c>
      <c r="C92" s="192" t="str">
        <f ca="1"/>
        <v>Users</v>
      </c>
      <c r="D92" s="192" t="str">
        <f ca="1"/>
        <v>Protect</v>
      </c>
      <c r="E92" s="192" t="str">
        <f ca="1"/>
        <v>הגדר ניהול מרכזי לחשבונות וזהויות עבור הארגון</v>
      </c>
      <c r="F92" s="192" t="str">
        <f ca="1"/>
        <v>v</v>
      </c>
      <c r="G92" s="192" t="str">
        <f ca="1"/>
        <v>3.10</v>
      </c>
      <c r="H92" s="192" t="str">
        <f ca="1"/>
        <v>ארגוני</v>
      </c>
      <c r="I92" s="192" t="str">
        <f ca="1"/>
        <v>-</v>
      </c>
      <c r="J92" s="28"/>
    </row>
    <row r="93" spans="1:10" ht="15" customHeight="1">
      <c r="A93" s="28"/>
      <c r="B93" s="192">
        <f ca="1"/>
        <v>5.6</v>
      </c>
      <c r="C93" s="192" t="str">
        <f ca="1"/>
        <v>Users</v>
      </c>
      <c r="D93" s="192" t="str">
        <f ca="1"/>
        <v>Protect</v>
      </c>
      <c r="E93" s="192" t="str">
        <f ca="1"/>
        <v>הגדר ניהול מרכזי לחשבונות וזהויות עבור הארגון</v>
      </c>
      <c r="F93" s="192" t="str">
        <f ca="1"/>
        <v>v</v>
      </c>
      <c r="G93" s="192" t="str">
        <f ca="1"/>
        <v>4.4</v>
      </c>
      <c r="H93" s="192" t="str">
        <f ca="1"/>
        <v>ארגוני</v>
      </c>
      <c r="I93" s="192" t="str">
        <f ca="1"/>
        <v>v</v>
      </c>
      <c r="J93" s="28"/>
    </row>
    <row r="94" spans="1:10" ht="15" customHeight="1">
      <c r="A94" s="28"/>
      <c r="B94" s="192">
        <f ca="1"/>
        <v>5.6</v>
      </c>
      <c r="C94" s="192" t="str">
        <f ca="1"/>
        <v>Users</v>
      </c>
      <c r="D94" s="192" t="str">
        <f ca="1"/>
        <v>Protect</v>
      </c>
      <c r="E94" s="192" t="str">
        <f ca="1"/>
        <v>הגדר ניהול מרכזי לחשבונות וזהויות עבור הארגון</v>
      </c>
      <c r="F94" s="192" t="str">
        <f ca="1"/>
        <v>v</v>
      </c>
      <c r="G94" s="192" t="str">
        <f ca="1"/>
        <v>1.4</v>
      </c>
      <c r="H94" s="192" t="str">
        <f ca="1"/>
        <v>ארגוני</v>
      </c>
      <c r="I94" s="192" t="str">
        <f ca="1"/>
        <v>v</v>
      </c>
      <c r="J94" s="28"/>
    </row>
    <row r="95" spans="1:10" ht="15" customHeight="1">
      <c r="A95" s="28"/>
      <c r="B95" s="192" t="str">
        <f ca="1"/>
        <v>-</v>
      </c>
      <c r="C95" s="192" t="str">
        <f ca="1"/>
        <v>-</v>
      </c>
      <c r="D95" s="192" t="str">
        <f ca="1"/>
        <v>-</v>
      </c>
      <c r="E95" s="192" t="str">
        <f ca="1"/>
        <v>ניהול בקרת גישה</v>
      </c>
      <c r="F95" s="192" t="str">
        <f ca="1"/>
        <v>-</v>
      </c>
      <c r="G95" s="192" t="str">
        <f ca="1"/>
        <v>-</v>
      </c>
      <c r="H95" s="192" t="str">
        <f ca="1"/>
        <v>-</v>
      </c>
      <c r="I95" s="192" t="str">
        <f ca="1"/>
        <v>-</v>
      </c>
      <c r="J95" s="28"/>
    </row>
    <row r="96" spans="1:10" ht="15" customHeight="1">
      <c r="A96" s="28"/>
      <c r="B96" s="192">
        <f ca="1"/>
        <v>6.1</v>
      </c>
      <c r="C96" s="192" t="str">
        <f ca="1"/>
        <v>Users</v>
      </c>
      <c r="D96" s="192" t="str">
        <f ca="1"/>
        <v>Protect</v>
      </c>
      <c r="E96" s="192" t="str">
        <f ca="1"/>
        <v>הקמת תהליך הענקת גישה</v>
      </c>
      <c r="F96" s="192" t="str">
        <f ca="1"/>
        <v/>
      </c>
      <c r="G96" s="192" t="str">
        <f ca="1"/>
        <v>-</v>
      </c>
      <c r="H96" s="192" t="str">
        <f ca="1"/>
        <v>ארגוני</v>
      </c>
      <c r="I96" s="192" t="str">
        <f ca="1"/>
        <v>-</v>
      </c>
      <c r="J96" s="28"/>
    </row>
    <row r="97" spans="1:10" ht="15" customHeight="1">
      <c r="A97" s="28"/>
      <c r="B97" s="192">
        <f ca="1"/>
        <v>6.2</v>
      </c>
      <c r="C97" s="192" t="str">
        <f ca="1"/>
        <v>Users</v>
      </c>
      <c r="D97" s="192" t="str">
        <f ca="1"/>
        <v>Protect</v>
      </c>
      <c r="E97" s="192" t="str">
        <f ca="1"/>
        <v>קבע תהליך ביטול גישה</v>
      </c>
      <c r="F97" s="192" t="str">
        <f ca="1"/>
        <v/>
      </c>
      <c r="G97" s="192" t="str">
        <f ca="1"/>
        <v>-</v>
      </c>
      <c r="H97" s="192" t="str">
        <f ca="1"/>
        <v>ארגוני</v>
      </c>
      <c r="I97" s="192" t="str">
        <f ca="1"/>
        <v>-</v>
      </c>
      <c r="J97" s="28"/>
    </row>
    <row r="98" spans="1:10" ht="15" customHeight="1">
      <c r="A98" s="28"/>
      <c r="B98" s="192">
        <f ca="1"/>
        <v>6.3</v>
      </c>
      <c r="C98" s="192" t="str">
        <f ca="1"/>
        <v>Users</v>
      </c>
      <c r="D98" s="192" t="str">
        <f ca="1"/>
        <v>Protect</v>
      </c>
      <c r="E98" s="192" t="str">
        <f ca="1"/>
        <v>דרוש MFA עבור יישומים חשופים חיצונית</v>
      </c>
      <c r="F98" s="192" t="str">
        <f ca="1"/>
        <v>v</v>
      </c>
      <c r="G98" s="192" t="str">
        <f ca="1"/>
        <v>1.2</v>
      </c>
      <c r="H98" s="192" t="str">
        <f ca="1"/>
        <v>ארגוני</v>
      </c>
      <c r="I98" s="192" t="str">
        <f ca="1"/>
        <v>v</v>
      </c>
      <c r="J98" s="28"/>
    </row>
    <row r="99" spans="1:10" ht="15" customHeight="1">
      <c r="A99" s="28"/>
      <c r="B99" s="192">
        <f ca="1"/>
        <v>6.3</v>
      </c>
      <c r="C99" s="192" t="str">
        <f ca="1"/>
        <v>Users</v>
      </c>
      <c r="D99" s="192" t="str">
        <f ca="1"/>
        <v>Protect</v>
      </c>
      <c r="E99" s="192" t="str">
        <f ca="1"/>
        <v>דרוש MFA עבור יישומים חשופים חיצונית</v>
      </c>
      <c r="F99" s="192" t="str">
        <f ca="1"/>
        <v>v</v>
      </c>
      <c r="G99" s="192" t="str">
        <f ca="1"/>
        <v>1.3</v>
      </c>
      <c r="H99" s="192" t="str">
        <f ca="1"/>
        <v>מערכת</v>
      </c>
      <c r="I99" s="192" t="str">
        <f ca="1"/>
        <v>-</v>
      </c>
      <c r="J99" s="28"/>
    </row>
    <row r="100" spans="1:10" ht="15" customHeight="1">
      <c r="A100" s="28"/>
      <c r="B100" s="192">
        <f ca="1"/>
        <v>6.4</v>
      </c>
      <c r="C100" s="192" t="str">
        <f ca="1"/>
        <v>Users</v>
      </c>
      <c r="D100" s="192" t="str">
        <f ca="1"/>
        <v>Protect</v>
      </c>
      <c r="E100" s="192" t="str">
        <f ca="1"/>
        <v>דרוש MFA עבור גישה מרחוק לרשת</v>
      </c>
      <c r="F100" s="192" t="str">
        <f ca="1"/>
        <v/>
      </c>
      <c r="G100" s="192" t="str">
        <f ca="1"/>
        <v>-</v>
      </c>
      <c r="H100" s="192" t="str">
        <f ca="1"/>
        <v>ארגוני</v>
      </c>
      <c r="I100" s="192" t="str">
        <f ca="1"/>
        <v>-</v>
      </c>
      <c r="J100" s="28"/>
    </row>
    <row r="101" spans="1:10" ht="15" customHeight="1">
      <c r="A101" s="28"/>
      <c r="B101" s="192">
        <f ca="1"/>
        <v>6.5</v>
      </c>
      <c r="C101" s="192" t="str">
        <f ca="1"/>
        <v>Users</v>
      </c>
      <c r="D101" s="192" t="str">
        <f ca="1"/>
        <v>Protect</v>
      </c>
      <c r="E101" s="192" t="str">
        <f ca="1"/>
        <v>דרוש MFA עבור גישה מנהלתית</v>
      </c>
      <c r="F101" s="192" t="str">
        <f ca="1"/>
        <v/>
      </c>
      <c r="G101" s="192" t="str">
        <f ca="1"/>
        <v>-</v>
      </c>
      <c r="H101" s="192" t="str">
        <f ca="1"/>
        <v>ארגוני</v>
      </c>
      <c r="I101" s="192" t="str">
        <f ca="1"/>
        <v>-</v>
      </c>
      <c r="J101" s="28"/>
    </row>
    <row r="102" spans="1:10" ht="15" customHeight="1">
      <c r="A102" s="28"/>
      <c r="B102" s="192">
        <f ca="1"/>
        <v>6.6</v>
      </c>
      <c r="C102" s="192" t="str">
        <f ca="1"/>
        <v>Users</v>
      </c>
      <c r="D102" s="192" t="str">
        <f ca="1"/>
        <v>Identify</v>
      </c>
      <c r="E102" s="192" t="str">
        <f ca="1"/>
        <v>הקמה ותחזוקה של מיפוי של מערכות אימות והרשאה</v>
      </c>
      <c r="F102" s="192" t="str">
        <f ca="1"/>
        <v>v</v>
      </c>
      <c r="G102" s="192" t="str">
        <f ca="1"/>
        <v>2.13</v>
      </c>
      <c r="H102" s="192" t="str">
        <f ca="1"/>
        <v>מערכת</v>
      </c>
      <c r="I102" s="192" t="str">
        <f ca="1"/>
        <v>-</v>
      </c>
      <c r="J102" s="28"/>
    </row>
    <row r="103" spans="1:10" ht="15" customHeight="1">
      <c r="A103" s="28"/>
      <c r="B103" s="192">
        <f ca="1"/>
        <v>6.7</v>
      </c>
      <c r="C103" s="192" t="str">
        <f ca="1"/>
        <v>Users</v>
      </c>
      <c r="D103" s="192" t="str">
        <f ca="1"/>
        <v>Protect</v>
      </c>
      <c r="E103" s="192" t="str">
        <f ca="1"/>
        <v>הגדר בקרת גישה מרכזת בארגון</v>
      </c>
      <c r="F103" s="192" t="str">
        <f ca="1"/>
        <v>v</v>
      </c>
      <c r="G103" s="192" t="str">
        <f ca="1"/>
        <v>4.4</v>
      </c>
      <c r="H103" s="192" t="str">
        <f ca="1"/>
        <v>ארגוני</v>
      </c>
      <c r="I103" s="192" t="str">
        <f ca="1"/>
        <v>v</v>
      </c>
      <c r="J103" s="28"/>
    </row>
    <row r="104" spans="1:10" ht="15" customHeight="1">
      <c r="A104" s="28"/>
      <c r="B104" s="192">
        <f ca="1"/>
        <v>6.8</v>
      </c>
      <c r="C104" s="192" t="str">
        <f ca="1"/>
        <v>Data</v>
      </c>
      <c r="D104" s="192" t="str">
        <f ca="1"/>
        <v>Protect</v>
      </c>
      <c r="E104" s="192" t="str">
        <f ca="1"/>
        <v>הגדר ותחזק בקרת גישה מבוססת תפקידים RBAC</v>
      </c>
      <c r="F104" s="192" t="str">
        <f ca="1"/>
        <v/>
      </c>
      <c r="G104" s="192" t="str">
        <f ca="1"/>
        <v>-</v>
      </c>
      <c r="H104" s="192" t="str">
        <f ca="1"/>
        <v>ארגוני</v>
      </c>
      <c r="I104" s="192" t="str">
        <f ca="1"/>
        <v>-</v>
      </c>
      <c r="J104" s="28"/>
    </row>
    <row r="105" spans="1:10" ht="15" customHeight="1">
      <c r="A105" s="28"/>
      <c r="B105" s="192" t="str">
        <f ca="1"/>
        <v>-</v>
      </c>
      <c r="C105" s="192" t="str">
        <f ca="1"/>
        <v>-</v>
      </c>
      <c r="D105" s="192" t="str">
        <f ca="1"/>
        <v>-</v>
      </c>
      <c r="E105" s="192" t="str">
        <f ca="1"/>
        <v>ניהול פגיעות מתמשך</v>
      </c>
      <c r="F105" s="192" t="str">
        <f ca="1"/>
        <v>-</v>
      </c>
      <c r="G105" s="192" t="str">
        <f ca="1"/>
        <v>-</v>
      </c>
      <c r="H105" s="192" t="str">
        <f ca="1"/>
        <v>-</v>
      </c>
      <c r="I105" s="192" t="str">
        <f ca="1"/>
        <v>-</v>
      </c>
      <c r="J105" s="28"/>
    </row>
    <row r="106" spans="1:10" ht="15" customHeight="1">
      <c r="A106" s="28"/>
      <c r="B106" s="192">
        <f ca="1"/>
        <v>7.1</v>
      </c>
      <c r="C106" s="192" t="str">
        <f ca="1"/>
        <v>Applications</v>
      </c>
      <c r="D106" s="192" t="str">
        <f ca="1"/>
        <v>Protect</v>
      </c>
      <c r="E106" s="192" t="str">
        <f ca="1"/>
        <v>Establish and Maintain a Vulnerability Management Process</v>
      </c>
      <c r="F106" s="192" t="str">
        <f ca="1"/>
        <v/>
      </c>
      <c r="G106" s="192" t="str">
        <f ca="1"/>
        <v>-</v>
      </c>
      <c r="H106" s="192" t="str">
        <f ca="1"/>
        <v>ארגוני</v>
      </c>
      <c r="I106" s="192" t="str">
        <f ca="1"/>
        <v>-</v>
      </c>
      <c r="J106" s="28"/>
    </row>
    <row r="107" spans="1:10" ht="15" customHeight="1">
      <c r="A107" s="28"/>
      <c r="B107" s="192">
        <f ca="1"/>
        <v>7.2</v>
      </c>
      <c r="C107" s="192" t="str">
        <f ca="1"/>
        <v>Applications</v>
      </c>
      <c r="D107" s="192" t="str">
        <f ca="1"/>
        <v>Respond</v>
      </c>
      <c r="E107" s="192" t="str">
        <f ca="1"/>
        <v>Establish and Maintain a Remediation Process</v>
      </c>
      <c r="F107" s="192" t="str">
        <f ca="1"/>
        <v/>
      </c>
      <c r="G107" s="192" t="str">
        <f ca="1"/>
        <v>-</v>
      </c>
      <c r="H107" s="192" t="str">
        <f ca="1"/>
        <v>ארגוני</v>
      </c>
      <c r="I107" s="192" t="str">
        <f ca="1"/>
        <v>-</v>
      </c>
      <c r="J107" s="28"/>
    </row>
    <row r="108" spans="1:10" ht="15" customHeight="1">
      <c r="A108" s="28"/>
      <c r="B108" s="192">
        <f ca="1"/>
        <v>7.3</v>
      </c>
      <c r="C108" s="192" t="str">
        <f ca="1"/>
        <v>Applications</v>
      </c>
      <c r="D108" s="192" t="str">
        <f ca="1"/>
        <v>Protect</v>
      </c>
      <c r="E108" s="192" t="str">
        <f ca="1"/>
        <v>Perform Automated Operating System Patch Management</v>
      </c>
      <c r="F108" s="192" t="str">
        <f ca="1"/>
        <v>v</v>
      </c>
      <c r="G108" s="192" t="str">
        <f ca="1"/>
        <v>4.8</v>
      </c>
      <c r="H108" s="192" t="str">
        <f ca="1"/>
        <v>מערכת</v>
      </c>
      <c r="I108" s="192" t="str">
        <f ca="1"/>
        <v>-</v>
      </c>
      <c r="J108" s="28"/>
    </row>
    <row r="109" spans="1:10" ht="15" customHeight="1">
      <c r="A109" s="28"/>
      <c r="B109" s="192">
        <f ca="1"/>
        <v>7.4</v>
      </c>
      <c r="C109" s="192" t="str">
        <f ca="1"/>
        <v>Applications</v>
      </c>
      <c r="D109" s="192" t="str">
        <f ca="1"/>
        <v>Protect</v>
      </c>
      <c r="E109" s="192" t="str">
        <f ca="1"/>
        <v>Perform Automated Application Patch Management</v>
      </c>
      <c r="F109" s="192" t="str">
        <f ca="1"/>
        <v/>
      </c>
      <c r="G109" s="192" t="str">
        <f ca="1"/>
        <v>-</v>
      </c>
      <c r="H109" s="192" t="str">
        <f ca="1"/>
        <v>מערכת</v>
      </c>
      <c r="I109" s="192" t="str">
        <f ca="1"/>
        <v>-</v>
      </c>
      <c r="J109" s="28"/>
    </row>
    <row r="110" spans="1:10" ht="15" customHeight="1">
      <c r="A110" s="28"/>
      <c r="B110" s="192">
        <f ca="1"/>
        <v>7.5</v>
      </c>
      <c r="C110" s="192" t="str">
        <f ca="1"/>
        <v>Applications</v>
      </c>
      <c r="D110" s="192" t="str">
        <f ca="1"/>
        <v>Identify</v>
      </c>
      <c r="E110" s="192" t="str">
        <f ca="1"/>
        <v>Perform Automated Vulnerability Scans of Internal Enterprise Assets</v>
      </c>
      <c r="F110" s="192" t="str">
        <f ca="1"/>
        <v/>
      </c>
      <c r="G110" s="192" t="str">
        <f ca="1"/>
        <v>-</v>
      </c>
      <c r="H110" s="192" t="str">
        <f ca="1"/>
        <v>ארגוני</v>
      </c>
      <c r="I110" s="192" t="str">
        <f ca="1"/>
        <v>-</v>
      </c>
      <c r="J110" s="28"/>
    </row>
    <row r="111" spans="1:10" ht="15" customHeight="1">
      <c r="A111" s="28"/>
      <c r="B111" s="192">
        <f ca="1"/>
        <v>7.6</v>
      </c>
      <c r="C111" s="192" t="str">
        <f ca="1"/>
        <v>Applications</v>
      </c>
      <c r="D111" s="192" t="str">
        <f ca="1"/>
        <v>Identify</v>
      </c>
      <c r="E111" s="192" t="str">
        <f ca="1"/>
        <v>Perform Automated Vulnerability Scans of Externally-Exposed Enterprise Assets</v>
      </c>
      <c r="F111" s="192" t="str">
        <f ca="1"/>
        <v/>
      </c>
      <c r="G111" s="192" t="str">
        <f ca="1"/>
        <v>-</v>
      </c>
      <c r="H111" s="192" t="str">
        <f ca="1"/>
        <v>ארגוני</v>
      </c>
      <c r="I111" s="192" t="str">
        <f ca="1"/>
        <v>-</v>
      </c>
      <c r="J111" s="28"/>
    </row>
    <row r="112" spans="1:10" ht="15" customHeight="1">
      <c r="A112" s="28"/>
      <c r="B112" s="192">
        <f ca="1"/>
        <v>7.7</v>
      </c>
      <c r="C112" s="192" t="str">
        <f ca="1"/>
        <v>Applications</v>
      </c>
      <c r="D112" s="192" t="str">
        <f ca="1"/>
        <v>Respond</v>
      </c>
      <c r="E112" s="192" t="str">
        <f ca="1"/>
        <v>Remediate Detected Vulnerabilities</v>
      </c>
      <c r="F112" s="192" t="str">
        <f ca="1"/>
        <v/>
      </c>
      <c r="G112" s="192" t="str">
        <f ca="1"/>
        <v>-</v>
      </c>
      <c r="H112" s="192" t="str">
        <f ca="1"/>
        <v>ארגוני</v>
      </c>
      <c r="I112" s="192" t="str">
        <f ca="1"/>
        <v>-</v>
      </c>
      <c r="J112" s="28"/>
    </row>
    <row r="113" spans="1:10" ht="15" customHeight="1">
      <c r="A113" s="28"/>
      <c r="B113" s="192" t="str">
        <f ca="1"/>
        <v>-</v>
      </c>
      <c r="C113" s="192" t="str">
        <f ca="1"/>
        <v>-</v>
      </c>
      <c r="D113" s="192" t="str">
        <f ca="1"/>
        <v>-</v>
      </c>
      <c r="E113" s="192" t="str">
        <f ca="1"/>
        <v>ניהול ניטור אירועים</v>
      </c>
      <c r="F113" s="192" t="str">
        <f ca="1"/>
        <v>-</v>
      </c>
      <c r="G113" s="192" t="str">
        <f ca="1"/>
        <v>-</v>
      </c>
      <c r="H113" s="192" t="str">
        <f ca="1"/>
        <v>-</v>
      </c>
      <c r="I113" s="192" t="str">
        <f ca="1"/>
        <v>-</v>
      </c>
      <c r="J113" s="28"/>
    </row>
    <row r="114" spans="1:10" ht="15" customHeight="1">
      <c r="A114" s="28"/>
      <c r="B114" s="192">
        <f ca="1"/>
        <v>8.1</v>
      </c>
      <c r="C114" s="192" t="str">
        <f ca="1"/>
        <v>Network</v>
      </c>
      <c r="D114" s="192" t="str">
        <f ca="1"/>
        <v>Protect</v>
      </c>
      <c r="E114" s="192" t="str">
        <f ca="1"/>
        <v>הקמה ותחזוקה של תהליך ניהול אירועים והתראות</v>
      </c>
      <c r="F114" s="192" t="str">
        <f ca="1"/>
        <v/>
      </c>
      <c r="G114" s="192" t="str">
        <f ca="1"/>
        <v>-</v>
      </c>
      <c r="H114" s="192" t="str">
        <f ca="1"/>
        <v>ארגוני</v>
      </c>
      <c r="I114" s="192" t="str">
        <f ca="1"/>
        <v>-</v>
      </c>
      <c r="J114" s="28"/>
    </row>
    <row r="115" spans="1:10" ht="15" customHeight="1">
      <c r="A115" s="28"/>
      <c r="B115" s="192">
        <f ca="1"/>
        <v>8.1999999999999993</v>
      </c>
      <c r="C115" s="192" t="str">
        <f ca="1"/>
        <v>Network</v>
      </c>
      <c r="D115" s="192" t="str">
        <f ca="1"/>
        <v>Detect</v>
      </c>
      <c r="E115" s="192" t="str">
        <f ca="1"/>
        <v>איסוף אירועים והתראות</v>
      </c>
      <c r="F115" s="192" t="str">
        <f ca="1"/>
        <v>v</v>
      </c>
      <c r="G115" s="192" t="str">
        <f ca="1"/>
        <v>2.1</v>
      </c>
      <c r="H115" s="192" t="str">
        <f ca="1"/>
        <v>ארגוני</v>
      </c>
      <c r="I115" s="192" t="str">
        <f ca="1"/>
        <v>v</v>
      </c>
      <c r="J115" s="28"/>
    </row>
    <row r="116" spans="1:10" ht="15" customHeight="1">
      <c r="A116" s="28"/>
      <c r="B116" s="192">
        <f ca="1"/>
        <v>8.1999999999999993</v>
      </c>
      <c r="C116" s="192" t="str">
        <f ca="1"/>
        <v>Network</v>
      </c>
      <c r="D116" s="192" t="str">
        <f ca="1"/>
        <v>Detect</v>
      </c>
      <c r="E116" s="192" t="str">
        <f ca="1"/>
        <v>איסוף אירועים והתראות</v>
      </c>
      <c r="F116" s="192" t="str">
        <f ca="1"/>
        <v>v</v>
      </c>
      <c r="G116" s="192" t="str">
        <f ca="1"/>
        <v>2.2</v>
      </c>
      <c r="H116" s="192" t="str">
        <f ca="1"/>
        <v>ארגוני</v>
      </c>
      <c r="I116" s="192" t="str">
        <f ca="1"/>
        <v>v</v>
      </c>
      <c r="J116" s="28"/>
    </row>
    <row r="117" spans="1:10" ht="15" customHeight="1">
      <c r="A117" s="28"/>
      <c r="B117" s="192">
        <f ca="1"/>
        <v>8.1999999999999993</v>
      </c>
      <c r="C117" s="192" t="str">
        <f ca="1"/>
        <v>Network</v>
      </c>
      <c r="D117" s="192" t="str">
        <f ca="1"/>
        <v>Detect</v>
      </c>
      <c r="E117" s="192" t="str">
        <f ca="1"/>
        <v>איסוף אירועים והתראות</v>
      </c>
      <c r="F117" s="192" t="str">
        <f ca="1"/>
        <v>v</v>
      </c>
      <c r="G117" s="192" t="str">
        <f ca="1"/>
        <v>2.4</v>
      </c>
      <c r="H117" s="192" t="str">
        <f ca="1"/>
        <v>מערכת</v>
      </c>
      <c r="I117" s="192" t="str">
        <f ca="1"/>
        <v>-</v>
      </c>
      <c r="J117" s="28"/>
    </row>
    <row r="118" spans="1:10" ht="15" customHeight="1">
      <c r="A118" s="28"/>
      <c r="B118" s="192">
        <f ca="1"/>
        <v>8.1999999999999993</v>
      </c>
      <c r="C118" s="192" t="str">
        <f ca="1"/>
        <v>Network</v>
      </c>
      <c r="D118" s="192" t="str">
        <f ca="1"/>
        <v>Detect</v>
      </c>
      <c r="E118" s="192" t="str">
        <f ca="1"/>
        <v>איסוף אירועים והתראות</v>
      </c>
      <c r="F118" s="192" t="str">
        <f ca="1"/>
        <v>v</v>
      </c>
      <c r="G118" s="192" t="str">
        <f ca="1"/>
        <v>2.5</v>
      </c>
      <c r="H118" s="192" t="str">
        <f ca="1"/>
        <v>מערכת</v>
      </c>
      <c r="I118" s="192" t="str">
        <f ca="1"/>
        <v>-</v>
      </c>
      <c r="J118" s="28"/>
    </row>
    <row r="119" spans="1:10" ht="15" customHeight="1">
      <c r="A119" s="28"/>
      <c r="B119" s="192">
        <f ca="1"/>
        <v>8.1999999999999993</v>
      </c>
      <c r="C119" s="192" t="str">
        <f ca="1"/>
        <v>Network</v>
      </c>
      <c r="D119" s="192" t="str">
        <f ca="1"/>
        <v>Detect</v>
      </c>
      <c r="E119" s="192" t="str">
        <f ca="1"/>
        <v>איסוף אירועים והתראות</v>
      </c>
      <c r="F119" s="192" t="str">
        <f ca="1"/>
        <v>v</v>
      </c>
      <c r="G119" s="192" t="str">
        <f ca="1"/>
        <v>2.6</v>
      </c>
      <c r="H119" s="192" t="str">
        <f ca="1"/>
        <v>מערכת</v>
      </c>
      <c r="I119" s="192" t="str">
        <f ca="1"/>
        <v>-</v>
      </c>
      <c r="J119" s="28"/>
    </row>
    <row r="120" spans="1:10" ht="15" customHeight="1">
      <c r="A120" s="28"/>
      <c r="B120" s="192">
        <f ca="1"/>
        <v>8.1999999999999993</v>
      </c>
      <c r="C120" s="192" t="str">
        <f ca="1"/>
        <v>Network</v>
      </c>
      <c r="D120" s="192" t="str">
        <f ca="1"/>
        <v>Detect</v>
      </c>
      <c r="E120" s="192" t="str">
        <f ca="1"/>
        <v>איסוף אירועים והתראות</v>
      </c>
      <c r="F120" s="192" t="str">
        <f ca="1"/>
        <v>v</v>
      </c>
      <c r="G120" s="192" t="str">
        <f ca="1"/>
        <v>2.7</v>
      </c>
      <c r="H120" s="192" t="str">
        <f ca="1"/>
        <v>מערכת</v>
      </c>
      <c r="I120" s="192" t="str">
        <f ca="1"/>
        <v>-</v>
      </c>
      <c r="J120" s="28"/>
    </row>
    <row r="121" spans="1:10" ht="15" customHeight="1">
      <c r="A121" s="28"/>
      <c r="B121" s="192">
        <f ca="1"/>
        <v>8.1999999999999993</v>
      </c>
      <c r="C121" s="192" t="str">
        <f ca="1"/>
        <v>Network</v>
      </c>
      <c r="D121" s="192" t="str">
        <f ca="1"/>
        <v>Detect</v>
      </c>
      <c r="E121" s="192" t="str">
        <f ca="1"/>
        <v>איסוף אירועים והתראות</v>
      </c>
      <c r="F121" s="192" t="str">
        <f ca="1"/>
        <v>v</v>
      </c>
      <c r="G121" s="192" t="str">
        <f ca="1"/>
        <v>2.8</v>
      </c>
      <c r="H121" s="192" t="str">
        <f ca="1"/>
        <v>מערכת</v>
      </c>
      <c r="I121" s="192" t="str">
        <f ca="1"/>
        <v>-</v>
      </c>
      <c r="J121" s="28"/>
    </row>
    <row r="122" spans="1:10" ht="15" customHeight="1">
      <c r="A122" s="28"/>
      <c r="B122" s="192">
        <f ca="1"/>
        <v>8.1999999999999993</v>
      </c>
      <c r="C122" s="192" t="str">
        <f ca="1"/>
        <v>Network</v>
      </c>
      <c r="D122" s="192" t="str">
        <f ca="1"/>
        <v>Detect</v>
      </c>
      <c r="E122" s="192" t="str">
        <f ca="1"/>
        <v>איסוף אירועים והתראות</v>
      </c>
      <c r="F122" s="192" t="str">
        <f ca="1"/>
        <v>v</v>
      </c>
      <c r="G122" s="192" t="str">
        <f ca="1"/>
        <v>2.9</v>
      </c>
      <c r="H122" s="192" t="str">
        <f ca="1"/>
        <v>מערכת</v>
      </c>
      <c r="I122" s="192" t="str">
        <f ca="1"/>
        <v>-</v>
      </c>
      <c r="J122" s="28"/>
    </row>
    <row r="123" spans="1:10" ht="15" customHeight="1">
      <c r="A123" s="28"/>
      <c r="B123" s="192">
        <f ca="1"/>
        <v>8.1999999999999993</v>
      </c>
      <c r="C123" s="192" t="str">
        <f ca="1"/>
        <v>Network</v>
      </c>
      <c r="D123" s="192" t="str">
        <f ca="1"/>
        <v>Detect</v>
      </c>
      <c r="E123" s="192" t="str">
        <f ca="1"/>
        <v>איסוף אירועים והתראות</v>
      </c>
      <c r="F123" s="192" t="str">
        <f ca="1"/>
        <v>v</v>
      </c>
      <c r="G123" s="192" t="str">
        <f ca="1"/>
        <v>2.10</v>
      </c>
      <c r="H123" s="192" t="str">
        <f ca="1"/>
        <v>מערכת</v>
      </c>
      <c r="I123" s="192" t="str">
        <f ca="1"/>
        <v>-</v>
      </c>
      <c r="J123" s="28"/>
    </row>
    <row r="124" spans="1:10" ht="15" customHeight="1">
      <c r="A124" s="28"/>
      <c r="B124" s="192">
        <f ca="1"/>
        <v>8.1999999999999993</v>
      </c>
      <c r="C124" s="192" t="str">
        <f ca="1"/>
        <v>Network</v>
      </c>
      <c r="D124" s="192" t="str">
        <f ca="1"/>
        <v>Detect</v>
      </c>
      <c r="E124" s="192" t="str">
        <f ca="1"/>
        <v>איסוף אירועים והתראות</v>
      </c>
      <c r="F124" s="192" t="str">
        <f ca="1"/>
        <v>v</v>
      </c>
      <c r="G124" s="192" t="str">
        <f ca="1"/>
        <v>2.11</v>
      </c>
      <c r="H124" s="192" t="str">
        <f ca="1"/>
        <v>מערכת</v>
      </c>
      <c r="I124" s="192" t="str">
        <f ca="1"/>
        <v>-</v>
      </c>
      <c r="J124" s="28"/>
    </row>
    <row r="125" spans="1:10" ht="15" customHeight="1">
      <c r="A125" s="28"/>
      <c r="B125" s="192">
        <f ca="1"/>
        <v>8.1999999999999993</v>
      </c>
      <c r="C125" s="192" t="str">
        <f ca="1"/>
        <v>Network</v>
      </c>
      <c r="D125" s="192" t="str">
        <f ca="1"/>
        <v>Detect</v>
      </c>
      <c r="E125" s="192" t="str">
        <f ca="1"/>
        <v>איסוף אירועים והתראות</v>
      </c>
      <c r="F125" s="192" t="str">
        <f ca="1"/>
        <v>v</v>
      </c>
      <c r="G125" s="192" t="str">
        <f ca="1"/>
        <v>2.12</v>
      </c>
      <c r="H125" s="192" t="str">
        <f ca="1"/>
        <v>מערכת</v>
      </c>
      <c r="I125" s="192" t="str">
        <f ca="1"/>
        <v>-</v>
      </c>
      <c r="J125" s="28"/>
    </row>
    <row r="126" spans="1:10" ht="15" customHeight="1">
      <c r="A126" s="28"/>
      <c r="B126" s="192">
        <f ca="1"/>
        <v>8.1999999999999993</v>
      </c>
      <c r="C126" s="192" t="str">
        <f ca="1"/>
        <v>Network</v>
      </c>
      <c r="D126" s="192" t="str">
        <f ca="1"/>
        <v>Detect</v>
      </c>
      <c r="E126" s="192" t="str">
        <f ca="1"/>
        <v>איסוף אירועים והתראות</v>
      </c>
      <c r="F126" s="192" t="str">
        <f ca="1"/>
        <v>v</v>
      </c>
      <c r="G126" s="192" t="str">
        <f ca="1"/>
        <v>2.14</v>
      </c>
      <c r="H126" s="192" t="str">
        <f ca="1"/>
        <v>מערכת</v>
      </c>
      <c r="I126" s="192" t="str">
        <f ca="1"/>
        <v>-</v>
      </c>
      <c r="J126" s="28"/>
    </row>
    <row r="127" spans="1:10" ht="15" customHeight="1">
      <c r="A127" s="28"/>
      <c r="B127" s="192">
        <f ca="1"/>
        <v>8.1999999999999993</v>
      </c>
      <c r="C127" s="192" t="str">
        <f ca="1"/>
        <v>Network</v>
      </c>
      <c r="D127" s="192" t="str">
        <f ca="1"/>
        <v>Detect</v>
      </c>
      <c r="E127" s="192" t="str">
        <f ca="1"/>
        <v>איסוף אירועים והתראות</v>
      </c>
      <c r="F127" s="192" t="str">
        <f ca="1"/>
        <v>v</v>
      </c>
      <c r="G127" s="192" t="str">
        <f ca="1"/>
        <v>1</v>
      </c>
      <c r="H127" s="192" t="str">
        <f ca="1"/>
        <v>ארגוני</v>
      </c>
      <c r="I127" s="192" t="str">
        <f ca="1"/>
        <v>v</v>
      </c>
      <c r="J127" s="28"/>
    </row>
    <row r="128" spans="1:10" ht="15" customHeight="1">
      <c r="A128" s="28"/>
      <c r="B128" s="192">
        <f ca="1"/>
        <v>8.1999999999999993</v>
      </c>
      <c r="C128" s="192" t="str">
        <f ca="1"/>
        <v>Network</v>
      </c>
      <c r="D128" s="192" t="str">
        <f ca="1"/>
        <v>Detect</v>
      </c>
      <c r="E128" s="192" t="str">
        <f ca="1"/>
        <v>איסוף אירועים והתראות</v>
      </c>
      <c r="F128" s="192" t="str">
        <f ca="1"/>
        <v>v</v>
      </c>
      <c r="G128" s="192" t="str">
        <f ca="1"/>
        <v>3.8</v>
      </c>
      <c r="H128" s="192" t="str">
        <f ca="1"/>
        <v>מערכת</v>
      </c>
      <c r="I128" s="192" t="str">
        <f ca="1"/>
        <v>-</v>
      </c>
      <c r="J128" s="28"/>
    </row>
    <row r="129" spans="1:10" ht="15" customHeight="1">
      <c r="A129" s="28"/>
      <c r="B129" s="192">
        <f ca="1"/>
        <v>8.3000000000000007</v>
      </c>
      <c r="C129" s="192" t="str">
        <f ca="1"/>
        <v>Network</v>
      </c>
      <c r="D129" s="192" t="str">
        <f ca="1"/>
        <v>Protect</v>
      </c>
      <c r="E129" s="192" t="str">
        <f ca="1"/>
        <v>ודא אחסון מאובטח של אירועים והתראות</v>
      </c>
      <c r="F129" s="192" t="str">
        <f ca="1"/>
        <v>v</v>
      </c>
      <c r="G129" s="192" t="str">
        <f ca="1"/>
        <v>2.2</v>
      </c>
      <c r="H129" s="192" t="str">
        <f ca="1"/>
        <v>ארגוני</v>
      </c>
      <c r="I129" s="192" t="str">
        <f ca="1"/>
        <v>v</v>
      </c>
      <c r="J129" s="28"/>
    </row>
    <row r="130" spans="1:10" ht="15" customHeight="1">
      <c r="A130" s="28"/>
      <c r="B130" s="192">
        <f ca="1"/>
        <v>8.4</v>
      </c>
      <c r="C130" s="192" t="str">
        <f ca="1"/>
        <v>Network</v>
      </c>
      <c r="D130" s="192" t="str">
        <f ca="1"/>
        <v>Protect</v>
      </c>
      <c r="E130" s="192" t="str">
        <f ca="1"/>
        <v>הגדר סנכרון הזמן תקין לכלל האירועים וההתראות</v>
      </c>
      <c r="F130" s="192" t="str">
        <f ca="1"/>
        <v/>
      </c>
      <c r="G130" s="192" t="str">
        <f ca="1"/>
        <v>-</v>
      </c>
      <c r="H130" s="192" t="str">
        <f ca="1"/>
        <v>ארגוני</v>
      </c>
      <c r="I130" s="192" t="str">
        <f ca="1"/>
        <v>-</v>
      </c>
      <c r="J130" s="28"/>
    </row>
    <row r="131" spans="1:10" ht="15" customHeight="1">
      <c r="A131" s="28"/>
      <c r="B131" s="192">
        <f ca="1"/>
        <v>8.5</v>
      </c>
      <c r="C131" s="192" t="str">
        <f ca="1"/>
        <v>Network</v>
      </c>
      <c r="D131" s="192" t="str">
        <f ca="1"/>
        <v>Detect</v>
      </c>
      <c r="E131" s="192" t="str">
        <f ca="1"/>
        <v>אסוף אירועים והתראות מפורטים</v>
      </c>
      <c r="F131" s="192" t="str">
        <f ca="1"/>
        <v>v</v>
      </c>
      <c r="G131" s="192" t="str">
        <f ca="1"/>
        <v>2.5</v>
      </c>
      <c r="H131" s="192" t="str">
        <f ca="1"/>
        <v>מערכת</v>
      </c>
      <c r="I131" s="192" t="str">
        <f ca="1"/>
        <v>-</v>
      </c>
      <c r="J131" s="28"/>
    </row>
    <row r="132" spans="1:10" ht="15" customHeight="1">
      <c r="A132" s="28"/>
      <c r="B132" s="192">
        <f ca="1"/>
        <v>8.5</v>
      </c>
      <c r="C132" s="192" t="str">
        <f ca="1"/>
        <v>Network</v>
      </c>
      <c r="D132" s="192" t="str">
        <f ca="1"/>
        <v>Detect</v>
      </c>
      <c r="E132" s="192" t="str">
        <f ca="1"/>
        <v>אסוף אירועים והתראות מפורטים</v>
      </c>
      <c r="F132" s="192" t="str">
        <f ca="1"/>
        <v>v</v>
      </c>
      <c r="G132" s="192" t="str">
        <f ca="1"/>
        <v>2.6</v>
      </c>
      <c r="H132" s="192" t="str">
        <f ca="1"/>
        <v>מערכת</v>
      </c>
      <c r="I132" s="192" t="str">
        <f ca="1"/>
        <v>-</v>
      </c>
      <c r="J132" s="28"/>
    </row>
    <row r="133" spans="1:10" ht="15" customHeight="1">
      <c r="A133" s="28"/>
      <c r="B133" s="192">
        <f ca="1"/>
        <v>8.5</v>
      </c>
      <c r="C133" s="192" t="str">
        <f ca="1"/>
        <v>Network</v>
      </c>
      <c r="D133" s="192" t="str">
        <f ca="1"/>
        <v>Detect</v>
      </c>
      <c r="E133" s="192" t="str">
        <f ca="1"/>
        <v>אסוף אירועים והתראות מפורטים</v>
      </c>
      <c r="F133" s="192" t="str">
        <f ca="1"/>
        <v>v</v>
      </c>
      <c r="G133" s="192" t="str">
        <f ca="1"/>
        <v>2.7</v>
      </c>
      <c r="H133" s="192" t="str">
        <f ca="1"/>
        <v>מערכת</v>
      </c>
      <c r="I133" s="192" t="str">
        <f ca="1"/>
        <v>-</v>
      </c>
      <c r="J133" s="28"/>
    </row>
    <row r="134" spans="1:10" ht="15" customHeight="1">
      <c r="A134" s="28"/>
      <c r="B134" s="192">
        <f ca="1"/>
        <v>8.5</v>
      </c>
      <c r="C134" s="192" t="str">
        <f ca="1"/>
        <v>Network</v>
      </c>
      <c r="D134" s="192" t="str">
        <f ca="1"/>
        <v>Detect</v>
      </c>
      <c r="E134" s="192" t="str">
        <f ca="1"/>
        <v>אסוף אירועים והתראות מפורטים</v>
      </c>
      <c r="F134" s="192" t="str">
        <f ca="1"/>
        <v>v</v>
      </c>
      <c r="G134" s="192" t="str">
        <f ca="1"/>
        <v>2.8</v>
      </c>
      <c r="H134" s="192" t="str">
        <f ca="1"/>
        <v>מערכת</v>
      </c>
      <c r="I134" s="192" t="str">
        <f ca="1"/>
        <v>-</v>
      </c>
      <c r="J134" s="28"/>
    </row>
    <row r="135" spans="1:10" ht="15" customHeight="1">
      <c r="A135" s="28"/>
      <c r="B135" s="192">
        <f ca="1"/>
        <v>8.5</v>
      </c>
      <c r="C135" s="192" t="str">
        <f ca="1"/>
        <v>Network</v>
      </c>
      <c r="D135" s="192" t="str">
        <f ca="1"/>
        <v>Detect</v>
      </c>
      <c r="E135" s="192" t="str">
        <f ca="1"/>
        <v>אסוף אירועים והתראות מפורטים</v>
      </c>
      <c r="F135" s="192" t="str">
        <f ca="1"/>
        <v>v</v>
      </c>
      <c r="G135" s="192" t="str">
        <f ca="1"/>
        <v>2.9</v>
      </c>
      <c r="H135" s="192" t="str">
        <f ca="1"/>
        <v>מערכת</v>
      </c>
      <c r="I135" s="192" t="str">
        <f ca="1"/>
        <v>-</v>
      </c>
      <c r="J135" s="28"/>
    </row>
    <row r="136" spans="1:10" ht="15" customHeight="1">
      <c r="A136" s="28"/>
      <c r="B136" s="192">
        <f ca="1"/>
        <v>8.5</v>
      </c>
      <c r="C136" s="192" t="str">
        <f ca="1"/>
        <v>Network</v>
      </c>
      <c r="D136" s="192" t="str">
        <f ca="1"/>
        <v>Detect</v>
      </c>
      <c r="E136" s="192" t="str">
        <f ca="1"/>
        <v>אסוף אירועים והתראות מפורטים</v>
      </c>
      <c r="F136" s="192" t="str">
        <f ca="1"/>
        <v>v</v>
      </c>
      <c r="G136" s="192" t="str">
        <f ca="1"/>
        <v>2.10</v>
      </c>
      <c r="H136" s="192" t="str">
        <f ca="1"/>
        <v>מערכת</v>
      </c>
      <c r="I136" s="192" t="str">
        <f ca="1"/>
        <v>-</v>
      </c>
      <c r="J136" s="28"/>
    </row>
    <row r="137" spans="1:10" ht="15" customHeight="1">
      <c r="A137" s="28"/>
      <c r="B137" s="192">
        <f ca="1"/>
        <v>8.5</v>
      </c>
      <c r="C137" s="192" t="str">
        <f ca="1"/>
        <v>Network</v>
      </c>
      <c r="D137" s="192" t="str">
        <f ca="1"/>
        <v>Detect</v>
      </c>
      <c r="E137" s="192" t="str">
        <f ca="1"/>
        <v>אסוף אירועים והתראות מפורטים</v>
      </c>
      <c r="F137" s="192" t="str">
        <f ca="1"/>
        <v>v</v>
      </c>
      <c r="G137" s="192" t="str">
        <f ca="1"/>
        <v>2.11</v>
      </c>
      <c r="H137" s="192" t="str">
        <f ca="1"/>
        <v>מערכת</v>
      </c>
      <c r="I137" s="192" t="str">
        <f ca="1"/>
        <v>-</v>
      </c>
      <c r="J137" s="28"/>
    </row>
    <row r="138" spans="1:10" ht="15" customHeight="1">
      <c r="A138" s="28"/>
      <c r="B138" s="192">
        <f ca="1"/>
        <v>8.5</v>
      </c>
      <c r="C138" s="192" t="str">
        <f ca="1"/>
        <v>Network</v>
      </c>
      <c r="D138" s="192" t="str">
        <f ca="1"/>
        <v>Detect</v>
      </c>
      <c r="E138" s="192" t="str">
        <f ca="1"/>
        <v>אסוף אירועים והתראות מפורטים</v>
      </c>
      <c r="F138" s="192" t="str">
        <f ca="1"/>
        <v>v</v>
      </c>
      <c r="G138" s="192" t="str">
        <f ca="1"/>
        <v>2.14</v>
      </c>
      <c r="H138" s="192" t="str">
        <f ca="1"/>
        <v>מערכת</v>
      </c>
      <c r="I138" s="192" t="str">
        <f ca="1"/>
        <v>-</v>
      </c>
      <c r="J138" s="28"/>
    </row>
    <row r="139" spans="1:10" ht="15" customHeight="1">
      <c r="A139" s="28"/>
      <c r="B139" s="192">
        <f ca="1"/>
        <v>8.5</v>
      </c>
      <c r="C139" s="192" t="str">
        <f ca="1"/>
        <v>Network</v>
      </c>
      <c r="D139" s="192" t="str">
        <f ca="1"/>
        <v>Detect</v>
      </c>
      <c r="E139" s="192" t="str">
        <f ca="1"/>
        <v>אסוף אירועים והתראות מפורטים</v>
      </c>
      <c r="F139" s="192" t="str">
        <f ca="1"/>
        <v>v</v>
      </c>
      <c r="G139" s="192" t="str">
        <f ca="1"/>
        <v>6.2.1</v>
      </c>
      <c r="H139" s="192" t="str">
        <f ca="1"/>
        <v>מערכת</v>
      </c>
      <c r="I139" s="192" t="str">
        <f ca="1"/>
        <v>-</v>
      </c>
      <c r="J139" s="28"/>
    </row>
    <row r="140" spans="1:10" ht="15" customHeight="1">
      <c r="A140" s="28"/>
      <c r="B140" s="192">
        <f ca="1"/>
        <v>8.5</v>
      </c>
      <c r="C140" s="192" t="str">
        <f ca="1"/>
        <v>Network</v>
      </c>
      <c r="D140" s="192" t="str">
        <f ca="1"/>
        <v>Detect</v>
      </c>
      <c r="E140" s="192" t="str">
        <f ca="1"/>
        <v>אסוף אירועים והתראות מפורטים</v>
      </c>
      <c r="F140" s="192" t="str">
        <f ca="1"/>
        <v>v</v>
      </c>
      <c r="G140" s="192" t="str">
        <f ca="1"/>
        <v>6.2.2</v>
      </c>
      <c r="H140" s="192" t="str">
        <f ca="1"/>
        <v>מערכת</v>
      </c>
      <c r="I140" s="192" t="str">
        <f ca="1"/>
        <v>-</v>
      </c>
      <c r="J140" s="28"/>
    </row>
    <row r="141" spans="1:10" ht="15" customHeight="1">
      <c r="A141" s="28"/>
      <c r="B141" s="192">
        <f ca="1"/>
        <v>8.5</v>
      </c>
      <c r="C141" s="192" t="str">
        <f ca="1"/>
        <v>Network</v>
      </c>
      <c r="D141" s="192" t="str">
        <f ca="1"/>
        <v>Detect</v>
      </c>
      <c r="E141" s="192" t="str">
        <f ca="1"/>
        <v>אסוף אירועים והתראות מפורטים</v>
      </c>
      <c r="F141" s="192" t="str">
        <f ca="1"/>
        <v>v</v>
      </c>
      <c r="G141" s="192" t="str">
        <f ca="1"/>
        <v>6.2.3</v>
      </c>
      <c r="H141" s="192" t="str">
        <f ca="1"/>
        <v>מערכת</v>
      </c>
      <c r="I141" s="192" t="str">
        <f ca="1"/>
        <v>-</v>
      </c>
      <c r="J141" s="28"/>
    </row>
    <row r="142" spans="1:10" ht="15" customHeight="1">
      <c r="A142" s="28"/>
      <c r="B142" s="192">
        <f ca="1"/>
        <v>8.5</v>
      </c>
      <c r="C142" s="192" t="str">
        <f ca="1"/>
        <v>Network</v>
      </c>
      <c r="D142" s="192" t="str">
        <f ca="1"/>
        <v>Detect</v>
      </c>
      <c r="E142" s="192" t="str">
        <f ca="1"/>
        <v>אסוף אירועים והתראות מפורטים</v>
      </c>
      <c r="F142" s="192" t="str">
        <f ca="1"/>
        <v>v</v>
      </c>
      <c r="G142" s="192" t="str">
        <f ca="1"/>
        <v>6.2.4</v>
      </c>
      <c r="H142" s="192" t="str">
        <f ca="1"/>
        <v>מערכת</v>
      </c>
      <c r="I142" s="192" t="str">
        <f ca="1"/>
        <v>-</v>
      </c>
      <c r="J142" s="28"/>
    </row>
    <row r="143" spans="1:10" ht="15" customHeight="1">
      <c r="A143" s="28"/>
      <c r="B143" s="192">
        <f ca="1"/>
        <v>8.5</v>
      </c>
      <c r="C143" s="192" t="str">
        <f ca="1"/>
        <v>Network</v>
      </c>
      <c r="D143" s="192" t="str">
        <f ca="1"/>
        <v>Detect</v>
      </c>
      <c r="E143" s="192" t="str">
        <f ca="1"/>
        <v>אסוף אירועים והתראות מפורטים</v>
      </c>
      <c r="F143" s="192" t="str">
        <f ca="1"/>
        <v>v</v>
      </c>
      <c r="G143" s="192" t="str">
        <f ca="1"/>
        <v>6.2.5</v>
      </c>
      <c r="H143" s="192" t="str">
        <f ca="1"/>
        <v>מערכת</v>
      </c>
      <c r="I143" s="192" t="str">
        <f ca="1"/>
        <v>-</v>
      </c>
      <c r="J143" s="28"/>
    </row>
    <row r="144" spans="1:10" ht="15" customHeight="1">
      <c r="A144" s="28"/>
      <c r="B144" s="192">
        <f ca="1"/>
        <v>8.5</v>
      </c>
      <c r="C144" s="192" t="str">
        <f ca="1"/>
        <v>Network</v>
      </c>
      <c r="D144" s="192" t="str">
        <f ca="1"/>
        <v>Detect</v>
      </c>
      <c r="E144" s="192" t="str">
        <f ca="1"/>
        <v>אסוף אירועים והתראות מפורטים</v>
      </c>
      <c r="F144" s="192" t="str">
        <f ca="1"/>
        <v>v</v>
      </c>
      <c r="G144" s="192" t="str">
        <f ca="1"/>
        <v>6.2.6</v>
      </c>
      <c r="H144" s="192" t="str">
        <f ca="1"/>
        <v>מערכת</v>
      </c>
      <c r="I144" s="192" t="str">
        <f ca="1"/>
        <v>-</v>
      </c>
      <c r="J144" s="28"/>
    </row>
    <row r="145" spans="1:10" ht="15" customHeight="1">
      <c r="A145" s="28"/>
      <c r="B145" s="192">
        <f ca="1"/>
        <v>8.5</v>
      </c>
      <c r="C145" s="192" t="str">
        <f ca="1"/>
        <v>Network</v>
      </c>
      <c r="D145" s="192" t="str">
        <f ca="1"/>
        <v>Detect</v>
      </c>
      <c r="E145" s="192" t="str">
        <f ca="1"/>
        <v>אסוף אירועים והתראות מפורטים</v>
      </c>
      <c r="F145" s="192" t="str">
        <f ca="1"/>
        <v>v</v>
      </c>
      <c r="G145" s="192" t="str">
        <f ca="1"/>
        <v>6.2.7</v>
      </c>
      <c r="H145" s="192" t="str">
        <f ca="1"/>
        <v>מערכת</v>
      </c>
      <c r="I145" s="192" t="str">
        <f ca="1"/>
        <v>-</v>
      </c>
      <c r="J145" s="28"/>
    </row>
    <row r="146" spans="1:10" ht="15" customHeight="1">
      <c r="A146" s="28"/>
      <c r="B146" s="192">
        <f ca="1"/>
        <v>8.5</v>
      </c>
      <c r="C146" s="192" t="str">
        <f ca="1"/>
        <v>Network</v>
      </c>
      <c r="D146" s="192" t="str">
        <f ca="1"/>
        <v>Detect</v>
      </c>
      <c r="E146" s="192" t="str">
        <f ca="1"/>
        <v>אסוף אירועים והתראות מפורטים</v>
      </c>
      <c r="F146" s="192" t="str">
        <f ca="1"/>
        <v>v</v>
      </c>
      <c r="G146" s="192" t="str">
        <f ca="1"/>
        <v>6.2.8</v>
      </c>
      <c r="H146" s="192" t="str">
        <f ca="1"/>
        <v>מערכת</v>
      </c>
      <c r="I146" s="192" t="str">
        <f ca="1"/>
        <v>-</v>
      </c>
      <c r="J146" s="28"/>
    </row>
    <row r="147" spans="1:10" ht="15" customHeight="1">
      <c r="A147" s="28"/>
      <c r="B147" s="192">
        <f ca="1"/>
        <v>8.6</v>
      </c>
      <c r="C147" s="192" t="str">
        <f ca="1"/>
        <v>Network</v>
      </c>
      <c r="D147" s="192" t="str">
        <f ca="1"/>
        <v>Detect</v>
      </c>
      <c r="E147" s="192" t="str">
        <f ca="1"/>
        <v>אסוף אירועים והתראות שאילתות DNS</v>
      </c>
      <c r="F147" s="192" t="str">
        <f ca="1"/>
        <v>v</v>
      </c>
      <c r="G147" s="192" t="str">
        <f ca="1"/>
        <v>2.12</v>
      </c>
      <c r="H147" s="192" t="str">
        <f ca="1"/>
        <v>מערכת</v>
      </c>
      <c r="I147" s="192" t="str">
        <f ca="1"/>
        <v>-</v>
      </c>
      <c r="J147" s="28"/>
    </row>
    <row r="148" spans="1:10" ht="15" customHeight="1">
      <c r="A148" s="28"/>
      <c r="B148" s="192">
        <f ca="1"/>
        <v>8.6999999999999993</v>
      </c>
      <c r="C148" s="192" t="str">
        <f ca="1"/>
        <v>Network</v>
      </c>
      <c r="D148" s="192" t="str">
        <f ca="1"/>
        <v>Detect</v>
      </c>
      <c r="E148" s="192" t="str">
        <f ca="1"/>
        <v>אסוף אירועים והתראות של בקשות כתובת אתר</v>
      </c>
      <c r="F148" s="192" t="str">
        <f ca="1"/>
        <v/>
      </c>
      <c r="G148" s="192" t="str">
        <f ca="1"/>
        <v>-</v>
      </c>
      <c r="H148" s="192" t="str">
        <f ca="1"/>
        <v>ארגוני</v>
      </c>
      <c r="I148" s="192" t="str">
        <f ca="1"/>
        <v>-</v>
      </c>
      <c r="J148" s="28"/>
    </row>
    <row r="149" spans="1:10" ht="15" customHeight="1">
      <c r="A149" s="28"/>
      <c r="B149" s="192">
        <f ca="1"/>
        <v>8.8000000000000007</v>
      </c>
      <c r="C149" s="192" t="str">
        <f ca="1"/>
        <v>Devices</v>
      </c>
      <c r="D149" s="192" t="str">
        <f ca="1"/>
        <v>Detect</v>
      </c>
      <c r="E149" s="192" t="str">
        <f ca="1"/>
        <v>אסוף אירועים והתראות בשורת הפקודה</v>
      </c>
      <c r="F149" s="192" t="str">
        <f ca="1"/>
        <v/>
      </c>
      <c r="G149" s="192" t="str">
        <f ca="1"/>
        <v>-</v>
      </c>
      <c r="H149" s="192" t="str">
        <f ca="1"/>
        <v>ארגוני</v>
      </c>
      <c r="I149" s="192" t="str">
        <f ca="1"/>
        <v>-</v>
      </c>
      <c r="J149" s="28"/>
    </row>
    <row r="150" spans="1:10" ht="15" customHeight="1">
      <c r="A150" s="28"/>
      <c r="B150" s="192">
        <f ca="1"/>
        <v>8.9</v>
      </c>
      <c r="C150" s="192" t="str">
        <f ca="1"/>
        <v>Network</v>
      </c>
      <c r="D150" s="192" t="str">
        <f ca="1"/>
        <v>Detect</v>
      </c>
      <c r="E150" s="192" t="str">
        <f ca="1"/>
        <v>נהל אירועים והתראות באופן מרוכז</v>
      </c>
      <c r="F150" s="192" t="str">
        <f ca="1"/>
        <v>v</v>
      </c>
      <c r="G150" s="192" t="str">
        <f ca="1"/>
        <v>6.2.8</v>
      </c>
      <c r="H150" s="192" t="str">
        <f ca="1"/>
        <v>מערכת</v>
      </c>
      <c r="I150" s="192" t="str">
        <f ca="1"/>
        <v>-</v>
      </c>
      <c r="J150" s="28"/>
    </row>
    <row r="151" spans="1:10" ht="15" customHeight="1">
      <c r="A151" s="28"/>
      <c r="B151" s="192">
        <f ca="1"/>
        <v>8.1</v>
      </c>
      <c r="C151" s="192" t="str">
        <f ca="1"/>
        <v>Network</v>
      </c>
      <c r="D151" s="192" t="str">
        <f ca="1"/>
        <v>Protect</v>
      </c>
      <c r="E151" s="192" t="str">
        <f ca="1"/>
        <v>שמור אירועים והתראות</v>
      </c>
      <c r="F151" s="192" t="str">
        <f ca="1"/>
        <v/>
      </c>
      <c r="G151" s="192" t="str">
        <f ca="1"/>
        <v>-</v>
      </c>
      <c r="H151" s="192" t="str">
        <f ca="1"/>
        <v>ארגוני</v>
      </c>
      <c r="I151" s="192" t="str">
        <f ca="1"/>
        <v>-</v>
      </c>
      <c r="J151" s="28"/>
    </row>
    <row r="152" spans="1:10" ht="15" customHeight="1">
      <c r="A152" s="28"/>
      <c r="B152" s="192">
        <f ca="1"/>
        <v>8.11</v>
      </c>
      <c r="C152" s="192" t="str">
        <f ca="1"/>
        <v>Network</v>
      </c>
      <c r="D152" s="192" t="str">
        <f ca="1"/>
        <v>Detect</v>
      </c>
      <c r="E152" s="192" t="str">
        <f ca="1"/>
        <v>בצע סקירות אירועים והתראות</v>
      </c>
      <c r="F152" s="192" t="str">
        <f ca="1"/>
        <v>v</v>
      </c>
      <c r="G152" s="192" t="str">
        <f ca="1"/>
        <v>2.1</v>
      </c>
      <c r="H152" s="192" t="str">
        <f ca="1"/>
        <v>ארגוני</v>
      </c>
      <c r="I152" s="192" t="str">
        <f ca="1"/>
        <v>v</v>
      </c>
      <c r="J152" s="28"/>
    </row>
    <row r="153" spans="1:10" ht="15" customHeight="1">
      <c r="A153" s="28"/>
      <c r="B153" s="192">
        <f ca="1"/>
        <v>8.11</v>
      </c>
      <c r="C153" s="192" t="str">
        <f ca="1"/>
        <v>Network</v>
      </c>
      <c r="D153" s="192" t="str">
        <f ca="1"/>
        <v>Detect</v>
      </c>
      <c r="E153" s="192" t="str">
        <f ca="1"/>
        <v>בצע סקירות אירועים והתראות</v>
      </c>
      <c r="F153" s="192" t="str">
        <f ca="1"/>
        <v>v</v>
      </c>
      <c r="G153" s="192" t="str">
        <f ca="1"/>
        <v>2.12</v>
      </c>
      <c r="H153" s="192" t="str">
        <f ca="1"/>
        <v>מערכת</v>
      </c>
      <c r="I153" s="192" t="str">
        <f ca="1"/>
        <v>-</v>
      </c>
      <c r="J153" s="28"/>
    </row>
    <row r="154" spans="1:10" ht="15" customHeight="1">
      <c r="A154" s="28"/>
      <c r="B154" s="192" t="str">
        <f ca="1"/>
        <v>-</v>
      </c>
      <c r="C154" s="192" t="str">
        <f ca="1"/>
        <v>-</v>
      </c>
      <c r="D154" s="192" t="str">
        <f ca="1"/>
        <v>-</v>
      </c>
      <c r="E154" s="192" t="str">
        <f ca="1"/>
        <v>הגנות דואר אלקטרוני ודפדפן אינטרנט</v>
      </c>
      <c r="F154" s="192" t="str">
        <f ca="1"/>
        <v>-</v>
      </c>
      <c r="G154" s="192" t="str">
        <f ca="1"/>
        <v>-</v>
      </c>
      <c r="H154" s="192" t="str">
        <f ca="1"/>
        <v>-</v>
      </c>
      <c r="I154" s="192" t="str">
        <f ca="1"/>
        <v>-</v>
      </c>
      <c r="J154" s="28"/>
    </row>
    <row r="155" spans="1:10" ht="15" customHeight="1">
      <c r="A155" s="28"/>
      <c r="B155" s="192">
        <f ca="1"/>
        <v>9.1</v>
      </c>
      <c r="C155" s="192" t="str">
        <f ca="1"/>
        <v>Applications</v>
      </c>
      <c r="D155" s="192" t="str">
        <f ca="1"/>
        <v>Protect</v>
      </c>
      <c r="E155" s="192" t="str">
        <f ca="1"/>
        <v>ודא שימוש רק בדפדפנים ובלקוחות דוא"ל הנתמכים במלואם</v>
      </c>
      <c r="F155" s="192" t="str">
        <f ca="1"/>
        <v/>
      </c>
      <c r="G155" s="192" t="str">
        <f ca="1"/>
        <v>-</v>
      </c>
      <c r="H155" s="192" t="str">
        <f ca="1"/>
        <v>ארגוני</v>
      </c>
      <c r="I155" s="192" t="str">
        <f ca="1"/>
        <v>-</v>
      </c>
      <c r="J155" s="28"/>
    </row>
    <row r="156" spans="1:10" ht="15" customHeight="1">
      <c r="A156" s="28"/>
      <c r="B156" s="192">
        <f ca="1"/>
        <v>9.1999999999999993</v>
      </c>
      <c r="C156" s="192" t="str">
        <f ca="1"/>
        <v>Network</v>
      </c>
      <c r="D156" s="192" t="str">
        <f ca="1"/>
        <v>Protect</v>
      </c>
      <c r="E156" s="192" t="str">
        <f ca="1"/>
        <v>השתמש בשירותי סינון DNS</v>
      </c>
      <c r="F156" s="192" t="str">
        <f ca="1"/>
        <v/>
      </c>
      <c r="G156" s="192" t="str">
        <f ca="1"/>
        <v>-</v>
      </c>
      <c r="H156" s="192" t="str">
        <f ca="1"/>
        <v>ארגוני</v>
      </c>
      <c r="I156" s="192" t="str">
        <f ca="1"/>
        <v>-</v>
      </c>
      <c r="J156" s="28"/>
    </row>
    <row r="157" spans="1:10" ht="15" customHeight="1">
      <c r="A157" s="28"/>
      <c r="B157" s="192">
        <f ca="1"/>
        <v>9.3000000000000007</v>
      </c>
      <c r="C157" s="192" t="str">
        <f ca="1"/>
        <v>Network</v>
      </c>
      <c r="D157" s="192" t="str">
        <f ca="1"/>
        <v>Protect</v>
      </c>
      <c r="E157" s="192" t="str">
        <f ca="1"/>
        <v>שמירה ואכיפה של מסנני כתובות אתרים מבוססי רשת</v>
      </c>
      <c r="F157" s="192" t="str">
        <f ca="1"/>
        <v/>
      </c>
      <c r="G157" s="192" t="str">
        <f ca="1"/>
        <v>-</v>
      </c>
      <c r="H157" s="192" t="str">
        <f ca="1"/>
        <v>ארגוני</v>
      </c>
      <c r="I157" s="192" t="str">
        <f ca="1"/>
        <v>-</v>
      </c>
      <c r="J157" s="28"/>
    </row>
    <row r="158" spans="1:10" ht="15" customHeight="1">
      <c r="A158" s="28"/>
      <c r="B158" s="192">
        <f ca="1"/>
        <v>9.4</v>
      </c>
      <c r="C158" s="192" t="str">
        <f ca="1"/>
        <v>Applications</v>
      </c>
      <c r="D158" s="192" t="str">
        <f ca="1"/>
        <v>Protect</v>
      </c>
      <c r="E158" s="192" t="str">
        <f ca="1"/>
        <v>הגבל הרחבות דפדפן ולקוח דוא"ל מיותרות או לא מורשות</v>
      </c>
      <c r="F158" s="192" t="str">
        <f ca="1"/>
        <v/>
      </c>
      <c r="G158" s="192" t="str">
        <f ca="1"/>
        <v>-</v>
      </c>
      <c r="H158" s="192" t="str">
        <f ca="1"/>
        <v>ארגוני</v>
      </c>
      <c r="I158" s="192" t="str">
        <f ca="1"/>
        <v>-</v>
      </c>
      <c r="J158" s="28"/>
    </row>
    <row r="159" spans="1:10" ht="15" customHeight="1">
      <c r="A159" s="28"/>
      <c r="B159" s="192">
        <f ca="1"/>
        <v>9.5</v>
      </c>
      <c r="C159" s="192" t="str">
        <f ca="1"/>
        <v>Network</v>
      </c>
      <c r="D159" s="192" t="str">
        <f ca="1"/>
        <v>Protect</v>
      </c>
      <c r="E159" s="192" t="str">
        <f ca="1"/>
        <v>הטמעת DMARC</v>
      </c>
      <c r="F159" s="192" t="str">
        <f ca="1"/>
        <v/>
      </c>
      <c r="G159" s="192" t="str">
        <f ca="1"/>
        <v>-</v>
      </c>
      <c r="H159" s="192" t="str">
        <f ca="1"/>
        <v>ארגוני</v>
      </c>
      <c r="I159" s="192" t="str">
        <f ca="1"/>
        <v>-</v>
      </c>
      <c r="J159" s="28"/>
    </row>
    <row r="160" spans="1:10" ht="15" customHeight="1">
      <c r="A160" s="28"/>
      <c r="B160" s="192">
        <f ca="1"/>
        <v>9.6</v>
      </c>
      <c r="C160" s="192" t="str">
        <f ca="1"/>
        <v>Network</v>
      </c>
      <c r="D160" s="192" t="str">
        <f ca="1"/>
        <v>Protect</v>
      </c>
      <c r="E160" s="192" t="str">
        <f ca="1"/>
        <v>חסום סוגי קבצים מיותרים</v>
      </c>
      <c r="F160" s="192" t="str">
        <f ca="1"/>
        <v/>
      </c>
      <c r="G160" s="192" t="str">
        <f ca="1"/>
        <v>-</v>
      </c>
      <c r="H160" s="192" t="str">
        <f ca="1"/>
        <v>ארגוני</v>
      </c>
      <c r="I160" s="192" t="str">
        <f ca="1"/>
        <v>-</v>
      </c>
      <c r="J160" s="28"/>
    </row>
    <row r="161" spans="1:10" ht="15" customHeight="1">
      <c r="A161" s="28"/>
      <c r="B161" s="192">
        <f ca="1"/>
        <v>9.6999999999999993</v>
      </c>
      <c r="C161" s="192" t="str">
        <f ca="1"/>
        <v>Network</v>
      </c>
      <c r="D161" s="192" t="str">
        <f ca="1"/>
        <v>Protect</v>
      </c>
      <c r="E161" s="192" t="str">
        <f ca="1"/>
        <v>פרוס ותחזק הגנות נגד תוכנות זדוניות לשרת דוא"ל</v>
      </c>
      <c r="F161" s="192" t="str">
        <f ca="1"/>
        <v/>
      </c>
      <c r="G161" s="192" t="str">
        <f ca="1"/>
        <v>-</v>
      </c>
      <c r="H161" s="192" t="str">
        <f ca="1"/>
        <v>ארגוני</v>
      </c>
      <c r="I161" s="192" t="str">
        <f ca="1"/>
        <v>-</v>
      </c>
      <c r="J161" s="28"/>
    </row>
    <row r="162" spans="1:10" ht="15" customHeight="1">
      <c r="A162" s="28"/>
      <c r="B162" s="192" t="str">
        <f ca="1"/>
        <v>-</v>
      </c>
      <c r="C162" s="192" t="str">
        <f ca="1"/>
        <v>-</v>
      </c>
      <c r="D162" s="192" t="str">
        <f ca="1"/>
        <v>-</v>
      </c>
      <c r="E162" s="192" t="str">
        <f ca="1"/>
        <v>הגנה מפני תוכנות זדוניות</v>
      </c>
      <c r="F162" s="192" t="str">
        <f ca="1"/>
        <v>-</v>
      </c>
      <c r="G162" s="192" t="str">
        <f ca="1"/>
        <v>-</v>
      </c>
      <c r="H162" s="192" t="str">
        <f ca="1"/>
        <v>-</v>
      </c>
      <c r="I162" s="192" t="str">
        <f ca="1"/>
        <v>-</v>
      </c>
      <c r="J162" s="28"/>
    </row>
    <row r="163" spans="1:10" ht="15" customHeight="1">
      <c r="A163" s="28"/>
      <c r="B163" s="192">
        <f ca="1"/>
        <v>10.1</v>
      </c>
      <c r="C163" s="192" t="str">
        <f ca="1"/>
        <v>Devices</v>
      </c>
      <c r="D163" s="192" t="str">
        <f ca="1"/>
        <v>Protect</v>
      </c>
      <c r="E163" s="192" t="str">
        <f ca="1"/>
        <v>פרוס ותחזק תוכנה נגד תוכנות זדוניות</v>
      </c>
      <c r="F163" s="192" t="str">
        <f ca="1"/>
        <v/>
      </c>
      <c r="G163" s="192" t="str">
        <f ca="1"/>
        <v>-</v>
      </c>
      <c r="H163" s="192" t="str">
        <f ca="1"/>
        <v>ארגוני</v>
      </c>
      <c r="I163" s="192" t="str">
        <f ca="1"/>
        <v>-</v>
      </c>
      <c r="J163" s="28"/>
    </row>
    <row r="164" spans="1:10" ht="15" customHeight="1">
      <c r="A164" s="28"/>
      <c r="B164" s="192">
        <f ca="1"/>
        <v>10.199999999999999</v>
      </c>
      <c r="C164" s="192" t="str">
        <f ca="1"/>
        <v>Devices</v>
      </c>
      <c r="D164" s="192" t="str">
        <f ca="1"/>
        <v>Protect</v>
      </c>
      <c r="E164" s="192" t="str">
        <f ca="1"/>
        <v>הגדר עדכוני חתימה אוטומטיים נגד תוכנות זדוניות</v>
      </c>
      <c r="F164" s="192" t="str">
        <f ca="1"/>
        <v/>
      </c>
      <c r="G164" s="192" t="str">
        <f ca="1"/>
        <v>-</v>
      </c>
      <c r="H164" s="192" t="str">
        <f ca="1"/>
        <v>ארגוני</v>
      </c>
      <c r="I164" s="192" t="str">
        <f ca="1"/>
        <v>-</v>
      </c>
      <c r="J164" s="28"/>
    </row>
    <row r="165" spans="1:10" ht="15" customHeight="1">
      <c r="A165" s="28"/>
      <c r="B165" s="192">
        <f ca="1"/>
        <v>10.3</v>
      </c>
      <c r="C165" s="192" t="str">
        <f ca="1"/>
        <v>Devices</v>
      </c>
      <c r="D165" s="192" t="str">
        <f ca="1"/>
        <v>Protect</v>
      </c>
      <c r="E165" s="192" t="str">
        <f ca="1"/>
        <v>השבת הפעלה אוטומטית והפעלה אוטומטית עבור מדיה נשלפת</v>
      </c>
      <c r="F165" s="192" t="str">
        <f ca="1"/>
        <v/>
      </c>
      <c r="G165" s="192" t="str">
        <f ca="1"/>
        <v>-</v>
      </c>
      <c r="H165" s="192" t="str">
        <f ca="1"/>
        <v>ארגוני</v>
      </c>
      <c r="I165" s="192" t="str">
        <f ca="1"/>
        <v>-</v>
      </c>
      <c r="J165" s="28"/>
    </row>
    <row r="166" spans="1:10" ht="15" customHeight="1">
      <c r="A166" s="28"/>
      <c r="B166" s="192">
        <f ca="1"/>
        <v>10.4</v>
      </c>
      <c r="C166" s="192" t="str">
        <f ca="1"/>
        <v>Devices</v>
      </c>
      <c r="D166" s="192" t="str">
        <f ca="1"/>
        <v>Detect</v>
      </c>
      <c r="E166" s="192" t="str">
        <f ca="1"/>
        <v>הגדר סריקה אוטומטית נגד תוכנות זדוניות של מדיה נשלפת</v>
      </c>
      <c r="F166" s="192" t="str">
        <f ca="1"/>
        <v/>
      </c>
      <c r="G166" s="192" t="str">
        <f ca="1"/>
        <v>-</v>
      </c>
      <c r="H166" s="192" t="str">
        <f ca="1"/>
        <v>ארגוני</v>
      </c>
      <c r="I166" s="192" t="str">
        <f ca="1"/>
        <v>-</v>
      </c>
      <c r="J166" s="28"/>
    </row>
    <row r="167" spans="1:10" ht="15" customHeight="1">
      <c r="A167" s="28"/>
      <c r="B167" s="192">
        <f ca="1"/>
        <v>10.5</v>
      </c>
      <c r="C167" s="192" t="str">
        <f ca="1"/>
        <v>Devices</v>
      </c>
      <c r="D167" s="192" t="str">
        <f ca="1"/>
        <v>Protect</v>
      </c>
      <c r="E167" s="192" t="str">
        <f ca="1"/>
        <v>אפשר תכונות נגד ניצול</v>
      </c>
      <c r="F167" s="192" t="str">
        <f ca="1"/>
        <v/>
      </c>
      <c r="G167" s="192" t="str">
        <f ca="1"/>
        <v>-</v>
      </c>
      <c r="H167" s="192" t="str">
        <f ca="1"/>
        <v>ארגוני</v>
      </c>
      <c r="I167" s="192" t="str">
        <f ca="1"/>
        <v>-</v>
      </c>
      <c r="J167" s="28"/>
    </row>
    <row r="168" spans="1:10" ht="15" customHeight="1">
      <c r="A168" s="28"/>
      <c r="B168" s="192">
        <f ca="1"/>
        <v>10.6</v>
      </c>
      <c r="C168" s="192" t="str">
        <f ca="1"/>
        <v>Devices</v>
      </c>
      <c r="D168" s="192" t="str">
        <f ca="1"/>
        <v>Protect</v>
      </c>
      <c r="E168" s="192" t="str">
        <f ca="1"/>
        <v>ניהול מרכזי של תוכנות נגד תוכנות זדוניות</v>
      </c>
      <c r="F168" s="192" t="str">
        <f ca="1"/>
        <v/>
      </c>
      <c r="G168" s="192" t="str">
        <f ca="1"/>
        <v>-</v>
      </c>
      <c r="H168" s="192" t="str">
        <f ca="1"/>
        <v>ארגוני</v>
      </c>
      <c r="I168" s="192" t="str">
        <f ca="1"/>
        <v>-</v>
      </c>
      <c r="J168" s="28"/>
    </row>
    <row r="169" spans="1:10" ht="15" customHeight="1">
      <c r="A169" s="28"/>
      <c r="B169" s="192">
        <f ca="1"/>
        <v>10.7</v>
      </c>
      <c r="C169" s="192" t="str">
        <f ca="1"/>
        <v>Devices</v>
      </c>
      <c r="D169" s="192" t="str">
        <f ca="1"/>
        <v>Detect</v>
      </c>
      <c r="E169" s="192" t="str">
        <f ca="1"/>
        <v>השתמש בתוכנת אנטי-זדונית מבוססת התנהגות</v>
      </c>
      <c r="F169" s="192" t="str">
        <f ca="1"/>
        <v/>
      </c>
      <c r="G169" s="192" t="str">
        <f ca="1"/>
        <v>-</v>
      </c>
      <c r="H169" s="192" t="str">
        <f ca="1"/>
        <v>ארגוני</v>
      </c>
      <c r="I169" s="192" t="str">
        <f ca="1"/>
        <v>-</v>
      </c>
      <c r="J169" s="28"/>
    </row>
    <row r="170" spans="1:10" ht="15" customHeight="1">
      <c r="A170" s="28"/>
      <c r="B170" s="192" t="str">
        <f ca="1"/>
        <v>-</v>
      </c>
      <c r="C170" s="192" t="str">
        <f ca="1"/>
        <v>-</v>
      </c>
      <c r="D170" s="192" t="str">
        <f ca="1"/>
        <v>-</v>
      </c>
      <c r="E170" s="192" t="str">
        <f ca="1"/>
        <v>שחזור מידע</v>
      </c>
      <c r="F170" s="192" t="str">
        <f ca="1"/>
        <v>-</v>
      </c>
      <c r="G170" s="192" t="str">
        <f ca="1"/>
        <v>-</v>
      </c>
      <c r="H170" s="192" t="str">
        <f ca="1"/>
        <v>-</v>
      </c>
      <c r="I170" s="192" t="str">
        <f ca="1"/>
        <v>-</v>
      </c>
      <c r="J170" s="28"/>
    </row>
    <row r="171" spans="1:10" ht="15" customHeight="1">
      <c r="A171" s="28"/>
      <c r="B171" s="192">
        <f ca="1"/>
        <v>11.1</v>
      </c>
      <c r="C171" s="192" t="str">
        <f ca="1"/>
        <v>Data</v>
      </c>
      <c r="D171" s="192" t="str">
        <f ca="1"/>
        <v>Recover</v>
      </c>
      <c r="E171" s="192" t="str">
        <f ca="1"/>
        <v>הקמה ותחזוקה של תהליך שחזור נתונים</v>
      </c>
      <c r="F171" s="192" t="str">
        <f ca="1"/>
        <v/>
      </c>
      <c r="G171" s="192" t="str">
        <f ca="1"/>
        <v>-</v>
      </c>
      <c r="H171" s="192" t="str">
        <f ca="1"/>
        <v>ארגוני</v>
      </c>
      <c r="I171" s="192" t="str">
        <f ca="1"/>
        <v>-</v>
      </c>
      <c r="J171" s="28"/>
    </row>
    <row r="172" spans="1:10" ht="15" customHeight="1">
      <c r="A172" s="28"/>
      <c r="B172" s="192">
        <f ca="1"/>
        <v>11.2</v>
      </c>
      <c r="C172" s="192" t="str">
        <f ca="1"/>
        <v>Data</v>
      </c>
      <c r="D172" s="192" t="str">
        <f ca="1"/>
        <v>Recover</v>
      </c>
      <c r="E172" s="192" t="str">
        <f ca="1"/>
        <v>בצע גיבויים אוטומטיים</v>
      </c>
      <c r="F172" s="192" t="str">
        <f ca="1"/>
        <v>v</v>
      </c>
      <c r="G172" s="192" t="str">
        <f ca="1"/>
        <v>6.7</v>
      </c>
      <c r="H172" s="192" t="str">
        <f ca="1"/>
        <v>מערכת</v>
      </c>
      <c r="I172" s="192" t="str">
        <f ca="1"/>
        <v>-</v>
      </c>
      <c r="J172" s="28"/>
    </row>
    <row r="173" spans="1:10" ht="15" customHeight="1">
      <c r="A173" s="28"/>
      <c r="B173" s="192">
        <f ca="1"/>
        <v>11.3</v>
      </c>
      <c r="C173" s="192" t="str">
        <f ca="1"/>
        <v>Data</v>
      </c>
      <c r="D173" s="192" t="str">
        <f ca="1"/>
        <v>Protect</v>
      </c>
      <c r="E173" s="192" t="str">
        <f ca="1"/>
        <v>הגן על נתוני שחזור</v>
      </c>
      <c r="F173" s="192" t="str">
        <f ca="1"/>
        <v/>
      </c>
      <c r="G173" s="192" t="str">
        <f ca="1"/>
        <v>-</v>
      </c>
      <c r="H173" s="192" t="str">
        <f ca="1"/>
        <v>ארגוני</v>
      </c>
      <c r="I173" s="192" t="str">
        <f ca="1"/>
        <v>-</v>
      </c>
      <c r="J173" s="28"/>
    </row>
    <row r="174" spans="1:10" ht="15" customHeight="1">
      <c r="A174" s="28"/>
      <c r="B174" s="192">
        <f ca="1"/>
        <v>11.4</v>
      </c>
      <c r="C174" s="192" t="str">
        <f ca="1"/>
        <v>Data</v>
      </c>
      <c r="D174" s="192" t="str">
        <f ca="1"/>
        <v>Recover</v>
      </c>
      <c r="E174" s="192" t="str">
        <f ca="1"/>
        <v>הקמה ותחזוקה של מופע מבודד o</v>
      </c>
      <c r="F174" s="192" t="str">
        <f ca="1"/>
        <v/>
      </c>
      <c r="G174" s="192" t="str">
        <f ca="1"/>
        <v>-</v>
      </c>
      <c r="H174" s="192" t="str">
        <f ca="1"/>
        <v>ארגוני</v>
      </c>
      <c r="I174" s="192" t="str">
        <f ca="1"/>
        <v>-</v>
      </c>
      <c r="J174" s="28"/>
    </row>
    <row r="175" spans="1:10" ht="15" customHeight="1">
      <c r="A175" s="28"/>
      <c r="B175" s="192">
        <f ca="1"/>
        <v>11.5</v>
      </c>
      <c r="C175" s="192" t="str">
        <f ca="1"/>
        <v>Data</v>
      </c>
      <c r="D175" s="192" t="str">
        <f ca="1"/>
        <v>Recover</v>
      </c>
      <c r="E175" s="192" t="str">
        <f ca="1"/>
        <v>בדוק שחזור נתונים</v>
      </c>
      <c r="F175" s="192" t="str">
        <f ca="1"/>
        <v/>
      </c>
      <c r="G175" s="192" t="str">
        <f ca="1"/>
        <v>-</v>
      </c>
      <c r="H175" s="192" t="str">
        <f ca="1"/>
        <v>ארגוני</v>
      </c>
      <c r="I175" s="192" t="str">
        <f ca="1"/>
        <v>-</v>
      </c>
      <c r="J175" s="28"/>
    </row>
    <row r="176" spans="1:10" ht="15" customHeight="1">
      <c r="A176" s="28"/>
      <c r="B176" s="192" t="str">
        <f ca="1"/>
        <v>-</v>
      </c>
      <c r="C176" s="192" t="str">
        <f ca="1"/>
        <v>-</v>
      </c>
      <c r="D176" s="192" t="str">
        <f ca="1"/>
        <v>-</v>
      </c>
      <c r="E176" s="192" t="str">
        <f ca="1"/>
        <v>ניהול תשתיות רשת</v>
      </c>
      <c r="F176" s="192" t="str">
        <f ca="1"/>
        <v>-</v>
      </c>
      <c r="G176" s="192" t="str">
        <f ca="1"/>
        <v>-</v>
      </c>
      <c r="H176" s="192" t="str">
        <f ca="1"/>
        <v>-</v>
      </c>
      <c r="I176" s="192" t="str">
        <f ca="1"/>
        <v>-</v>
      </c>
      <c r="J176" s="28"/>
    </row>
    <row r="177" spans="1:10" ht="15" customHeight="1">
      <c r="A177" s="28"/>
      <c r="B177" s="192">
        <f ca="1"/>
        <v>12.1</v>
      </c>
      <c r="C177" s="192" t="str">
        <f ca="1"/>
        <v>Network</v>
      </c>
      <c r="D177" s="192" t="str">
        <f ca="1"/>
        <v>Protect</v>
      </c>
      <c r="E177" s="192" t="str">
        <f ca="1"/>
        <v>ודא שתשתית הרשת מעודכנת</v>
      </c>
      <c r="F177" s="192" t="str">
        <f ca="1"/>
        <v/>
      </c>
      <c r="G177" s="192" t="str">
        <f ca="1"/>
        <v>-</v>
      </c>
      <c r="H177" s="192" t="str">
        <f ca="1"/>
        <v>ארגוני</v>
      </c>
      <c r="I177" s="192" t="str">
        <f ca="1"/>
        <v>-</v>
      </c>
      <c r="J177" s="28"/>
    </row>
    <row r="178" spans="1:10" ht="15" customHeight="1">
      <c r="A178" s="28"/>
      <c r="B178" s="192">
        <f ca="1"/>
        <v>12.2</v>
      </c>
      <c r="C178" s="192" t="str">
        <f ca="1"/>
        <v>Network</v>
      </c>
      <c r="D178" s="192" t="str">
        <f ca="1"/>
        <v>Protect</v>
      </c>
      <c r="E178" s="192" t="str">
        <f ca="1"/>
        <v>הקמה ותחזוקה של ארכיטקטורת רשת מאובטחת</v>
      </c>
      <c r="F178" s="192" t="str">
        <f ca="1"/>
        <v/>
      </c>
      <c r="G178" s="192" t="str">
        <f ca="1"/>
        <v>-</v>
      </c>
      <c r="H178" s="192" t="str">
        <f ca="1"/>
        <v>ארגוני</v>
      </c>
      <c r="I178" s="192" t="str">
        <f ca="1"/>
        <v>-</v>
      </c>
      <c r="J178" s="28"/>
    </row>
    <row r="179" spans="1:10" ht="15" customHeight="1">
      <c r="A179" s="28"/>
      <c r="B179" s="192">
        <f ca="1"/>
        <v>12.3</v>
      </c>
      <c r="C179" s="192" t="str">
        <f ca="1"/>
        <v>Network</v>
      </c>
      <c r="D179" s="192" t="str">
        <f ca="1"/>
        <v>Protect</v>
      </c>
      <c r="E179" s="192" t="str">
        <f ca="1"/>
        <v>ניהול מאובטח של תשתית רשת</v>
      </c>
      <c r="F179" s="192" t="str">
        <f ca="1"/>
        <v/>
      </c>
      <c r="G179" s="192" t="str">
        <f ca="1"/>
        <v>-</v>
      </c>
      <c r="H179" s="192" t="str">
        <f ca="1"/>
        <v>ארגוני</v>
      </c>
      <c r="I179" s="192" t="str">
        <f ca="1"/>
        <v>-</v>
      </c>
      <c r="J179" s="28"/>
    </row>
    <row r="180" spans="1:10" ht="15" customHeight="1">
      <c r="A180" s="28"/>
      <c r="B180" s="192">
        <f ca="1"/>
        <v>12.4</v>
      </c>
      <c r="C180" s="192" t="str">
        <f ca="1"/>
        <v>Network</v>
      </c>
      <c r="D180" s="192" t="str">
        <f ca="1"/>
        <v>Identify</v>
      </c>
      <c r="E180" s="192" t="str">
        <f ca="1"/>
        <v>הקמה ותחזוקה של דיאגרמות אדריכלות</v>
      </c>
      <c r="F180" s="192" t="str">
        <f ca="1"/>
        <v/>
      </c>
      <c r="G180" s="192" t="str">
        <f ca="1"/>
        <v>-</v>
      </c>
      <c r="H180" s="192" t="str">
        <f ca="1"/>
        <v>ארגוני</v>
      </c>
      <c r="I180" s="192" t="str">
        <f ca="1"/>
        <v>-</v>
      </c>
      <c r="J180" s="28"/>
    </row>
    <row r="181" spans="1:10" ht="15" customHeight="1">
      <c r="A181" s="28"/>
      <c r="B181" s="192">
        <f ca="1"/>
        <v>12.5</v>
      </c>
      <c r="C181" s="192" t="str">
        <f ca="1"/>
        <v>Network</v>
      </c>
      <c r="D181" s="192" t="str">
        <f ca="1"/>
        <v>Protect</v>
      </c>
      <c r="E181" s="192" t="str">
        <f ca="1"/>
        <v>ריכוז אימות, הרשאה וביקורת רשת (AAA)</v>
      </c>
      <c r="F181" s="192" t="str">
        <f ca="1"/>
        <v/>
      </c>
      <c r="G181" s="192" t="str">
        <f ca="1"/>
        <v>-</v>
      </c>
      <c r="H181" s="192" t="str">
        <f ca="1"/>
        <v>ארגוני</v>
      </c>
      <c r="I181" s="192" t="str">
        <f ca="1"/>
        <v>-</v>
      </c>
      <c r="J181" s="28"/>
    </row>
    <row r="182" spans="1:10" ht="15" customHeight="1">
      <c r="A182" s="28"/>
      <c r="B182" s="192">
        <f ca="1"/>
        <v>12.6</v>
      </c>
      <c r="C182" s="192" t="str">
        <f ca="1"/>
        <v>Network</v>
      </c>
      <c r="D182" s="192" t="str">
        <f ca="1"/>
        <v>Protect</v>
      </c>
      <c r="E182" s="192" t="str">
        <f ca="1"/>
        <v>שימוש בפרוטוקולי ניהול ותקשורת מאובטחים ברשת</v>
      </c>
      <c r="F182" s="192" t="str">
        <f ca="1"/>
        <v/>
      </c>
      <c r="G182" s="192" t="str">
        <f ca="1"/>
        <v>-</v>
      </c>
      <c r="H182" s="192" t="str">
        <f ca="1"/>
        <v>ארגוני</v>
      </c>
      <c r="I182" s="192" t="str">
        <f ca="1"/>
        <v>-</v>
      </c>
      <c r="J182" s="28"/>
    </row>
    <row r="183" spans="1:10" ht="15" customHeight="1">
      <c r="A183" s="28"/>
      <c r="B183" s="192">
        <f ca="1"/>
        <v>12.7</v>
      </c>
      <c r="C183" s="192" t="str">
        <f ca="1"/>
        <v>Devices</v>
      </c>
      <c r="D183" s="192" t="str">
        <f ca="1"/>
        <v>Protect</v>
      </c>
      <c r="E183" s="192" t="str">
        <f ca="1"/>
        <v>ודא שמכשירים מרוחקים משתמשים ב-VPN ומתחברים לתשתית AAA של ארגון</v>
      </c>
      <c r="F183" s="192" t="str">
        <f ca="1"/>
        <v/>
      </c>
      <c r="G183" s="192" t="str">
        <f ca="1"/>
        <v>-</v>
      </c>
      <c r="H183" s="192" t="str">
        <f ca="1"/>
        <v>ארגוני</v>
      </c>
      <c r="I183" s="192" t="str">
        <f ca="1"/>
        <v>-</v>
      </c>
      <c r="J183" s="28"/>
    </row>
    <row r="184" spans="1:10" ht="15" customHeight="1">
      <c r="A184" s="28"/>
      <c r="B184" s="192">
        <f ca="1"/>
        <v>12.8</v>
      </c>
      <c r="C184" s="192" t="str">
        <f ca="1"/>
        <v>Devices</v>
      </c>
      <c r="D184" s="192" t="str">
        <f ca="1"/>
        <v>Protect</v>
      </c>
      <c r="E184" s="192" t="str">
        <f ca="1"/>
        <v>הקמה ותחזוקה של משאבי מחשוב ייעודיים לכל העבודה הניהולית</v>
      </c>
      <c r="F184" s="192" t="str">
        <f ca="1"/>
        <v/>
      </c>
      <c r="G184" s="192" t="str">
        <f ca="1"/>
        <v>-</v>
      </c>
      <c r="H184" s="192" t="str">
        <f ca="1"/>
        <v>ארגוני</v>
      </c>
      <c r="I184" s="192" t="str">
        <f ca="1"/>
        <v>-</v>
      </c>
      <c r="J184" s="28"/>
    </row>
    <row r="185" spans="1:10" ht="15" customHeight="1">
      <c r="A185" s="28"/>
      <c r="B185" s="192" t="str">
        <f ca="1"/>
        <v>-</v>
      </c>
      <c r="C185" s="192" t="str">
        <f ca="1"/>
        <v>-</v>
      </c>
      <c r="D185" s="192" t="str">
        <f ca="1"/>
        <v>-</v>
      </c>
      <c r="E185" s="192" t="str">
        <f ca="1"/>
        <v>ניטור רשת והגנה</v>
      </c>
      <c r="F185" s="192" t="str">
        <f ca="1"/>
        <v>-</v>
      </c>
      <c r="G185" s="192" t="str">
        <f ca="1"/>
        <v>-</v>
      </c>
      <c r="H185" s="192" t="str">
        <f ca="1"/>
        <v>-</v>
      </c>
      <c r="I185" s="192" t="str">
        <f ca="1"/>
        <v>-</v>
      </c>
      <c r="J185" s="28"/>
    </row>
    <row r="186" spans="1:10" ht="15" customHeight="1">
      <c r="A186" s="28"/>
      <c r="B186" s="192">
        <f ca="1"/>
        <v>13.1</v>
      </c>
      <c r="C186" s="192" t="str">
        <f ca="1"/>
        <v>Network</v>
      </c>
      <c r="D186" s="192" t="str">
        <f ca="1"/>
        <v>Detect</v>
      </c>
      <c r="E186" s="192" t="str">
        <f ca="1"/>
        <v>ריכוז התרעות על אירועי אבטחה</v>
      </c>
      <c r="F186" s="192" t="str">
        <f ca="1"/>
        <v/>
      </c>
      <c r="G186" s="192" t="str">
        <f ca="1"/>
        <v>-</v>
      </c>
      <c r="H186" s="192" t="str">
        <f ca="1"/>
        <v>ארגוני</v>
      </c>
      <c r="I186" s="192" t="str">
        <f ca="1"/>
        <v>-</v>
      </c>
      <c r="J186" s="28"/>
    </row>
    <row r="187" spans="1:10" ht="15" customHeight="1">
      <c r="A187" s="28"/>
      <c r="B187" s="192">
        <f ca="1"/>
        <v>13.2</v>
      </c>
      <c r="C187" s="192" t="str">
        <f ca="1"/>
        <v>Devices</v>
      </c>
      <c r="D187" s="192" t="str">
        <f ca="1"/>
        <v>Detect</v>
      </c>
      <c r="E187" s="192" t="str">
        <f ca="1"/>
        <v>פרוס פתרון לזיהוי פריצה מבוסס מארח</v>
      </c>
      <c r="F187" s="192" t="str">
        <f ca="1"/>
        <v/>
      </c>
      <c r="G187" s="192" t="str">
        <f ca="1"/>
        <v>-</v>
      </c>
      <c r="H187" s="192" t="str">
        <f ca="1"/>
        <v>ארגוני</v>
      </c>
      <c r="I187" s="192" t="str">
        <f ca="1"/>
        <v>-</v>
      </c>
      <c r="J187" s="28"/>
    </row>
    <row r="188" spans="1:10" ht="15" customHeight="1">
      <c r="A188" s="28"/>
      <c r="B188" s="192">
        <f ca="1"/>
        <v>13.3</v>
      </c>
      <c r="C188" s="192" t="str">
        <f ca="1"/>
        <v>Network</v>
      </c>
      <c r="D188" s="192" t="str">
        <f ca="1"/>
        <v>Detect</v>
      </c>
      <c r="E188" s="192" t="str">
        <f ca="1"/>
        <v>פרוס פתרון לזיהוי חדירת רשת</v>
      </c>
      <c r="F188" s="192" t="str">
        <f ca="1"/>
        <v/>
      </c>
      <c r="G188" s="192" t="str">
        <f ca="1"/>
        <v>-</v>
      </c>
      <c r="H188" s="192" t="str">
        <f ca="1"/>
        <v>ארגוני</v>
      </c>
      <c r="I188" s="192" t="str">
        <f ca="1"/>
        <v>-</v>
      </c>
      <c r="J188" s="28"/>
    </row>
    <row r="189" spans="1:10" ht="15" customHeight="1">
      <c r="A189" s="28"/>
      <c r="B189" s="192">
        <f ca="1"/>
        <v>13.4</v>
      </c>
      <c r="C189" s="192" t="str">
        <f ca="1"/>
        <v>Network</v>
      </c>
      <c r="D189" s="192" t="str">
        <f ca="1"/>
        <v>Protect</v>
      </c>
      <c r="E189" s="192" t="str">
        <f ca="1"/>
        <v>בצע סינון תנועה בין סגמנטי רשת</v>
      </c>
      <c r="F189" s="192" t="str">
        <f ca="1"/>
        <v/>
      </c>
      <c r="G189" s="192" t="str">
        <f ca="1"/>
        <v>-</v>
      </c>
      <c r="H189" s="192" t="str">
        <f ca="1"/>
        <v>מערכת</v>
      </c>
      <c r="I189" s="192" t="str">
        <f ca="1"/>
        <v>-</v>
      </c>
      <c r="J189" s="28"/>
    </row>
    <row r="190" spans="1:10" ht="15" customHeight="1">
      <c r="A190" s="28"/>
      <c r="B190" s="192">
        <f ca="1"/>
        <v>13.4</v>
      </c>
      <c r="C190" s="192" t="str">
        <f ca="1"/>
        <v>Network</v>
      </c>
      <c r="D190" s="192" t="str">
        <f ca="1"/>
        <v>Protect</v>
      </c>
      <c r="E190" s="192" t="str">
        <f ca="1"/>
        <v>בצע סינון תנועה בין סגמנטי רשת</v>
      </c>
      <c r="F190" s="192" t="str">
        <f ca="1"/>
        <v/>
      </c>
      <c r="G190" s="192" t="str">
        <f ca="1"/>
        <v>-</v>
      </c>
      <c r="H190" s="192" t="str">
        <f ca="1"/>
        <v>מערכת</v>
      </c>
      <c r="I190" s="192" t="str">
        <f ca="1"/>
        <v>-</v>
      </c>
      <c r="J190" s="28"/>
    </row>
    <row r="191" spans="1:10" ht="15" customHeight="1">
      <c r="A191" s="28"/>
      <c r="B191" s="192">
        <f ca="1"/>
        <v>13.4</v>
      </c>
      <c r="C191" s="192" t="str">
        <f ca="1"/>
        <v>Network</v>
      </c>
      <c r="D191" s="192" t="str">
        <f ca="1"/>
        <v>Protect</v>
      </c>
      <c r="E191" s="192" t="str">
        <f ca="1"/>
        <v>בצע סינון תנועה בין סגמנטי רשת</v>
      </c>
      <c r="F191" s="192" t="str">
        <f ca="1"/>
        <v/>
      </c>
      <c r="G191" s="192" t="str">
        <f ca="1"/>
        <v>-</v>
      </c>
      <c r="H191" s="192" t="str">
        <f ca="1"/>
        <v>מערכת</v>
      </c>
      <c r="I191" s="192" t="str">
        <f ca="1"/>
        <v>-</v>
      </c>
      <c r="J191" s="28"/>
    </row>
    <row r="192" spans="1:10" ht="15" customHeight="1">
      <c r="A192" s="28"/>
      <c r="B192" s="192">
        <f ca="1"/>
        <v>13.5</v>
      </c>
      <c r="C192" s="192" t="str">
        <f ca="1"/>
        <v>Devices</v>
      </c>
      <c r="D192" s="192" t="str">
        <f ca="1"/>
        <v>Protect</v>
      </c>
      <c r="E192" s="192" t="str">
        <f ca="1"/>
        <v>ניהול בקרת גישה לנכסים מרוחקים</v>
      </c>
      <c r="F192" s="192" t="str">
        <f ca="1"/>
        <v/>
      </c>
      <c r="G192" s="192" t="str">
        <f ca="1"/>
        <v>-</v>
      </c>
      <c r="H192" s="192" t="str">
        <f ca="1"/>
        <v>ארגוני</v>
      </c>
      <c r="I192" s="192" t="str">
        <f ca="1"/>
        <v>-</v>
      </c>
      <c r="J192" s="28"/>
    </row>
    <row r="193" spans="1:10" ht="15" customHeight="1">
      <c r="A193" s="28"/>
      <c r="B193" s="192">
        <f ca="1"/>
        <v>13.6</v>
      </c>
      <c r="C193" s="192" t="str">
        <f ca="1"/>
        <v>Network</v>
      </c>
      <c r="D193" s="192" t="str">
        <f ca="1"/>
        <v>Detect</v>
      </c>
      <c r="E193" s="192" t="str">
        <f ca="1"/>
        <v>אסוף יומני זרימת תנועה ברשת</v>
      </c>
      <c r="F193" s="192" t="str">
        <f ca="1"/>
        <v>v</v>
      </c>
      <c r="G193" s="192" t="str">
        <f ca="1"/>
        <v>3.8</v>
      </c>
      <c r="H193" s="192" t="str">
        <f ca="1"/>
        <v>מערכת</v>
      </c>
      <c r="I193" s="192" t="str">
        <f ca="1"/>
        <v>-</v>
      </c>
      <c r="J193" s="28"/>
    </row>
    <row r="194" spans="1:10" ht="15" customHeight="1">
      <c r="A194" s="28"/>
      <c r="B194" s="192">
        <f ca="1"/>
        <v>13.7</v>
      </c>
      <c r="C194" s="192" t="str">
        <f ca="1"/>
        <v>Devices</v>
      </c>
      <c r="D194" s="192" t="str">
        <f ca="1"/>
        <v>Protect</v>
      </c>
      <c r="E194" s="192" t="str">
        <f ca="1"/>
        <v>פרוס פתרון למניעת חדירות מבוסס מארח</v>
      </c>
      <c r="F194" s="192" t="str">
        <f ca="1"/>
        <v/>
      </c>
      <c r="G194" s="192" t="str">
        <f ca="1"/>
        <v>-</v>
      </c>
      <c r="H194" s="192" t="str">
        <f ca="1"/>
        <v>ארגוני</v>
      </c>
      <c r="I194" s="192" t="str">
        <f ca="1"/>
        <v>-</v>
      </c>
      <c r="J194" s="28"/>
    </row>
    <row r="195" spans="1:10" ht="15" customHeight="1">
      <c r="A195" s="28"/>
      <c r="B195" s="192">
        <f ca="1"/>
        <v>13.8</v>
      </c>
      <c r="C195" s="192" t="str">
        <f ca="1"/>
        <v>Network</v>
      </c>
      <c r="D195" s="192" t="str">
        <f ca="1"/>
        <v>Protect</v>
      </c>
      <c r="E195" s="192" t="str">
        <f ca="1"/>
        <v>פרוס פתרון למניעת חדירת רשת</v>
      </c>
      <c r="F195" s="192" t="str">
        <f ca="1"/>
        <v/>
      </c>
      <c r="G195" s="192" t="str">
        <f ca="1"/>
        <v>-</v>
      </c>
      <c r="H195" s="192" t="str">
        <f ca="1"/>
        <v>ארגוני</v>
      </c>
      <c r="I195" s="192" t="str">
        <f ca="1"/>
        <v>-</v>
      </c>
      <c r="J195" s="28"/>
    </row>
    <row r="196" spans="1:10" ht="15" customHeight="1">
      <c r="A196" s="28"/>
      <c r="B196" s="192">
        <f ca="1"/>
        <v>13.9</v>
      </c>
      <c r="C196" s="192" t="str">
        <f ca="1"/>
        <v>Devices</v>
      </c>
      <c r="D196" s="192" t="str">
        <f ca="1"/>
        <v>Protect</v>
      </c>
      <c r="E196" s="192" t="str">
        <f ca="1"/>
        <v>פרוס בקרת גישה ברמת יציאה</v>
      </c>
      <c r="F196" s="192" t="str">
        <f ca="1"/>
        <v/>
      </c>
      <c r="G196" s="192" t="str">
        <f ca="1"/>
        <v>-</v>
      </c>
      <c r="H196" s="192" t="str">
        <f ca="1"/>
        <v>ארגוני</v>
      </c>
      <c r="I196" s="192" t="str">
        <f ca="1"/>
        <v>-</v>
      </c>
      <c r="J196" s="28"/>
    </row>
    <row r="197" spans="1:10" ht="15" customHeight="1">
      <c r="A197" s="28"/>
      <c r="B197" s="192">
        <f ca="1"/>
        <v>13.1</v>
      </c>
      <c r="C197" s="192" t="str">
        <f ca="1"/>
        <v>Network</v>
      </c>
      <c r="D197" s="192" t="str">
        <f ca="1"/>
        <v>Protect</v>
      </c>
      <c r="E197" s="192" t="str">
        <f ca="1"/>
        <v>בצע סינון שכבת יישומים</v>
      </c>
      <c r="F197" s="192" t="str">
        <f ca="1"/>
        <v/>
      </c>
      <c r="G197" s="192" t="str">
        <f ca="1"/>
        <v>-</v>
      </c>
      <c r="H197" s="192" t="str">
        <f ca="1"/>
        <v>ארגוני</v>
      </c>
      <c r="I197" s="192" t="str">
        <f ca="1"/>
        <v>-</v>
      </c>
      <c r="J197" s="28"/>
    </row>
    <row r="198" spans="1:10" ht="15" customHeight="1">
      <c r="A198" s="28"/>
      <c r="B198" s="192">
        <f ca="1"/>
        <v>13.11</v>
      </c>
      <c r="C198" s="192" t="str">
        <f ca="1"/>
        <v>Network</v>
      </c>
      <c r="D198" s="192" t="str">
        <f ca="1"/>
        <v>Detect</v>
      </c>
      <c r="E198" s="192" t="str">
        <f ca="1"/>
        <v>כוונן את ספי ההתראה על אירועי אבטחה</v>
      </c>
      <c r="F198" s="192" t="str">
        <f ca="1"/>
        <v/>
      </c>
      <c r="G198" s="192" t="str">
        <f ca="1"/>
        <v>-</v>
      </c>
      <c r="H198" s="192" t="str">
        <f ca="1"/>
        <v>ארגוני</v>
      </c>
      <c r="I198" s="192" t="str">
        <f ca="1"/>
        <v>-</v>
      </c>
      <c r="J198" s="28"/>
    </row>
    <row r="199" spans="1:10" ht="15" customHeight="1">
      <c r="A199" s="28"/>
      <c r="B199" s="192" t="str">
        <f ca="1"/>
        <v>-</v>
      </c>
      <c r="C199" s="192" t="str">
        <f ca="1"/>
        <v>-</v>
      </c>
      <c r="D199" s="192" t="str">
        <f ca="1"/>
        <v>-</v>
      </c>
      <c r="E199" s="192" t="str">
        <f ca="1"/>
        <v>הכשרת מודעות ומיומנויות אבטחה</v>
      </c>
      <c r="F199" s="192" t="str">
        <f ca="1"/>
        <v>-</v>
      </c>
      <c r="G199" s="192" t="str">
        <f ca="1"/>
        <v>-</v>
      </c>
      <c r="H199" s="192" t="str">
        <f ca="1"/>
        <v>-</v>
      </c>
      <c r="I199" s="192" t="str">
        <f ca="1"/>
        <v>-</v>
      </c>
      <c r="J199" s="28"/>
    </row>
    <row r="200" spans="1:10" ht="15" customHeight="1">
      <c r="A200" s="28"/>
      <c r="B200" s="192">
        <f ca="1"/>
        <v>14.1</v>
      </c>
      <c r="C200" s="192" t="str">
        <f ca="1"/>
        <v>N/A</v>
      </c>
      <c r="D200" s="192" t="str">
        <f ca="1"/>
        <v>Protect</v>
      </c>
      <c r="E200" s="192" t="str">
        <f ca="1"/>
        <v>הקמה ותחזוקה של תוכנית מודעות לאבטחה</v>
      </c>
      <c r="F200" s="192" t="str">
        <f ca="1"/>
        <v/>
      </c>
      <c r="G200" s="192" t="str">
        <f ca="1"/>
        <v>-</v>
      </c>
      <c r="H200" s="192" t="str">
        <f ca="1"/>
        <v>ארגוני</v>
      </c>
      <c r="I200" s="192" t="str">
        <f ca="1"/>
        <v>-</v>
      </c>
      <c r="J200" s="28"/>
    </row>
    <row r="201" spans="1:10" ht="15" customHeight="1">
      <c r="A201" s="28"/>
      <c r="B201" s="192">
        <f ca="1"/>
        <v>14.2</v>
      </c>
      <c r="C201" s="192" t="str">
        <f ca="1"/>
        <v>N/A</v>
      </c>
      <c r="D201" s="192" t="str">
        <f ca="1"/>
        <v>Protect</v>
      </c>
      <c r="E201" s="192" t="str">
        <f ca="1"/>
        <v>הכשר את חברי כוח העבודה לזהות התקפות הנדסה חברתית</v>
      </c>
      <c r="F201" s="192" t="str">
        <f ca="1"/>
        <v/>
      </c>
      <c r="G201" s="192" t="str">
        <f ca="1"/>
        <v>-</v>
      </c>
      <c r="H201" s="192" t="str">
        <f ca="1"/>
        <v>ארגוני</v>
      </c>
      <c r="I201" s="192" t="str">
        <f ca="1"/>
        <v>-</v>
      </c>
      <c r="J201" s="28"/>
    </row>
    <row r="202" spans="1:10" ht="15" customHeight="1">
      <c r="A202" s="28"/>
      <c r="B202" s="192">
        <f ca="1"/>
        <v>14.3</v>
      </c>
      <c r="C202" s="192" t="str">
        <f ca="1"/>
        <v>N/A</v>
      </c>
      <c r="D202" s="192" t="str">
        <f ca="1"/>
        <v>Protect</v>
      </c>
      <c r="E202" s="192" t="str">
        <f ca="1"/>
        <v>הדרכת חברי כוח העבודה על שיטות עבודה מומלצות לאימות</v>
      </c>
      <c r="F202" s="192" t="str">
        <f ca="1"/>
        <v/>
      </c>
      <c r="G202" s="192" t="str">
        <f ca="1"/>
        <v>-</v>
      </c>
      <c r="H202" s="192" t="str">
        <f ca="1"/>
        <v>ארגוני</v>
      </c>
      <c r="I202" s="192" t="str">
        <f ca="1"/>
        <v>-</v>
      </c>
      <c r="J202" s="28"/>
    </row>
    <row r="203" spans="1:10" ht="15" customHeight="1">
      <c r="A203" s="28"/>
      <c r="B203" s="192">
        <f ca="1"/>
        <v>14.4</v>
      </c>
      <c r="C203" s="192" t="str">
        <f ca="1"/>
        <v>N/A</v>
      </c>
      <c r="D203" s="192" t="str">
        <f ca="1"/>
        <v>Protect</v>
      </c>
      <c r="E203" s="192" t="str">
        <f ca="1"/>
        <v>הדרכת כוח העבודה על שיטות עבודה מומלצות לטיפול בנתונים</v>
      </c>
      <c r="F203" s="192" t="str">
        <f ca="1"/>
        <v/>
      </c>
      <c r="G203" s="192" t="str">
        <f ca="1"/>
        <v>-</v>
      </c>
      <c r="H203" s="192" t="str">
        <f ca="1"/>
        <v>ארגוני</v>
      </c>
      <c r="I203" s="192" t="str">
        <f ca="1"/>
        <v>-</v>
      </c>
      <c r="J203" s="28"/>
    </row>
    <row r="204" spans="1:10" ht="15" customHeight="1">
      <c r="A204" s="28"/>
      <c r="B204" s="192">
        <f ca="1"/>
        <v>14.5</v>
      </c>
      <c r="C204" s="192" t="str">
        <f ca="1"/>
        <v>N/A</v>
      </c>
      <c r="D204" s="192" t="str">
        <f ca="1"/>
        <v>Protect</v>
      </c>
      <c r="E204" s="192" t="str">
        <f ca="1"/>
        <v>הדרכת חברי כוח העבודה על גורמים לחשיפה לא מכוונת של נתונים</v>
      </c>
      <c r="F204" s="192" t="str">
        <f ca="1"/>
        <v/>
      </c>
      <c r="G204" s="192" t="str">
        <f ca="1"/>
        <v>-</v>
      </c>
      <c r="H204" s="192" t="str">
        <f ca="1"/>
        <v>ארגוני</v>
      </c>
      <c r="I204" s="192" t="str">
        <f ca="1"/>
        <v>-</v>
      </c>
      <c r="J204" s="28"/>
    </row>
    <row r="205" spans="1:10" ht="15" customHeight="1">
      <c r="A205" s="28"/>
      <c r="B205" s="192">
        <f ca="1"/>
        <v>14.6</v>
      </c>
      <c r="C205" s="192" t="str">
        <f ca="1"/>
        <v>N/A</v>
      </c>
      <c r="D205" s="192" t="str">
        <f ca="1"/>
        <v>Protect</v>
      </c>
      <c r="E205" s="192" t="str">
        <f ca="1"/>
        <v>הדרכת חברי כוח העבודה בזיהוי ודיווח על אירועי אבטחה</v>
      </c>
      <c r="F205" s="192" t="str">
        <f ca="1"/>
        <v/>
      </c>
      <c r="G205" s="192" t="str">
        <f ca="1"/>
        <v>-</v>
      </c>
      <c r="H205" s="192" t="str">
        <f ca="1"/>
        <v>ארגוני</v>
      </c>
      <c r="I205" s="192" t="str">
        <f ca="1"/>
        <v>-</v>
      </c>
      <c r="J205" s="28"/>
    </row>
    <row r="206" spans="1:10" ht="15" customHeight="1">
      <c r="A206" s="28"/>
      <c r="B206" s="192">
        <f ca="1"/>
        <v>14.7</v>
      </c>
      <c r="C206" s="192" t="str">
        <f ca="1"/>
        <v>N/A</v>
      </c>
      <c r="D206" s="192" t="str">
        <f ca="1"/>
        <v>Protect</v>
      </c>
      <c r="E206" s="192" t="str">
        <f ca="1"/>
        <v>הדרכת כוח העבודה כיצד לזהות ולדווח אם חסרים עדכוני אבטחה בנכסים הארגוניים שלהם</v>
      </c>
      <c r="F206" s="192" t="str">
        <f ca="1"/>
        <v/>
      </c>
      <c r="G206" s="192" t="str">
        <f ca="1"/>
        <v>-</v>
      </c>
      <c r="H206" s="192" t="str">
        <f ca="1"/>
        <v>ארגוני</v>
      </c>
      <c r="I206" s="192" t="str">
        <f ca="1"/>
        <v>-</v>
      </c>
      <c r="J206" s="28"/>
    </row>
    <row r="207" spans="1:10" ht="15" customHeight="1">
      <c r="A207" s="28"/>
      <c r="B207" s="192">
        <f ca="1"/>
        <v>14.8</v>
      </c>
      <c r="C207" s="192" t="str">
        <f ca="1"/>
        <v>N/A</v>
      </c>
      <c r="D207" s="192" t="str">
        <f ca="1"/>
        <v>Protect</v>
      </c>
      <c r="E207" s="192" t="str">
        <f ca="1"/>
        <v>הדרכת כוח העבודה על הסכנות של התחברות והעברת נתונים ארגוניים ברשתות לא מאובטחות</v>
      </c>
      <c r="F207" s="192" t="str">
        <f ca="1"/>
        <v/>
      </c>
      <c r="G207" s="192" t="str">
        <f ca="1"/>
        <v>-</v>
      </c>
      <c r="H207" s="192" t="str">
        <f ca="1"/>
        <v>ארגוני</v>
      </c>
      <c r="I207" s="192" t="str">
        <f ca="1"/>
        <v>-</v>
      </c>
      <c r="J207" s="28"/>
    </row>
    <row r="208" spans="1:10" ht="15" customHeight="1">
      <c r="A208" s="28"/>
      <c r="B208" s="192">
        <f ca="1"/>
        <v>14.9</v>
      </c>
      <c r="C208" s="192" t="str">
        <f ca="1"/>
        <v>N/A</v>
      </c>
      <c r="D208" s="192" t="str">
        <f ca="1"/>
        <v>Protect</v>
      </c>
      <c r="E208" s="192" t="str">
        <f ca="1"/>
        <v>ערכו הכשרת מודעות ואבטחה ספציפית לתפקידים</v>
      </c>
      <c r="F208" s="192" t="str">
        <f ca="1"/>
        <v/>
      </c>
      <c r="G208" s="192" t="str">
        <f ca="1"/>
        <v>-</v>
      </c>
      <c r="H208" s="192" t="str">
        <f ca="1"/>
        <v>ארגוני</v>
      </c>
      <c r="I208" s="192" t="str">
        <f ca="1"/>
        <v>-</v>
      </c>
      <c r="J208" s="28"/>
    </row>
    <row r="209" spans="1:10" ht="15" customHeight="1">
      <c r="A209" s="28"/>
      <c r="B209" s="192" t="str">
        <f ca="1"/>
        <v>-</v>
      </c>
      <c r="C209" s="192" t="str">
        <f ca="1"/>
        <v>-</v>
      </c>
      <c r="D209" s="192" t="str">
        <f ca="1"/>
        <v>-</v>
      </c>
      <c r="E209" s="192" t="str">
        <f ca="1"/>
        <v>ניהול ספקי שירותים</v>
      </c>
      <c r="F209" s="192" t="str">
        <f ca="1"/>
        <v>-</v>
      </c>
      <c r="G209" s="192" t="str">
        <f ca="1"/>
        <v>-</v>
      </c>
      <c r="H209" s="192" t="str">
        <f ca="1"/>
        <v>-</v>
      </c>
      <c r="I209" s="192" t="str">
        <f ca="1"/>
        <v>-</v>
      </c>
      <c r="J209" s="28"/>
    </row>
    <row r="210" spans="1:10" ht="15" customHeight="1">
      <c r="A210" s="28"/>
      <c r="B210" s="192">
        <f ca="1"/>
        <v>15.1</v>
      </c>
      <c r="C210" s="192" t="str">
        <f ca="1"/>
        <v>N/A</v>
      </c>
      <c r="D210" s="192" t="str">
        <f ca="1"/>
        <v>Identify</v>
      </c>
      <c r="E210" s="192" t="str">
        <f ca="1"/>
        <v>הקמה ותחזוקה של מיפוי של נותני שירותים</v>
      </c>
      <c r="F210" s="192" t="str">
        <f ca="1"/>
        <v/>
      </c>
      <c r="G210" s="192" t="str">
        <f ca="1"/>
        <v>-</v>
      </c>
      <c r="H210" s="192" t="str">
        <f ca="1"/>
        <v>ארגוני</v>
      </c>
      <c r="I210" s="192" t="str">
        <f ca="1"/>
        <v>-</v>
      </c>
      <c r="J210" s="28"/>
    </row>
    <row r="211" spans="1:10" ht="15" customHeight="1">
      <c r="A211" s="28"/>
      <c r="B211" s="192">
        <f ca="1"/>
        <v>15.2</v>
      </c>
      <c r="C211" s="192" t="str">
        <f ca="1"/>
        <v>N/A</v>
      </c>
      <c r="D211" s="192" t="str">
        <f ca="1"/>
        <v>Identify</v>
      </c>
      <c r="E211" s="192" t="str">
        <f ca="1"/>
        <v>קבע ותחזק מדיניות ניהול ספק שירות</v>
      </c>
      <c r="F211" s="192" t="str">
        <f ca="1"/>
        <v/>
      </c>
      <c r="G211" s="192" t="str">
        <f ca="1"/>
        <v>-</v>
      </c>
      <c r="H211" s="192" t="str">
        <f ca="1"/>
        <v>ארגוני</v>
      </c>
      <c r="I211" s="192" t="str">
        <f ca="1"/>
        <v>-</v>
      </c>
      <c r="J211" s="28"/>
    </row>
    <row r="212" spans="1:10" ht="15" customHeight="1">
      <c r="A212" s="28"/>
      <c r="B212" s="192">
        <f ca="1"/>
        <v>15.3</v>
      </c>
      <c r="C212" s="192" t="str">
        <f ca="1"/>
        <v>N/A</v>
      </c>
      <c r="D212" s="192" t="str">
        <f ca="1"/>
        <v>Identify</v>
      </c>
      <c r="E212" s="192" t="str">
        <f ca="1"/>
        <v>סיווג ספקי שירות</v>
      </c>
      <c r="F212" s="192" t="str">
        <f ca="1"/>
        <v/>
      </c>
      <c r="G212" s="192" t="str">
        <f ca="1"/>
        <v>-</v>
      </c>
      <c r="H212" s="192" t="str">
        <f ca="1"/>
        <v>ארגוני</v>
      </c>
      <c r="I212" s="192" t="str">
        <f ca="1"/>
        <v>-</v>
      </c>
      <c r="J212" s="28"/>
    </row>
    <row r="213" spans="1:10" ht="15" customHeight="1">
      <c r="A213" s="28"/>
      <c r="B213" s="192">
        <f ca="1"/>
        <v>15.4</v>
      </c>
      <c r="C213" s="192" t="str">
        <f ca="1"/>
        <v>N/A</v>
      </c>
      <c r="D213" s="192" t="str">
        <f ca="1"/>
        <v>Protect</v>
      </c>
      <c r="E213" s="192" t="str">
        <f ca="1"/>
        <v>ודא שחוזי ספקי שירות כוללים דרישות אבטחה</v>
      </c>
      <c r="F213" s="192" t="str">
        <f ca="1"/>
        <v/>
      </c>
      <c r="G213" s="192" t="str">
        <f ca="1"/>
        <v>-</v>
      </c>
      <c r="H213" s="192" t="str">
        <f ca="1"/>
        <v>ארגוני</v>
      </c>
      <c r="I213" s="192" t="str">
        <f ca="1"/>
        <v>-</v>
      </c>
      <c r="J213" s="28"/>
    </row>
    <row r="214" spans="1:10" ht="15" customHeight="1">
      <c r="A214" s="28"/>
      <c r="B214" s="192">
        <f ca="1"/>
        <v>15.5</v>
      </c>
      <c r="C214" s="192" t="str">
        <f ca="1"/>
        <v>N/A</v>
      </c>
      <c r="D214" s="192" t="str">
        <f ca="1"/>
        <v>Identify</v>
      </c>
      <c r="E214" s="192" t="str">
        <f ca="1"/>
        <v>הערכת נותני שירות</v>
      </c>
      <c r="F214" s="192" t="str">
        <f ca="1"/>
        <v/>
      </c>
      <c r="G214" s="192" t="str">
        <f ca="1"/>
        <v>-</v>
      </c>
      <c r="H214" s="192" t="str">
        <f ca="1"/>
        <v>ארגוני</v>
      </c>
      <c r="I214" s="192" t="str">
        <f ca="1"/>
        <v>-</v>
      </c>
      <c r="J214" s="28"/>
    </row>
    <row r="215" spans="1:10" ht="15" customHeight="1">
      <c r="A215" s="28"/>
      <c r="B215" s="192">
        <f ca="1"/>
        <v>15.6</v>
      </c>
      <c r="C215" s="192" t="str">
        <f ca="1"/>
        <v>Data</v>
      </c>
      <c r="D215" s="192" t="str">
        <f ca="1"/>
        <v>Detect</v>
      </c>
      <c r="E215" s="192" t="str">
        <f ca="1"/>
        <v>מעקב אחר ספקי שירות</v>
      </c>
      <c r="F215" s="192" t="str">
        <f ca="1"/>
        <v/>
      </c>
      <c r="G215" s="192" t="str">
        <f ca="1"/>
        <v>-</v>
      </c>
      <c r="H215" s="192" t="str">
        <f ca="1"/>
        <v>ארגוני</v>
      </c>
      <c r="I215" s="192" t="str">
        <f ca="1"/>
        <v>-</v>
      </c>
      <c r="J215" s="28"/>
    </row>
    <row r="216" spans="1:10" ht="15" customHeight="1">
      <c r="A216" s="28"/>
      <c r="B216" s="192">
        <f ca="1"/>
        <v>15.7</v>
      </c>
      <c r="C216" s="192" t="str">
        <f ca="1"/>
        <v>Data</v>
      </c>
      <c r="D216" s="192" t="str">
        <f ca="1"/>
        <v>Protect</v>
      </c>
      <c r="E216" s="192" t="str">
        <f ca="1"/>
        <v>ספקי שירות ביטול מאובטח</v>
      </c>
      <c r="F216" s="192" t="str">
        <f ca="1"/>
        <v/>
      </c>
      <c r="G216" s="192" t="str">
        <f ca="1"/>
        <v>-</v>
      </c>
      <c r="H216" s="192" t="str">
        <f ca="1"/>
        <v>ארגוני</v>
      </c>
      <c r="I216" s="192" t="str">
        <f ca="1"/>
        <v>-</v>
      </c>
      <c r="J216" s="28"/>
    </row>
    <row r="217" spans="1:10" ht="15" customHeight="1">
      <c r="A217" s="28"/>
      <c r="B217" s="192" t="str">
        <f ca="1"/>
        <v>-</v>
      </c>
      <c r="C217" s="192" t="str">
        <f ca="1"/>
        <v>-</v>
      </c>
      <c r="D217" s="192" t="str">
        <f ca="1"/>
        <v>-</v>
      </c>
      <c r="E217" s="192" t="str">
        <f ca="1"/>
        <v>אבטחת תוכנת יישומים</v>
      </c>
      <c r="F217" s="192" t="str">
        <f ca="1"/>
        <v>-</v>
      </c>
      <c r="G217" s="192" t="str">
        <f ca="1"/>
        <v>-</v>
      </c>
      <c r="H217" s="192" t="str">
        <f ca="1"/>
        <v>-</v>
      </c>
      <c r="I217" s="192" t="str">
        <f ca="1"/>
        <v>-</v>
      </c>
      <c r="J217" s="28"/>
    </row>
    <row r="218" spans="1:10" ht="15" customHeight="1">
      <c r="A218" s="28"/>
      <c r="B218" s="192">
        <f ca="1"/>
        <v>16.100000000000001</v>
      </c>
      <c r="C218" s="192" t="str">
        <f ca="1"/>
        <v>Applications</v>
      </c>
      <c r="D218" s="192" t="str">
        <f ca="1"/>
        <v>Protect</v>
      </c>
      <c r="E218" s="192" t="str">
        <f ca="1"/>
        <v>הקמה ותחזוקה של תהליך פיתוח אפליקציות מאובטח</v>
      </c>
      <c r="F218" s="192" t="str">
        <f ca="1"/>
        <v/>
      </c>
      <c r="G218" s="192" t="str">
        <f ca="1"/>
        <v>-</v>
      </c>
      <c r="H218" s="192" t="str">
        <f ca="1"/>
        <v>ארגוני</v>
      </c>
      <c r="I218" s="192" t="str">
        <f ca="1"/>
        <v>-</v>
      </c>
      <c r="J218" s="28"/>
    </row>
    <row r="219" spans="1:10" ht="15" customHeight="1">
      <c r="A219" s="28"/>
      <c r="B219" s="192">
        <f ca="1"/>
        <v>16.2</v>
      </c>
      <c r="C219" s="192" t="str">
        <f ca="1"/>
        <v>Applications</v>
      </c>
      <c r="D219" s="192" t="str">
        <f ca="1"/>
        <v>Protect</v>
      </c>
      <c r="E219" s="192" t="str">
        <f ca="1"/>
        <v>הקמה ותחזוקה של תהליך לקבלת וטיפול בפרצות תוכנה</v>
      </c>
      <c r="F219" s="192" t="str">
        <f ca="1"/>
        <v/>
      </c>
      <c r="G219" s="192" t="str">
        <f ca="1"/>
        <v>-</v>
      </c>
      <c r="H219" s="192" t="str">
        <f ca="1"/>
        <v>ארגוני</v>
      </c>
      <c r="I219" s="192" t="str">
        <f ca="1"/>
        <v>-</v>
      </c>
      <c r="J219" s="28"/>
    </row>
    <row r="220" spans="1:10" ht="15" customHeight="1">
      <c r="A220" s="28"/>
      <c r="B220" s="192">
        <f ca="1"/>
        <v>16.3</v>
      </c>
      <c r="C220" s="192" t="str">
        <f ca="1"/>
        <v>Applications</v>
      </c>
      <c r="D220" s="192" t="str">
        <f ca="1"/>
        <v>Protect</v>
      </c>
      <c r="E220" s="192" t="str">
        <f ca="1"/>
        <v>בצע ניתוח סיבת שורש על פרצות אבטחה</v>
      </c>
      <c r="F220" s="192" t="str">
        <f ca="1"/>
        <v/>
      </c>
      <c r="G220" s="192" t="str">
        <f ca="1"/>
        <v>-</v>
      </c>
      <c r="H220" s="192" t="str">
        <f ca="1"/>
        <v>ארגוני</v>
      </c>
      <c r="I220" s="192" t="str">
        <f ca="1"/>
        <v>-</v>
      </c>
      <c r="J220" s="28"/>
    </row>
    <row r="221" spans="1:10" ht="15" customHeight="1">
      <c r="A221" s="28"/>
      <c r="B221" s="192">
        <f ca="1"/>
        <v>16.399999999999999</v>
      </c>
      <c r="C221" s="192" t="str">
        <f ca="1"/>
        <v>Applications</v>
      </c>
      <c r="D221" s="192" t="str">
        <f ca="1"/>
        <v>Protect</v>
      </c>
      <c r="E221" s="192" t="str">
        <f ca="1"/>
        <v>הקמה וניהול מיפוי של רכיבי תוכנה של צד שלישי</v>
      </c>
      <c r="F221" s="192" t="str">
        <f ca="1"/>
        <v/>
      </c>
      <c r="G221" s="192" t="str">
        <f ca="1"/>
        <v>-</v>
      </c>
      <c r="H221" s="192" t="str">
        <f ca="1"/>
        <v>ארגוני</v>
      </c>
      <c r="I221" s="192" t="str">
        <f ca="1"/>
        <v>-</v>
      </c>
      <c r="J221" s="28"/>
    </row>
    <row r="222" spans="1:10" ht="15" customHeight="1">
      <c r="A222" s="28"/>
      <c r="B222" s="192">
        <f ca="1"/>
        <v>16.5</v>
      </c>
      <c r="C222" s="192" t="str">
        <f ca="1"/>
        <v>Applications</v>
      </c>
      <c r="D222" s="192" t="str">
        <f ca="1"/>
        <v>Protect</v>
      </c>
      <c r="E222" s="192" t="str">
        <f ca="1"/>
        <v>השתמש ברכיבי תוכנה מעודכנים ומהימנים של צד שלישי</v>
      </c>
      <c r="F222" s="192" t="str">
        <f ca="1"/>
        <v/>
      </c>
      <c r="G222" s="192" t="str">
        <f ca="1"/>
        <v>-</v>
      </c>
      <c r="H222" s="192" t="str">
        <f ca="1"/>
        <v>ארגוני</v>
      </c>
      <c r="I222" s="192" t="str">
        <f ca="1"/>
        <v>-</v>
      </c>
      <c r="J222" s="28"/>
    </row>
    <row r="223" spans="1:10" ht="15" customHeight="1">
      <c r="A223" s="28"/>
      <c r="B223" s="192">
        <f ca="1"/>
        <v>16.600000000000001</v>
      </c>
      <c r="C223" s="192" t="str">
        <f ca="1"/>
        <v>Applications</v>
      </c>
      <c r="D223" s="192" t="str">
        <f ca="1"/>
        <v>Protect</v>
      </c>
      <c r="E223" s="192" t="str">
        <f ca="1"/>
        <v>הקמה ותחזוקה של מערכת דירוג חומרה ותהליך עבור פרצות יישומים</v>
      </c>
      <c r="F223" s="192" t="str">
        <f ca="1"/>
        <v/>
      </c>
      <c r="G223" s="192" t="str">
        <f ca="1"/>
        <v>-</v>
      </c>
      <c r="H223" s="192" t="str">
        <f ca="1"/>
        <v>ארגוני</v>
      </c>
      <c r="I223" s="192" t="str">
        <f ca="1"/>
        <v>-</v>
      </c>
      <c r="J223" s="28"/>
    </row>
    <row r="224" spans="1:10" ht="15" customHeight="1">
      <c r="A224" s="28"/>
      <c r="B224" s="192">
        <f ca="1"/>
        <v>16.7</v>
      </c>
      <c r="C224" s="192" t="str">
        <f ca="1"/>
        <v>Applications</v>
      </c>
      <c r="D224" s="192" t="str">
        <f ca="1"/>
        <v>Protect</v>
      </c>
      <c r="E224" s="192" t="str">
        <f ca="1"/>
        <v>השתמש בתבניות תצורת התקשות סטנדרטיות עבור תשתית יישומים</v>
      </c>
      <c r="F224" s="192" t="str">
        <f ca="1"/>
        <v>v</v>
      </c>
      <c r="G224" s="192" t="str">
        <f ca="1"/>
        <v>6.1.3</v>
      </c>
      <c r="H224" s="192" t="str">
        <f ca="1"/>
        <v>מערכת</v>
      </c>
      <c r="I224" s="192" t="str">
        <f ca="1"/>
        <v>-</v>
      </c>
      <c r="J224" s="28"/>
    </row>
    <row r="225" spans="1:10" ht="15" customHeight="1">
      <c r="A225" s="28"/>
      <c r="B225" s="192">
        <f ca="1"/>
        <v>16.8</v>
      </c>
      <c r="C225" s="192" t="str">
        <f ca="1"/>
        <v>Applications</v>
      </c>
      <c r="D225" s="192" t="str">
        <f ca="1"/>
        <v>Protect</v>
      </c>
      <c r="E225" s="192" t="str">
        <f ca="1"/>
        <v>מערכות ייצור נפרדות ולא ייצור</v>
      </c>
      <c r="F225" s="192" t="str">
        <f ca="1"/>
        <v/>
      </c>
      <c r="G225" s="192" t="str">
        <f ca="1"/>
        <v>-</v>
      </c>
      <c r="H225" s="192" t="str">
        <f ca="1"/>
        <v>ארגוני</v>
      </c>
      <c r="I225" s="192" t="str">
        <f ca="1"/>
        <v>-</v>
      </c>
      <c r="J225" s="28"/>
    </row>
    <row r="226" spans="1:10" ht="15" customHeight="1">
      <c r="A226" s="28"/>
      <c r="B226" s="192">
        <f ca="1"/>
        <v>16.899999999999999</v>
      </c>
      <c r="C226" s="192" t="str">
        <f ca="1"/>
        <v>Applications</v>
      </c>
      <c r="D226" s="192" t="str">
        <f ca="1"/>
        <v>Protect</v>
      </c>
      <c r="E226" s="192" t="str">
        <f ca="1"/>
        <v>הדרכת מפתחים במושגי אבטחת יישומים וקידוד מאובטח</v>
      </c>
      <c r="F226" s="192" t="str">
        <f ca="1"/>
        <v/>
      </c>
      <c r="G226" s="192" t="str">
        <f ca="1"/>
        <v>-</v>
      </c>
      <c r="H226" s="192" t="str">
        <f ca="1"/>
        <v>ארגוני</v>
      </c>
      <c r="I226" s="192" t="str">
        <f ca="1"/>
        <v>-</v>
      </c>
      <c r="J226" s="28"/>
    </row>
    <row r="227" spans="1:10" ht="15" customHeight="1">
      <c r="A227" s="28"/>
      <c r="B227" s="192">
        <f ca="1"/>
        <v>16.100000000000001</v>
      </c>
      <c r="C227" s="192" t="str">
        <f ca="1"/>
        <v>Applications</v>
      </c>
      <c r="D227" s="192" t="str">
        <f ca="1"/>
        <v>Protect</v>
      </c>
      <c r="E227" s="192" t="str">
        <f ca="1"/>
        <v>יישם עקרונות עיצוב מאובטח בארכיטקטורות יישומים</v>
      </c>
      <c r="F227" s="192" t="str">
        <f ca="1"/>
        <v>v</v>
      </c>
      <c r="G227" s="192" t="str">
        <f ca="1"/>
        <v>1.12</v>
      </c>
      <c r="H227" s="192" t="str">
        <f ca="1"/>
        <v>מערכת</v>
      </c>
      <c r="I227" s="192" t="str">
        <f ca="1"/>
        <v>-</v>
      </c>
      <c r="J227" s="28"/>
    </row>
    <row r="228" spans="1:10" ht="15" customHeight="1">
      <c r="A228" s="28"/>
      <c r="B228" s="192">
        <f ca="1"/>
        <v>16.100000000000001</v>
      </c>
      <c r="C228" s="192" t="str">
        <f ca="1"/>
        <v>Applications</v>
      </c>
      <c r="D228" s="192" t="str">
        <f ca="1"/>
        <v>Protect</v>
      </c>
      <c r="E228" s="192" t="str">
        <f ca="1"/>
        <v>יישם עקרונות עיצוב מאובטח בארכיטקטורות יישומים</v>
      </c>
      <c r="F228" s="192" t="str">
        <f ca="1"/>
        <v>v</v>
      </c>
      <c r="G228" s="192" t="str">
        <f ca="1"/>
        <v>1.13</v>
      </c>
      <c r="H228" s="192" t="str">
        <f ca="1"/>
        <v>מערכת</v>
      </c>
      <c r="I228" s="192" t="str">
        <f ca="1"/>
        <v>-</v>
      </c>
      <c r="J228" s="28"/>
    </row>
    <row r="229" spans="1:10" ht="15" customHeight="1">
      <c r="A229" s="28"/>
      <c r="B229" s="192">
        <f ca="1"/>
        <v>16.100000000000001</v>
      </c>
      <c r="C229" s="192" t="str">
        <f ca="1"/>
        <v>Applications</v>
      </c>
      <c r="D229" s="192" t="str">
        <f ca="1"/>
        <v>Protect</v>
      </c>
      <c r="E229" s="192" t="str">
        <f ca="1"/>
        <v>יישם עקרונות עיצוב מאובטח בארכיטקטורות יישומים</v>
      </c>
      <c r="F229" s="192" t="str">
        <f ca="1"/>
        <v>v</v>
      </c>
      <c r="G229" s="192" t="str">
        <f ca="1"/>
        <v>1.14</v>
      </c>
      <c r="H229" s="192" t="str">
        <f ca="1"/>
        <v>מערכת</v>
      </c>
      <c r="I229" s="192" t="str">
        <f ca="1"/>
        <v>-</v>
      </c>
      <c r="J229" s="28"/>
    </row>
    <row r="230" spans="1:10" ht="15" customHeight="1">
      <c r="A230" s="28"/>
      <c r="B230" s="192">
        <f ca="1"/>
        <v>16.100000000000001</v>
      </c>
      <c r="C230" s="192" t="str">
        <f ca="1"/>
        <v>Applications</v>
      </c>
      <c r="D230" s="192" t="str">
        <f ca="1"/>
        <v>Protect</v>
      </c>
      <c r="E230" s="192" t="str">
        <f ca="1"/>
        <v>יישם עקרונות עיצוב מאובטח בארכיטקטורות יישומים</v>
      </c>
      <c r="F230" s="192" t="str">
        <f ca="1"/>
        <v>v</v>
      </c>
      <c r="G230" s="192" t="str">
        <f ca="1"/>
        <v>1.15</v>
      </c>
      <c r="H230" s="192" t="str">
        <f ca="1"/>
        <v>מערכת</v>
      </c>
      <c r="I230" s="192" t="str">
        <f ca="1"/>
        <v>-</v>
      </c>
      <c r="J230" s="28"/>
    </row>
    <row r="231" spans="1:10" ht="15" customHeight="1">
      <c r="A231" s="28"/>
      <c r="B231" s="261">
        <f ca="1"/>
        <v>16.11</v>
      </c>
      <c r="C231" s="261" t="str">
        <f ca="1"/>
        <v>Applications</v>
      </c>
      <c r="D231" s="261" t="str">
        <f ca="1"/>
        <v>Protect</v>
      </c>
      <c r="E231" s="261" t="str">
        <f ca="1"/>
        <v>נצל מודולים או שירותים בדוקים עבור רכיבי אבטחת יישומים</v>
      </c>
      <c r="F231" s="261" t="str">
        <f ca="1"/>
        <v>v</v>
      </c>
      <c r="G231" s="261" t="str">
        <f ca="1"/>
        <v>4.10</v>
      </c>
      <c r="H231" s="261" t="str">
        <f ca="1"/>
        <v>מערכת</v>
      </c>
      <c r="I231" s="261" t="str">
        <f ca="1"/>
        <v>-</v>
      </c>
      <c r="J231" s="28"/>
    </row>
    <row r="232" spans="1:10" ht="15" customHeight="1">
      <c r="A232" s="28"/>
      <c r="B232" s="261" t="str">
        <f ca="1"/>
        <v>-</v>
      </c>
      <c r="C232" s="261" t="str">
        <f ca="1"/>
        <v>-</v>
      </c>
      <c r="D232" s="261" t="str">
        <f ca="1"/>
        <v>-</v>
      </c>
      <c r="E232" s="261" t="str">
        <f ca="1"/>
        <v>ניהול תגובה לאירועים</v>
      </c>
      <c r="F232" s="261" t="str">
        <f ca="1"/>
        <v>-</v>
      </c>
      <c r="G232" s="261" t="str">
        <f ca="1"/>
        <v>-</v>
      </c>
      <c r="H232" s="261" t="str">
        <f ca="1"/>
        <v>-</v>
      </c>
      <c r="I232" s="261" t="str">
        <f ca="1"/>
        <v>-</v>
      </c>
      <c r="J232" s="28"/>
    </row>
    <row r="233" spans="1:10" ht="15" customHeight="1">
      <c r="A233" s="28"/>
      <c r="B233" s="192">
        <f ca="1"/>
        <v>17.100000000000001</v>
      </c>
      <c r="C233" s="192" t="str">
        <f ca="1"/>
        <v>N/A</v>
      </c>
      <c r="D233" s="192" t="str">
        <f ca="1"/>
        <v>Respond</v>
      </c>
      <c r="E233" s="192" t="str">
        <f ca="1"/>
        <v>ייעוד כוח אדם לניהול טיפול בתקריות</v>
      </c>
      <c r="F233" s="192" t="str">
        <f ca="1"/>
        <v/>
      </c>
      <c r="G233" s="192" t="str">
        <f ca="1"/>
        <v>-</v>
      </c>
      <c r="H233" s="192" t="str">
        <f ca="1"/>
        <v>ארגוני</v>
      </c>
      <c r="I233" s="192" t="str">
        <f ca="1"/>
        <v>-</v>
      </c>
      <c r="J233" s="28"/>
    </row>
    <row r="234" spans="1:10" ht="15" customHeight="1">
      <c r="A234" s="28"/>
      <c r="B234" s="192">
        <f ca="1"/>
        <v>17.2</v>
      </c>
      <c r="C234" s="192" t="str">
        <f ca="1"/>
        <v>N/A</v>
      </c>
      <c r="D234" s="192" t="str">
        <f ca="1"/>
        <v>Respond</v>
      </c>
      <c r="E234" s="192" t="str">
        <f ca="1"/>
        <v>צור ותחזק מידע ליצירת קשר לדיווח על אירועי אבטחה</v>
      </c>
      <c r="F234" s="192" t="str">
        <f ca="1"/>
        <v>v</v>
      </c>
      <c r="G234" s="192" t="str">
        <f ca="1"/>
        <v>1.16</v>
      </c>
      <c r="H234" s="192" t="str">
        <f ca="1"/>
        <v>ארגוני</v>
      </c>
      <c r="I234" s="192" t="str">
        <f ca="1"/>
        <v>v</v>
      </c>
      <c r="J234" s="28"/>
    </row>
    <row r="235" spans="1:10" ht="15" customHeight="1">
      <c r="A235" s="28"/>
      <c r="B235" s="192">
        <f ca="1"/>
        <v>17.3</v>
      </c>
      <c r="C235" s="192" t="str">
        <f ca="1"/>
        <v>N/A</v>
      </c>
      <c r="D235" s="192" t="str">
        <f ca="1"/>
        <v>Respond</v>
      </c>
      <c r="E235" s="192" t="str">
        <f ca="1"/>
        <v>הקמה ותחזוקה של תהליך ארגוני לדיווח על תקריות</v>
      </c>
      <c r="F235" s="192" t="str">
        <f ca="1"/>
        <v/>
      </c>
      <c r="G235" s="192" t="str">
        <f ca="1"/>
        <v>-</v>
      </c>
      <c r="H235" s="192" t="str">
        <f ca="1"/>
        <v>ארגוני</v>
      </c>
      <c r="I235" s="192" t="str">
        <f ca="1"/>
        <v>-</v>
      </c>
      <c r="J235" s="28"/>
    </row>
    <row r="236" spans="1:10" ht="15" customHeight="1">
      <c r="A236" s="28"/>
      <c r="B236" s="192">
        <f ca="1"/>
        <v>17.399999999999999</v>
      </c>
      <c r="C236" s="192" t="str">
        <f ca="1"/>
        <v>N/A</v>
      </c>
      <c r="D236" s="192" t="str">
        <f ca="1"/>
        <v>Respond</v>
      </c>
      <c r="E236" s="192" t="str">
        <f ca="1"/>
        <v>הקמה ותחזוקה של תהליך תגובה לאירועים</v>
      </c>
      <c r="F236" s="192" t="str">
        <f ca="1"/>
        <v/>
      </c>
      <c r="G236" s="192" t="str">
        <f ca="1"/>
        <v>-</v>
      </c>
      <c r="H236" s="192" t="str">
        <f ca="1"/>
        <v>ארגוני</v>
      </c>
      <c r="I236" s="192" t="str">
        <f ca="1"/>
        <v>-</v>
      </c>
      <c r="J236" s="28"/>
    </row>
    <row r="237" spans="1:10" ht="15" customHeight="1">
      <c r="A237" s="28"/>
      <c r="B237" s="192">
        <f ca="1"/>
        <v>17.5</v>
      </c>
      <c r="C237" s="192" t="str">
        <f ca="1"/>
        <v>N/A</v>
      </c>
      <c r="D237" s="192" t="str">
        <f ca="1"/>
        <v>Respond</v>
      </c>
      <c r="E237" s="192" t="str">
        <f ca="1"/>
        <v>הקצאת תפקידי מפתח ואחריות</v>
      </c>
      <c r="F237" s="192" t="str">
        <f ca="1"/>
        <v/>
      </c>
      <c r="G237" s="192" t="str">
        <f ca="1"/>
        <v>-</v>
      </c>
      <c r="H237" s="192" t="str">
        <f ca="1"/>
        <v>ארגוני</v>
      </c>
      <c r="I237" s="192" t="str">
        <f ca="1"/>
        <v>-</v>
      </c>
      <c r="J237" s="28"/>
    </row>
    <row r="238" spans="1:10" ht="15" customHeight="1">
      <c r="A238" s="28"/>
      <c r="B238" s="192">
        <f ca="1"/>
        <v>17.600000000000001</v>
      </c>
      <c r="C238" s="192" t="str">
        <f ca="1"/>
        <v>N/A</v>
      </c>
      <c r="D238" s="192" t="str">
        <f ca="1"/>
        <v>Respond</v>
      </c>
      <c r="E238" s="192" t="str">
        <f ca="1"/>
        <v>הגדר מנגנונים לתקשורת במהלך תגובה לאירועים</v>
      </c>
      <c r="F238" s="192" t="str">
        <f ca="1"/>
        <v/>
      </c>
      <c r="G238" s="192" t="str">
        <f ca="1"/>
        <v>-</v>
      </c>
      <c r="H238" s="192" t="str">
        <f ca="1"/>
        <v>מערכת</v>
      </c>
      <c r="I238" s="192" t="str">
        <f ca="1"/>
        <v>-</v>
      </c>
      <c r="J238" s="28"/>
    </row>
    <row r="239" spans="1:10" ht="15" customHeight="1">
      <c r="A239" s="28"/>
      <c r="B239" s="192">
        <f ca="1"/>
        <v>17.7</v>
      </c>
      <c r="C239" s="192" t="str">
        <f ca="1"/>
        <v>N/A</v>
      </c>
      <c r="D239" s="192" t="str">
        <f ca="1"/>
        <v>Recover</v>
      </c>
      <c r="E239" s="192" t="str">
        <f ca="1"/>
        <v>בצע תרגילי תגובה שגרתיים לאירועים</v>
      </c>
      <c r="F239" s="192" t="str">
        <f ca="1"/>
        <v/>
      </c>
      <c r="G239" s="192" t="str">
        <f ca="1"/>
        <v>-</v>
      </c>
      <c r="H239" s="192" t="str">
        <f ca="1"/>
        <v>ארגוני</v>
      </c>
      <c r="I239" s="192" t="str">
        <f ca="1"/>
        <v>-</v>
      </c>
      <c r="J239" s="28"/>
    </row>
    <row r="240" spans="1:10" ht="15" customHeight="1">
      <c r="A240" s="28"/>
      <c r="B240" s="192">
        <f ca="1"/>
        <v>17.8</v>
      </c>
      <c r="C240" s="192" t="str">
        <f ca="1"/>
        <v>N/A</v>
      </c>
      <c r="D240" s="192" t="str">
        <f ca="1"/>
        <v>Recover</v>
      </c>
      <c r="E240" s="192" t="str">
        <f ca="1"/>
        <v>ערוך ביקורות לאחר התקרית</v>
      </c>
      <c r="F240" s="192" t="str">
        <f ca="1"/>
        <v/>
      </c>
      <c r="G240" s="192" t="str">
        <f ca="1"/>
        <v>-</v>
      </c>
      <c r="H240" s="192" t="str">
        <f ca="1"/>
        <v>ארגוני</v>
      </c>
      <c r="I240" s="192" t="str">
        <f ca="1"/>
        <v>-</v>
      </c>
      <c r="J240" s="28"/>
    </row>
    <row r="241" spans="1:10" ht="15" customHeight="1">
      <c r="A241" s="28"/>
      <c r="B241" s="192">
        <f ca="1"/>
        <v>17.899999999999999</v>
      </c>
      <c r="C241" s="192" t="str">
        <f ca="1"/>
        <v>N/A</v>
      </c>
      <c r="D241" s="192" t="str">
        <f ca="1"/>
        <v>Recover</v>
      </c>
      <c r="E241" s="192" t="str">
        <f ca="1"/>
        <v>קבע ותחזוק ספי אירועי אבטחה</v>
      </c>
      <c r="F241" s="192" t="str">
        <f ca="1"/>
        <v/>
      </c>
      <c r="G241" s="192" t="str">
        <f ca="1"/>
        <v>-</v>
      </c>
      <c r="H241" s="192" t="str">
        <f ca="1"/>
        <v>ארגוני</v>
      </c>
      <c r="I241" s="192" t="str">
        <f ca="1"/>
        <v>-</v>
      </c>
      <c r="J241" s="28"/>
    </row>
    <row r="242" spans="1:10" ht="15" customHeight="1">
      <c r="A242" s="28"/>
      <c r="B242" s="192" t="str">
        <f ca="1"/>
        <v>-</v>
      </c>
      <c r="C242" s="192" t="str">
        <f ca="1"/>
        <v>-</v>
      </c>
      <c r="D242" s="192" t="str">
        <f ca="1"/>
        <v>-</v>
      </c>
      <c r="E242" s="192" t="str">
        <f ca="1"/>
        <v>בדיקת חדירה</v>
      </c>
      <c r="F242" s="192" t="str">
        <f ca="1"/>
        <v>-</v>
      </c>
      <c r="G242" s="192" t="str">
        <f ca="1"/>
        <v>-</v>
      </c>
      <c r="H242" s="192" t="str">
        <f ca="1"/>
        <v>-</v>
      </c>
      <c r="I242" s="192" t="str">
        <f ca="1"/>
        <v>-</v>
      </c>
      <c r="J242" s="28"/>
    </row>
    <row r="243" spans="1:10" ht="15" customHeight="1">
      <c r="A243" s="28"/>
      <c r="B243" s="192">
        <f ca="1"/>
        <v>18.100000000000001</v>
      </c>
      <c r="C243" s="192" t="str">
        <f ca="1"/>
        <v>N/A</v>
      </c>
      <c r="D243" s="192" t="str">
        <f ca="1"/>
        <v>Identify</v>
      </c>
      <c r="E243" s="192" t="str">
        <f ca="1"/>
        <v>הקמה ותחזוקה של תוכנית בדיקות חדירה</v>
      </c>
      <c r="F243" s="192" t="str">
        <f ca="1"/>
        <v/>
      </c>
      <c r="G243" s="192" t="str">
        <f ca="1"/>
        <v>-</v>
      </c>
      <c r="H243" s="192" t="str">
        <f ca="1"/>
        <v>ארגוני</v>
      </c>
      <c r="I243" s="192" t="str">
        <f ca="1"/>
        <v>-</v>
      </c>
      <c r="J243" s="28"/>
    </row>
    <row r="244" spans="1:10" ht="15" customHeight="1">
      <c r="A244" s="28"/>
      <c r="B244" s="192">
        <f ca="1"/>
        <v>18.2</v>
      </c>
      <c r="C244" s="192" t="str">
        <f ca="1"/>
        <v>Network</v>
      </c>
      <c r="D244" s="192" t="str">
        <f ca="1"/>
        <v>Identify</v>
      </c>
      <c r="E244" s="192" t="str">
        <f ca="1"/>
        <v>ביצוע בדיקות חדירות חיצוניות תקופתיות</v>
      </c>
      <c r="F244" s="192" t="str">
        <f ca="1"/>
        <v/>
      </c>
      <c r="G244" s="192" t="str">
        <f ca="1"/>
        <v>-</v>
      </c>
      <c r="H244" s="192" t="str">
        <f ca="1"/>
        <v>ארגוני</v>
      </c>
      <c r="I244" s="192" t="str">
        <f ca="1"/>
        <v>-</v>
      </c>
      <c r="J244" s="28"/>
    </row>
    <row r="245" spans="1:10" ht="15" customHeight="1">
      <c r="A245" s="28"/>
      <c r="B245" s="192">
        <f ca="1"/>
        <v>18.3</v>
      </c>
      <c r="C245" s="192" t="str">
        <f ca="1"/>
        <v>Network</v>
      </c>
      <c r="D245" s="192" t="str">
        <f ca="1"/>
        <v>Protect</v>
      </c>
      <c r="E245" s="192" t="str">
        <f ca="1"/>
        <v>ממיפוי בדיקת חדירה מתקנת</v>
      </c>
      <c r="F245" s="192" t="str">
        <f ca="1"/>
        <v/>
      </c>
      <c r="G245" s="192" t="str">
        <f ca="1"/>
        <v>-</v>
      </c>
      <c r="H245" s="192" t="str">
        <f ca="1"/>
        <v>ארגוני</v>
      </c>
      <c r="I245" s="192" t="str">
        <f ca="1"/>
        <v>-</v>
      </c>
      <c r="J245" s="28"/>
    </row>
    <row r="246" spans="1:10" ht="15" customHeight="1">
      <c r="A246" s="28"/>
      <c r="B246" s="192" t="e">
        <f ca="1"/>
        <v>#NUM!</v>
      </c>
      <c r="C246" s="192" t="e">
        <f ca="1"/>
        <v>#NUM!</v>
      </c>
      <c r="D246" s="192" t="e">
        <f ca="1"/>
        <v>#NUM!</v>
      </c>
      <c r="E246" s="192" t="e">
        <f ca="1"/>
        <v>#NUM!</v>
      </c>
      <c r="F246" s="192" t="e">
        <f ca="1"/>
        <v>#NUM!</v>
      </c>
      <c r="G246" s="192" t="e">
        <f ca="1"/>
        <v>#NUM!</v>
      </c>
      <c r="H246" s="192" t="e">
        <f ca="1"/>
        <v>#NUM!</v>
      </c>
      <c r="I246" s="192" t="e">
        <f ca="1"/>
        <v>#NUM!</v>
      </c>
      <c r="J246" s="28"/>
    </row>
    <row r="247" spans="1:10" ht="15" customHeight="1">
      <c r="A247" s="28"/>
      <c r="B247" s="192" t="e">
        <f ca="1"/>
        <v>#NUM!</v>
      </c>
      <c r="C247" s="192" t="e">
        <f ca="1"/>
        <v>#NUM!</v>
      </c>
      <c r="D247" s="192" t="e">
        <f ca="1"/>
        <v>#NUM!</v>
      </c>
      <c r="E247" s="192" t="e">
        <f ca="1"/>
        <v>#NUM!</v>
      </c>
      <c r="F247" s="192" t="e">
        <f ca="1"/>
        <v>#NUM!</v>
      </c>
      <c r="G247" s="192" t="e">
        <f ca="1"/>
        <v>#NUM!</v>
      </c>
      <c r="H247" s="192" t="e">
        <f ca="1"/>
        <v>#NUM!</v>
      </c>
      <c r="I247" s="192" t="e">
        <f ca="1"/>
        <v>#NUM!</v>
      </c>
      <c r="J247" s="28"/>
    </row>
    <row r="248" spans="1:10" ht="15" customHeight="1">
      <c r="A248" s="28"/>
      <c r="B248" s="192" t="e">
        <f ca="1"/>
        <v>#NUM!</v>
      </c>
      <c r="C248" s="192" t="e">
        <f ca="1"/>
        <v>#NUM!</v>
      </c>
      <c r="D248" s="192" t="e">
        <f ca="1"/>
        <v>#NUM!</v>
      </c>
      <c r="E248" s="192" t="e">
        <f ca="1"/>
        <v>#NUM!</v>
      </c>
      <c r="F248" s="192" t="e">
        <f ca="1"/>
        <v>#NUM!</v>
      </c>
      <c r="G248" s="192" t="e">
        <f ca="1"/>
        <v>#NUM!</v>
      </c>
      <c r="H248" s="192" t="e">
        <f ca="1"/>
        <v>#NUM!</v>
      </c>
      <c r="I248" s="192" t="e">
        <f ca="1"/>
        <v>#NUM!</v>
      </c>
      <c r="J248" s="28"/>
    </row>
    <row r="249" spans="1:10" ht="15" customHeight="1">
      <c r="A249" s="28"/>
      <c r="B249" s="192" t="e">
        <f ca="1"/>
        <v>#NUM!</v>
      </c>
      <c r="C249" s="192" t="e">
        <f ca="1"/>
        <v>#NUM!</v>
      </c>
      <c r="D249" s="192" t="e">
        <f ca="1"/>
        <v>#NUM!</v>
      </c>
      <c r="E249" s="192" t="e">
        <f ca="1"/>
        <v>#NUM!</v>
      </c>
      <c r="F249" s="192" t="e">
        <f ca="1"/>
        <v>#NUM!</v>
      </c>
      <c r="G249" s="192" t="e">
        <f ca="1"/>
        <v>#NUM!</v>
      </c>
      <c r="H249" s="192" t="e">
        <f ca="1"/>
        <v>#NUM!</v>
      </c>
      <c r="I249" s="192" t="e">
        <f ca="1"/>
        <v>#NUM!</v>
      </c>
      <c r="J249" s="28"/>
    </row>
    <row r="250" spans="1:10" ht="15" customHeight="1">
      <c r="A250" s="28"/>
      <c r="B250" s="192" t="e">
        <f ca="1"/>
        <v>#NUM!</v>
      </c>
      <c r="C250" s="192" t="e">
        <f ca="1"/>
        <v>#NUM!</v>
      </c>
      <c r="D250" s="192" t="e">
        <f ca="1"/>
        <v>#NUM!</v>
      </c>
      <c r="E250" s="192" t="e">
        <f ca="1"/>
        <v>#NUM!</v>
      </c>
      <c r="F250" s="192" t="e">
        <f ca="1"/>
        <v>#NUM!</v>
      </c>
      <c r="G250" s="192" t="e">
        <f ca="1"/>
        <v>#NUM!</v>
      </c>
      <c r="H250" s="192" t="e">
        <f ca="1"/>
        <v>#NUM!</v>
      </c>
      <c r="I250" s="192" t="e">
        <f ca="1"/>
        <v>#NUM!</v>
      </c>
      <c r="J250" s="28"/>
    </row>
    <row r="251" spans="1:10" ht="15" customHeight="1">
      <c r="A251" s="28"/>
      <c r="B251" s="192" t="e">
        <f ca="1"/>
        <v>#NUM!</v>
      </c>
      <c r="C251" s="192" t="e">
        <f ca="1"/>
        <v>#NUM!</v>
      </c>
      <c r="D251" s="192" t="e">
        <f ca="1"/>
        <v>#NUM!</v>
      </c>
      <c r="E251" s="192" t="e">
        <f ca="1"/>
        <v>#NUM!</v>
      </c>
      <c r="F251" s="192" t="e">
        <f ca="1"/>
        <v>#NUM!</v>
      </c>
      <c r="G251" s="192" t="e">
        <f ca="1"/>
        <v>#NUM!</v>
      </c>
      <c r="H251" s="192" t="e">
        <f ca="1"/>
        <v>#NUM!</v>
      </c>
      <c r="I251" s="192" t="e">
        <f ca="1"/>
        <v>#NUM!</v>
      </c>
      <c r="J251" s="28"/>
    </row>
    <row r="252" spans="1:10" ht="15" customHeight="1">
      <c r="A252" s="28"/>
      <c r="B252" s="192" t="e">
        <f ca="1"/>
        <v>#NUM!</v>
      </c>
      <c r="C252" s="192" t="e">
        <f ca="1"/>
        <v>#NUM!</v>
      </c>
      <c r="D252" s="192" t="e">
        <f ca="1"/>
        <v>#NUM!</v>
      </c>
      <c r="E252" s="192" t="e">
        <f ca="1"/>
        <v>#NUM!</v>
      </c>
      <c r="F252" s="192" t="e">
        <f ca="1"/>
        <v>#NUM!</v>
      </c>
      <c r="G252" s="192" t="e">
        <f ca="1"/>
        <v>#NUM!</v>
      </c>
      <c r="H252" s="192" t="e">
        <f ca="1"/>
        <v>#NUM!</v>
      </c>
      <c r="I252" s="192" t="e">
        <f ca="1"/>
        <v>#NUM!</v>
      </c>
      <c r="J252" s="28"/>
    </row>
    <row r="253" spans="1:10" ht="15" customHeight="1">
      <c r="A253" s="28"/>
      <c r="B253" s="192" t="e">
        <f ca="1"/>
        <v>#NUM!</v>
      </c>
      <c r="C253" s="192" t="e">
        <f ca="1"/>
        <v>#NUM!</v>
      </c>
      <c r="D253" s="192" t="e">
        <f ca="1"/>
        <v>#NUM!</v>
      </c>
      <c r="E253" s="192" t="e">
        <f ca="1"/>
        <v>#NUM!</v>
      </c>
      <c r="F253" s="192" t="e">
        <f ca="1"/>
        <v>#NUM!</v>
      </c>
      <c r="G253" s="192" t="e">
        <f ca="1"/>
        <v>#NUM!</v>
      </c>
      <c r="H253" s="192" t="e">
        <f ca="1"/>
        <v>#NUM!</v>
      </c>
      <c r="I253" s="192" t="e">
        <f ca="1"/>
        <v>#NUM!</v>
      </c>
      <c r="J253" s="28"/>
    </row>
    <row r="254" spans="1:10" ht="15" customHeight="1">
      <c r="A254" s="28"/>
      <c r="B254" s="192" t="e">
        <f ca="1"/>
        <v>#NUM!</v>
      </c>
      <c r="C254" s="192" t="e">
        <f ca="1"/>
        <v>#NUM!</v>
      </c>
      <c r="D254" s="192" t="e">
        <f ca="1"/>
        <v>#NUM!</v>
      </c>
      <c r="E254" s="192" t="e">
        <f ca="1"/>
        <v>#NUM!</v>
      </c>
      <c r="F254" s="192" t="e">
        <f ca="1"/>
        <v>#NUM!</v>
      </c>
      <c r="G254" s="192" t="e">
        <f ca="1"/>
        <v>#NUM!</v>
      </c>
      <c r="H254" s="192" t="e">
        <f ca="1"/>
        <v>#NUM!</v>
      </c>
      <c r="I254" s="192" t="e">
        <f ca="1"/>
        <v>#NUM!</v>
      </c>
      <c r="J254" s="28"/>
    </row>
    <row r="255" spans="1:10" ht="15" customHeight="1">
      <c r="A255" s="28"/>
      <c r="B255" s="192" t="e">
        <f ca="1"/>
        <v>#NUM!</v>
      </c>
      <c r="C255" s="192" t="e">
        <f ca="1"/>
        <v>#NUM!</v>
      </c>
      <c r="D255" s="192" t="e">
        <f ca="1"/>
        <v>#NUM!</v>
      </c>
      <c r="E255" s="192" t="e">
        <f ca="1"/>
        <v>#NUM!</v>
      </c>
      <c r="F255" s="192" t="e">
        <f ca="1"/>
        <v>#NUM!</v>
      </c>
      <c r="G255" s="192" t="e">
        <f ca="1"/>
        <v>#NUM!</v>
      </c>
      <c r="H255" s="192" t="e">
        <f ca="1"/>
        <v>#NUM!</v>
      </c>
      <c r="I255" s="192" t="e">
        <f ca="1"/>
        <v>#NUM!</v>
      </c>
      <c r="J255" s="28"/>
    </row>
    <row r="256" spans="1:10" ht="15" customHeight="1">
      <c r="A256" s="28"/>
      <c r="B256" s="28" t="e">
        <f ca="1"/>
        <v>#NUM!</v>
      </c>
      <c r="C256" s="28" t="e">
        <f ca="1"/>
        <v>#NUM!</v>
      </c>
      <c r="D256" s="28" t="e">
        <f ca="1"/>
        <v>#NUM!</v>
      </c>
      <c r="E256" s="28" t="e">
        <f ca="1"/>
        <v>#NUM!</v>
      </c>
      <c r="F256" s="28" t="e">
        <f ca="1"/>
        <v>#NUM!</v>
      </c>
      <c r="G256" s="28" t="e">
        <f ca="1"/>
        <v>#NUM!</v>
      </c>
      <c r="H256" s="28" t="e">
        <f ca="1"/>
        <v>#NUM!</v>
      </c>
      <c r="I256" s="28" t="e">
        <f ca="1"/>
        <v>#NUM!</v>
      </c>
      <c r="J256" s="28"/>
    </row>
    <row r="257" spans="2:9" ht="0" hidden="1" customHeight="1">
      <c r="B257" s="22" t="e">
        <f ca="1"/>
        <v>#NUM!</v>
      </c>
      <c r="C257" s="22" t="e">
        <f ca="1"/>
        <v>#NUM!</v>
      </c>
      <c r="D257" s="22" t="e">
        <f ca="1"/>
        <v>#NUM!</v>
      </c>
      <c r="E257" s="22" t="e">
        <f ca="1"/>
        <v>#NUM!</v>
      </c>
      <c r="F257" s="22" t="e">
        <f ca="1"/>
        <v>#NUM!</v>
      </c>
      <c r="G257" s="22" t="e">
        <f ca="1"/>
        <v>#NUM!</v>
      </c>
      <c r="H257" s="22" t="e">
        <f ca="1"/>
        <v>#NUM!</v>
      </c>
      <c r="I257" s="22" t="e">
        <f ca="1"/>
        <v>#NUM!</v>
      </c>
    </row>
    <row r="258" spans="2:9" ht="0" hidden="1" customHeight="1">
      <c r="B258" s="22" t="e">
        <f ca="1"/>
        <v>#NUM!</v>
      </c>
      <c r="C258" s="22" t="e">
        <f ca="1"/>
        <v>#NUM!</v>
      </c>
      <c r="D258" s="22" t="e">
        <f ca="1"/>
        <v>#NUM!</v>
      </c>
      <c r="E258" s="22" t="e">
        <f ca="1"/>
        <v>#NUM!</v>
      </c>
      <c r="F258" s="22" t="e">
        <f ca="1"/>
        <v>#NUM!</v>
      </c>
      <c r="G258" s="22" t="e">
        <f ca="1"/>
        <v>#NUM!</v>
      </c>
      <c r="H258" s="22" t="e">
        <f ca="1"/>
        <v>#NUM!</v>
      </c>
      <c r="I258" s="22" t="e">
        <f ca="1"/>
        <v>#NUM!</v>
      </c>
    </row>
    <row r="259" spans="2:9" ht="0" hidden="1" customHeight="1">
      <c r="B259" s="22" t="e">
        <f ca="1"/>
        <v>#NUM!</v>
      </c>
      <c r="C259" s="22" t="e">
        <f ca="1"/>
        <v>#NUM!</v>
      </c>
      <c r="D259" s="22" t="e">
        <f ca="1"/>
        <v>#NUM!</v>
      </c>
      <c r="E259" s="22" t="e">
        <f ca="1"/>
        <v>#NUM!</v>
      </c>
      <c r="F259" s="22" t="e">
        <f ca="1"/>
        <v>#NUM!</v>
      </c>
      <c r="G259" s="22" t="e">
        <f ca="1"/>
        <v>#NUM!</v>
      </c>
      <c r="H259" s="22" t="e">
        <f ca="1"/>
        <v>#NUM!</v>
      </c>
      <c r="I259" s="22" t="e">
        <f ca="1"/>
        <v>#NUM!</v>
      </c>
    </row>
    <row r="260" spans="2:9" ht="0" hidden="1" customHeight="1">
      <c r="B260" s="22" t="e">
        <f ca="1"/>
        <v>#NUM!</v>
      </c>
      <c r="C260" s="22" t="e">
        <f ca="1"/>
        <v>#NUM!</v>
      </c>
      <c r="D260" s="22" t="e">
        <f ca="1"/>
        <v>#NUM!</v>
      </c>
      <c r="E260" s="22" t="e">
        <f ca="1"/>
        <v>#NUM!</v>
      </c>
      <c r="F260" s="22" t="e">
        <f ca="1"/>
        <v>#NUM!</v>
      </c>
      <c r="G260" s="22" t="e">
        <f ca="1"/>
        <v>#NUM!</v>
      </c>
      <c r="H260" s="22" t="e">
        <f ca="1"/>
        <v>#NUM!</v>
      </c>
      <c r="I260" s="22" t="e">
        <f ca="1"/>
        <v>#NUM!</v>
      </c>
    </row>
    <row r="261" spans="2:9" ht="0" hidden="1" customHeight="1">
      <c r="B261" s="22" t="e">
        <f ca="1"/>
        <v>#NUM!</v>
      </c>
      <c r="C261" s="22" t="e">
        <f ca="1"/>
        <v>#NUM!</v>
      </c>
      <c r="D261" s="22" t="e">
        <f ca="1"/>
        <v>#NUM!</v>
      </c>
      <c r="E261" s="22" t="e">
        <f ca="1"/>
        <v>#NUM!</v>
      </c>
      <c r="F261" s="22" t="e">
        <f ca="1"/>
        <v>#NUM!</v>
      </c>
      <c r="G261" s="22" t="e">
        <f ca="1"/>
        <v>#NUM!</v>
      </c>
      <c r="H261" s="22" t="e">
        <f ca="1"/>
        <v>#NUM!</v>
      </c>
      <c r="I261" s="22" t="e">
        <f ca="1"/>
        <v>#NUM!</v>
      </c>
    </row>
    <row r="262" spans="2:9" ht="0" hidden="1" customHeight="1">
      <c r="B262" s="22" t="e">
        <f ca="1"/>
        <v>#NUM!</v>
      </c>
      <c r="C262" s="22" t="e">
        <f ca="1"/>
        <v>#NUM!</v>
      </c>
      <c r="D262" s="22" t="e">
        <f ca="1"/>
        <v>#NUM!</v>
      </c>
      <c r="E262" s="22" t="e">
        <f ca="1"/>
        <v>#NUM!</v>
      </c>
      <c r="F262" s="22" t="e">
        <f ca="1"/>
        <v>#NUM!</v>
      </c>
      <c r="G262" s="22" t="e">
        <f ca="1"/>
        <v>#NUM!</v>
      </c>
      <c r="H262" s="22" t="e">
        <f ca="1"/>
        <v>#NUM!</v>
      </c>
      <c r="I262" s="22" t="e">
        <f ca="1"/>
        <v>#NUM!</v>
      </c>
    </row>
    <row r="263" spans="2:9" ht="0" hidden="1" customHeight="1">
      <c r="B263" s="22" t="e">
        <f ca="1"/>
        <v>#NUM!</v>
      </c>
      <c r="C263" s="22" t="e">
        <f ca="1"/>
        <v>#NUM!</v>
      </c>
      <c r="D263" s="22" t="e">
        <f ca="1"/>
        <v>#NUM!</v>
      </c>
      <c r="E263" s="22" t="e">
        <f ca="1"/>
        <v>#NUM!</v>
      </c>
      <c r="F263" s="22" t="e">
        <f ca="1"/>
        <v>#NUM!</v>
      </c>
      <c r="G263" s="22" t="e">
        <f ca="1"/>
        <v>#NUM!</v>
      </c>
      <c r="H263" s="22" t="e">
        <f ca="1"/>
        <v>#NUM!</v>
      </c>
      <c r="I263" s="22" t="e">
        <f ca="1"/>
        <v>#NUM!</v>
      </c>
    </row>
    <row r="264" spans="2:9" ht="0" hidden="1" customHeight="1">
      <c r="B264" s="22" t="e">
        <f ca="1"/>
        <v>#NUM!</v>
      </c>
      <c r="C264" s="22" t="e">
        <f ca="1"/>
        <v>#NUM!</v>
      </c>
      <c r="D264" s="22" t="e">
        <f ca="1"/>
        <v>#NUM!</v>
      </c>
      <c r="E264" s="22" t="e">
        <f ca="1"/>
        <v>#NUM!</v>
      </c>
      <c r="F264" s="22" t="e">
        <f ca="1"/>
        <v>#NUM!</v>
      </c>
      <c r="G264" s="22" t="e">
        <f ca="1"/>
        <v>#NUM!</v>
      </c>
      <c r="H264" s="22" t="e">
        <f ca="1"/>
        <v>#NUM!</v>
      </c>
      <c r="I264" s="22" t="e">
        <f ca="1"/>
        <v>#NUM!</v>
      </c>
    </row>
    <row r="265" spans="2:9" ht="0" hidden="1" customHeight="1">
      <c r="B265" s="22" t="e">
        <f ca="1"/>
        <v>#NUM!</v>
      </c>
      <c r="C265" s="22" t="e">
        <f ca="1"/>
        <v>#NUM!</v>
      </c>
      <c r="D265" s="22" t="e">
        <f ca="1"/>
        <v>#NUM!</v>
      </c>
      <c r="E265" s="22" t="e">
        <f ca="1"/>
        <v>#NUM!</v>
      </c>
      <c r="F265" s="22" t="e">
        <f ca="1"/>
        <v>#NUM!</v>
      </c>
      <c r="G265" s="22" t="e">
        <f ca="1"/>
        <v>#NUM!</v>
      </c>
      <c r="H265" s="22" t="e">
        <f ca="1"/>
        <v>#NUM!</v>
      </c>
      <c r="I265" s="22" t="e">
        <f ca="1"/>
        <v>#NUM!</v>
      </c>
    </row>
    <row r="266" spans="2:9" ht="0" hidden="1" customHeight="1">
      <c r="B266" s="22" t="e">
        <f ca="1"/>
        <v>#NUM!</v>
      </c>
      <c r="C266" s="22" t="e">
        <f ca="1"/>
        <v>#NUM!</v>
      </c>
      <c r="D266" s="22" t="e">
        <f ca="1"/>
        <v>#NUM!</v>
      </c>
      <c r="E266" s="22" t="e">
        <f ca="1"/>
        <v>#NUM!</v>
      </c>
      <c r="F266" s="22" t="e">
        <f ca="1"/>
        <v>#NUM!</v>
      </c>
      <c r="G266" s="22" t="e">
        <f ca="1"/>
        <v>#NUM!</v>
      </c>
      <c r="H266" s="22" t="e">
        <f ca="1"/>
        <v>#NUM!</v>
      </c>
      <c r="I266" s="22" t="e">
        <f ca="1"/>
        <v>#NUM!</v>
      </c>
    </row>
    <row r="267" spans="2:9" ht="0" hidden="1" customHeight="1">
      <c r="B267" s="22" t="e">
        <f ca="1"/>
        <v>#NUM!</v>
      </c>
      <c r="C267" s="22" t="e">
        <f ca="1"/>
        <v>#NUM!</v>
      </c>
      <c r="D267" s="22" t="e">
        <f ca="1"/>
        <v>#NUM!</v>
      </c>
      <c r="E267" s="22" t="e">
        <f ca="1"/>
        <v>#NUM!</v>
      </c>
      <c r="F267" s="22" t="e">
        <f ca="1"/>
        <v>#NUM!</v>
      </c>
      <c r="G267" s="22" t="e">
        <f ca="1"/>
        <v>#NUM!</v>
      </c>
      <c r="H267" s="22" t="e">
        <f ca="1"/>
        <v>#NUM!</v>
      </c>
      <c r="I267" s="22" t="e">
        <f ca="1"/>
        <v>#NUM!</v>
      </c>
    </row>
    <row r="268" spans="2:9" ht="0" hidden="1" customHeight="1">
      <c r="B268" s="22" t="e">
        <f ca="1"/>
        <v>#NUM!</v>
      </c>
      <c r="C268" s="22" t="e">
        <f ca="1"/>
        <v>#NUM!</v>
      </c>
      <c r="D268" s="22" t="e">
        <f ca="1"/>
        <v>#NUM!</v>
      </c>
      <c r="E268" s="22" t="e">
        <f ca="1"/>
        <v>#NUM!</v>
      </c>
      <c r="F268" s="22" t="e">
        <f ca="1"/>
        <v>#NUM!</v>
      </c>
      <c r="G268" s="22" t="e">
        <f ca="1"/>
        <v>#NUM!</v>
      </c>
      <c r="H268" s="22" t="e">
        <f ca="1"/>
        <v>#NUM!</v>
      </c>
      <c r="I268" s="22" t="e">
        <f ca="1"/>
        <v>#NUM!</v>
      </c>
    </row>
    <row r="269" spans="2:9" ht="0" hidden="1" customHeight="1">
      <c r="B269" s="22" t="e">
        <f ca="1"/>
        <v>#NUM!</v>
      </c>
      <c r="C269" s="22" t="e">
        <f ca="1"/>
        <v>#NUM!</v>
      </c>
      <c r="D269" s="22" t="e">
        <f ca="1"/>
        <v>#NUM!</v>
      </c>
      <c r="E269" s="22" t="e">
        <f ca="1"/>
        <v>#NUM!</v>
      </c>
      <c r="F269" s="22" t="e">
        <f ca="1"/>
        <v>#NUM!</v>
      </c>
      <c r="G269" s="22" t="e">
        <f ca="1"/>
        <v>#NUM!</v>
      </c>
      <c r="H269" s="22" t="e">
        <f ca="1"/>
        <v>#NUM!</v>
      </c>
      <c r="I269" s="22" t="e">
        <f ca="1"/>
        <v>#NUM!</v>
      </c>
    </row>
    <row r="270" spans="2:9" ht="0" hidden="1" customHeight="1">
      <c r="B270" s="22" t="e">
        <f ca="1"/>
        <v>#NUM!</v>
      </c>
      <c r="C270" s="22" t="e">
        <f ca="1"/>
        <v>#NUM!</v>
      </c>
      <c r="D270" s="22" t="e">
        <f ca="1"/>
        <v>#NUM!</v>
      </c>
      <c r="E270" s="22" t="e">
        <f ca="1"/>
        <v>#NUM!</v>
      </c>
      <c r="F270" s="22" t="e">
        <f ca="1"/>
        <v>#NUM!</v>
      </c>
      <c r="G270" s="22" t="e">
        <f ca="1"/>
        <v>#NUM!</v>
      </c>
      <c r="H270" s="22" t="e">
        <f ca="1"/>
        <v>#NUM!</v>
      </c>
      <c r="I270" s="22" t="e">
        <f ca="1"/>
        <v>#NUM!</v>
      </c>
    </row>
    <row r="271" spans="2:9" ht="0" hidden="1" customHeight="1">
      <c r="B271" s="22" t="e">
        <f ca="1"/>
        <v>#NUM!</v>
      </c>
      <c r="C271" s="22" t="e">
        <f ca="1"/>
        <v>#NUM!</v>
      </c>
      <c r="D271" s="22" t="e">
        <f ca="1"/>
        <v>#NUM!</v>
      </c>
      <c r="E271" s="22" t="e">
        <f ca="1"/>
        <v>#NUM!</v>
      </c>
      <c r="F271" s="22" t="e">
        <f ca="1"/>
        <v>#NUM!</v>
      </c>
      <c r="G271" s="22" t="e">
        <f ca="1"/>
        <v>#NUM!</v>
      </c>
      <c r="H271" s="22" t="e">
        <f ca="1"/>
        <v>#NUM!</v>
      </c>
      <c r="I271" s="22" t="e">
        <f ca="1"/>
        <v>#NUM!</v>
      </c>
    </row>
    <row r="272" spans="2:9" ht="0" hidden="1" customHeight="1">
      <c r="B272" s="22" t="e">
        <f ca="1"/>
        <v>#NUM!</v>
      </c>
      <c r="C272" s="22" t="e">
        <f ca="1"/>
        <v>#NUM!</v>
      </c>
      <c r="D272" s="22" t="e">
        <f ca="1"/>
        <v>#NUM!</v>
      </c>
      <c r="E272" s="22" t="e">
        <f ca="1"/>
        <v>#NUM!</v>
      </c>
      <c r="F272" s="22" t="e">
        <f ca="1"/>
        <v>#NUM!</v>
      </c>
      <c r="G272" s="22" t="e">
        <f ca="1"/>
        <v>#NUM!</v>
      </c>
      <c r="H272" s="22" t="e">
        <f ca="1"/>
        <v>#NUM!</v>
      </c>
      <c r="I272" s="22" t="e">
        <f ca="1"/>
        <v>#NUM!</v>
      </c>
    </row>
    <row r="273" spans="2:9" ht="0" hidden="1" customHeight="1">
      <c r="B273" s="22" t="e">
        <f ca="1"/>
        <v>#NUM!</v>
      </c>
      <c r="C273" s="22" t="e">
        <f ca="1"/>
        <v>#NUM!</v>
      </c>
      <c r="D273" s="22" t="e">
        <f ca="1"/>
        <v>#NUM!</v>
      </c>
      <c r="E273" s="22" t="e">
        <f ca="1"/>
        <v>#NUM!</v>
      </c>
      <c r="F273" s="22" t="e">
        <f ca="1"/>
        <v>#NUM!</v>
      </c>
      <c r="G273" s="22" t="e">
        <f ca="1"/>
        <v>#NUM!</v>
      </c>
      <c r="H273" s="22" t="e">
        <f ca="1"/>
        <v>#NUM!</v>
      </c>
      <c r="I273" s="22" t="e">
        <f ca="1"/>
        <v>#NUM!</v>
      </c>
    </row>
    <row r="274" spans="2:9" ht="0" hidden="1" customHeight="1">
      <c r="B274" s="22" t="e">
        <f ca="1"/>
        <v>#NUM!</v>
      </c>
      <c r="C274" s="22" t="e">
        <f ca="1"/>
        <v>#NUM!</v>
      </c>
      <c r="D274" s="22" t="e">
        <f ca="1"/>
        <v>#NUM!</v>
      </c>
      <c r="E274" s="22" t="e">
        <f ca="1"/>
        <v>#NUM!</v>
      </c>
      <c r="F274" s="22" t="e">
        <f ca="1"/>
        <v>#NUM!</v>
      </c>
      <c r="G274" s="22" t="e">
        <f ca="1"/>
        <v>#NUM!</v>
      </c>
      <c r="H274" s="22" t="e">
        <f ca="1"/>
        <v>#NUM!</v>
      </c>
      <c r="I274" s="22" t="e">
        <f ca="1"/>
        <v>#NUM!</v>
      </c>
    </row>
    <row r="275" spans="2:9" ht="0" hidden="1" customHeight="1">
      <c r="B275" s="22" t="e">
        <f ca="1"/>
        <v>#NUM!</v>
      </c>
      <c r="C275" s="22" t="e">
        <f ca="1"/>
        <v>#NUM!</v>
      </c>
      <c r="D275" s="22" t="e">
        <f ca="1"/>
        <v>#NUM!</v>
      </c>
      <c r="E275" s="22" t="e">
        <f ca="1"/>
        <v>#NUM!</v>
      </c>
      <c r="F275" s="22" t="e">
        <f ca="1"/>
        <v>#NUM!</v>
      </c>
      <c r="G275" s="22" t="e">
        <f ca="1"/>
        <v>#NUM!</v>
      </c>
      <c r="H275" s="22" t="e">
        <f ca="1"/>
        <v>#NUM!</v>
      </c>
      <c r="I275" s="22" t="e">
        <f ca="1"/>
        <v>#NUM!</v>
      </c>
    </row>
    <row r="276" spans="2:9" ht="0" hidden="1" customHeight="1">
      <c r="B276" s="22" t="e">
        <f ca="1"/>
        <v>#NUM!</v>
      </c>
      <c r="C276" s="22" t="e">
        <f ca="1"/>
        <v>#NUM!</v>
      </c>
      <c r="D276" s="22" t="e">
        <f ca="1"/>
        <v>#NUM!</v>
      </c>
      <c r="E276" s="22" t="e">
        <f ca="1"/>
        <v>#NUM!</v>
      </c>
      <c r="F276" s="22" t="e">
        <f ca="1"/>
        <v>#NUM!</v>
      </c>
      <c r="G276" s="22" t="e">
        <f ca="1"/>
        <v>#NUM!</v>
      </c>
      <c r="H276" s="22" t="e">
        <f ca="1"/>
        <v>#NUM!</v>
      </c>
      <c r="I276" s="22" t="e">
        <f ca="1"/>
        <v>#NUM!</v>
      </c>
    </row>
    <row r="277" spans="2:9" ht="0" hidden="1" customHeight="1">
      <c r="B277" s="22" t="e">
        <f ca="1"/>
        <v>#NUM!</v>
      </c>
      <c r="C277" s="22" t="e">
        <f ca="1"/>
        <v>#NUM!</v>
      </c>
      <c r="D277" s="22" t="e">
        <f ca="1"/>
        <v>#NUM!</v>
      </c>
      <c r="E277" s="22" t="e">
        <f ca="1"/>
        <v>#NUM!</v>
      </c>
      <c r="F277" s="22" t="e">
        <f ca="1"/>
        <v>#NUM!</v>
      </c>
      <c r="G277" s="22" t="e">
        <f ca="1"/>
        <v>#NUM!</v>
      </c>
      <c r="H277" s="22" t="e">
        <f ca="1"/>
        <v>#NUM!</v>
      </c>
      <c r="I277" s="22" t="e">
        <f ca="1"/>
        <v>#NUM!</v>
      </c>
    </row>
    <row r="278" spans="2:9" ht="0" hidden="1" customHeight="1">
      <c r="B278" s="22" t="e">
        <f ca="1"/>
        <v>#NUM!</v>
      </c>
      <c r="C278" s="22" t="e">
        <f ca="1"/>
        <v>#NUM!</v>
      </c>
      <c r="D278" s="22" t="e">
        <f ca="1"/>
        <v>#NUM!</v>
      </c>
      <c r="E278" s="22" t="e">
        <f ca="1"/>
        <v>#NUM!</v>
      </c>
      <c r="F278" s="22" t="e">
        <f ca="1"/>
        <v>#NUM!</v>
      </c>
      <c r="G278" s="22" t="e">
        <f ca="1"/>
        <v>#NUM!</v>
      </c>
      <c r="H278" s="22" t="e">
        <f ca="1"/>
        <v>#NUM!</v>
      </c>
      <c r="I278" s="22" t="e">
        <f ca="1"/>
        <v>#NUM!</v>
      </c>
    </row>
    <row r="279" spans="2:9" ht="0" hidden="1" customHeight="1">
      <c r="B279" s="22" t="e">
        <f ca="1"/>
        <v>#NUM!</v>
      </c>
      <c r="C279" s="22" t="e">
        <f ca="1"/>
        <v>#NUM!</v>
      </c>
      <c r="D279" s="22" t="e">
        <f ca="1"/>
        <v>#NUM!</v>
      </c>
      <c r="E279" s="22" t="e">
        <f ca="1"/>
        <v>#NUM!</v>
      </c>
      <c r="F279" s="22" t="e">
        <f ca="1"/>
        <v>#NUM!</v>
      </c>
      <c r="G279" s="22" t="e">
        <f ca="1"/>
        <v>#NUM!</v>
      </c>
      <c r="H279" s="22" t="e">
        <f ca="1"/>
        <v>#NUM!</v>
      </c>
      <c r="I279" s="22" t="e">
        <f ca="1"/>
        <v>#NUM!</v>
      </c>
    </row>
    <row r="280" spans="2:9" ht="0" hidden="1" customHeight="1">
      <c r="B280" s="22" t="e">
        <f ca="1"/>
        <v>#NUM!</v>
      </c>
      <c r="C280" s="22" t="e">
        <f ca="1"/>
        <v>#NUM!</v>
      </c>
      <c r="D280" s="22" t="e">
        <f ca="1"/>
        <v>#NUM!</v>
      </c>
      <c r="E280" s="22" t="e">
        <f ca="1"/>
        <v>#NUM!</v>
      </c>
      <c r="F280" s="22" t="e">
        <f ca="1"/>
        <v>#NUM!</v>
      </c>
      <c r="G280" s="22" t="e">
        <f ca="1"/>
        <v>#NUM!</v>
      </c>
      <c r="H280" s="22" t="e">
        <f ca="1"/>
        <v>#NUM!</v>
      </c>
      <c r="I280" s="22" t="e">
        <f ca="1"/>
        <v>#NUM!</v>
      </c>
    </row>
    <row r="281" spans="2:9" ht="0" hidden="1" customHeight="1">
      <c r="B281" s="22" t="e">
        <f ca="1"/>
        <v>#NUM!</v>
      </c>
      <c r="C281" s="22" t="e">
        <f ca="1"/>
        <v>#NUM!</v>
      </c>
      <c r="D281" s="22" t="e">
        <f ca="1"/>
        <v>#NUM!</v>
      </c>
      <c r="E281" s="22" t="e">
        <f ca="1"/>
        <v>#NUM!</v>
      </c>
      <c r="F281" s="22" t="e">
        <f ca="1"/>
        <v>#NUM!</v>
      </c>
      <c r="G281" s="22" t="e">
        <f ca="1"/>
        <v>#NUM!</v>
      </c>
      <c r="H281" s="22" t="e">
        <f ca="1"/>
        <v>#NUM!</v>
      </c>
      <c r="I281" s="22" t="e">
        <f ca="1"/>
        <v>#NUM!</v>
      </c>
    </row>
    <row r="282" spans="2:9" ht="0" hidden="1" customHeight="1">
      <c r="B282" s="22" t="e">
        <f ca="1"/>
        <v>#NUM!</v>
      </c>
      <c r="C282" s="22" t="e">
        <f ca="1"/>
        <v>#NUM!</v>
      </c>
      <c r="D282" s="22" t="e">
        <f ca="1"/>
        <v>#NUM!</v>
      </c>
      <c r="E282" s="22" t="e">
        <f ca="1"/>
        <v>#NUM!</v>
      </c>
      <c r="F282" s="22" t="e">
        <f ca="1"/>
        <v>#NUM!</v>
      </c>
      <c r="G282" s="22" t="e">
        <f ca="1"/>
        <v>#NUM!</v>
      </c>
      <c r="H282" s="22" t="e">
        <f ca="1"/>
        <v>#NUM!</v>
      </c>
      <c r="I282" s="22" t="e">
        <f ca="1"/>
        <v>#NUM!</v>
      </c>
    </row>
    <row r="283" spans="2:9" ht="0" hidden="1" customHeight="1">
      <c r="B283" s="22" t="e">
        <f ca="1"/>
        <v>#NUM!</v>
      </c>
      <c r="C283" s="22" t="e">
        <f ca="1"/>
        <v>#NUM!</v>
      </c>
      <c r="D283" s="22" t="e">
        <f ca="1"/>
        <v>#NUM!</v>
      </c>
      <c r="E283" s="22" t="e">
        <f ca="1"/>
        <v>#NUM!</v>
      </c>
      <c r="F283" s="22" t="e">
        <f ca="1"/>
        <v>#NUM!</v>
      </c>
      <c r="G283" s="22" t="e">
        <f ca="1"/>
        <v>#NUM!</v>
      </c>
      <c r="H283" s="22" t="e">
        <f ca="1"/>
        <v>#NUM!</v>
      </c>
      <c r="I283" s="22" t="e">
        <f ca="1"/>
        <v>#NUM!</v>
      </c>
    </row>
    <row r="284" spans="2:9" ht="0" hidden="1" customHeight="1">
      <c r="B284" s="22" t="e">
        <f ca="1"/>
        <v>#NUM!</v>
      </c>
      <c r="C284" s="22" t="e">
        <f ca="1"/>
        <v>#NUM!</v>
      </c>
      <c r="D284" s="22" t="e">
        <f ca="1"/>
        <v>#NUM!</v>
      </c>
      <c r="E284" s="22" t="e">
        <f ca="1"/>
        <v>#NUM!</v>
      </c>
      <c r="F284" s="22" t="e">
        <f ca="1"/>
        <v>#NUM!</v>
      </c>
      <c r="G284" s="22" t="e">
        <f ca="1"/>
        <v>#NUM!</v>
      </c>
      <c r="H284" s="22" t="e">
        <f ca="1"/>
        <v>#NUM!</v>
      </c>
      <c r="I284" s="22" t="e">
        <f ca="1"/>
        <v>#NUM!</v>
      </c>
    </row>
    <row r="285" spans="2:9" ht="0" hidden="1" customHeight="1">
      <c r="B285" s="22" t="e">
        <f ca="1"/>
        <v>#NUM!</v>
      </c>
      <c r="C285" s="22" t="e">
        <f ca="1"/>
        <v>#NUM!</v>
      </c>
      <c r="D285" s="22" t="e">
        <f ca="1"/>
        <v>#NUM!</v>
      </c>
      <c r="E285" s="22" t="e">
        <f ca="1"/>
        <v>#NUM!</v>
      </c>
      <c r="F285" s="22" t="e">
        <f ca="1"/>
        <v>#NUM!</v>
      </c>
      <c r="G285" s="22" t="e">
        <f ca="1"/>
        <v>#NUM!</v>
      </c>
      <c r="H285" s="22" t="e">
        <f ca="1"/>
        <v>#NUM!</v>
      </c>
      <c r="I285" s="22" t="e">
        <f ca="1"/>
        <v>#NUM!</v>
      </c>
    </row>
    <row r="286" spans="2:9" ht="0" hidden="1" customHeight="1">
      <c r="B286" s="22" t="e">
        <f ca="1"/>
        <v>#NUM!</v>
      </c>
      <c r="C286" s="22" t="e">
        <f ca="1"/>
        <v>#NUM!</v>
      </c>
      <c r="D286" s="22" t="e">
        <f ca="1"/>
        <v>#NUM!</v>
      </c>
      <c r="E286" s="22" t="e">
        <f ca="1"/>
        <v>#NUM!</v>
      </c>
      <c r="F286" s="22" t="e">
        <f ca="1"/>
        <v>#NUM!</v>
      </c>
      <c r="G286" s="22" t="e">
        <f ca="1"/>
        <v>#NUM!</v>
      </c>
      <c r="H286" s="22" t="e">
        <f ca="1"/>
        <v>#NUM!</v>
      </c>
      <c r="I286" s="22" t="e">
        <f ca="1"/>
        <v>#NUM!</v>
      </c>
    </row>
    <row r="287" spans="2:9" ht="0" hidden="1" customHeight="1">
      <c r="B287" s="22" t="e">
        <f ca="1"/>
        <v>#NUM!</v>
      </c>
      <c r="C287" s="22" t="e">
        <f ca="1"/>
        <v>#NUM!</v>
      </c>
      <c r="D287" s="22" t="e">
        <f ca="1"/>
        <v>#NUM!</v>
      </c>
      <c r="E287" s="22" t="e">
        <f ca="1"/>
        <v>#NUM!</v>
      </c>
      <c r="F287" s="22" t="e">
        <f ca="1"/>
        <v>#NUM!</v>
      </c>
      <c r="G287" s="22" t="e">
        <f ca="1"/>
        <v>#NUM!</v>
      </c>
      <c r="H287" s="22" t="e">
        <f ca="1"/>
        <v>#NUM!</v>
      </c>
      <c r="I287" s="22" t="e">
        <f ca="1"/>
        <v>#NUM!</v>
      </c>
    </row>
    <row r="288" spans="2:9" ht="0" hidden="1" customHeight="1">
      <c r="B288" s="22" t="e">
        <f ca="1"/>
        <v>#NUM!</v>
      </c>
      <c r="C288" s="22" t="e">
        <f ca="1"/>
        <v>#NUM!</v>
      </c>
      <c r="D288" s="22" t="e">
        <f ca="1"/>
        <v>#NUM!</v>
      </c>
      <c r="E288" s="22" t="e">
        <f ca="1"/>
        <v>#NUM!</v>
      </c>
      <c r="F288" s="22" t="e">
        <f ca="1"/>
        <v>#NUM!</v>
      </c>
      <c r="G288" s="22" t="e">
        <f ca="1"/>
        <v>#NUM!</v>
      </c>
      <c r="H288" s="22" t="e">
        <f ca="1"/>
        <v>#NUM!</v>
      </c>
      <c r="I288" s="22" t="e">
        <f ca="1"/>
        <v>#NUM!</v>
      </c>
    </row>
    <row r="289" spans="2:9" ht="0" hidden="1" customHeight="1">
      <c r="B289" s="22" t="e">
        <f ca="1"/>
        <v>#NUM!</v>
      </c>
      <c r="C289" s="22" t="e">
        <f ca="1"/>
        <v>#NUM!</v>
      </c>
      <c r="D289" s="22" t="e">
        <f ca="1"/>
        <v>#NUM!</v>
      </c>
      <c r="E289" s="22" t="e">
        <f ca="1"/>
        <v>#NUM!</v>
      </c>
      <c r="F289" s="22" t="e">
        <f ca="1"/>
        <v>#NUM!</v>
      </c>
      <c r="G289" s="22" t="e">
        <f ca="1"/>
        <v>#NUM!</v>
      </c>
      <c r="H289" s="22" t="e">
        <f ca="1"/>
        <v>#NUM!</v>
      </c>
      <c r="I289" s="22" t="e">
        <f ca="1"/>
        <v>#NUM!</v>
      </c>
    </row>
    <row r="290" spans="2:9" ht="0" hidden="1" customHeight="1">
      <c r="B290" s="22" t="e">
        <f ca="1"/>
        <v>#NUM!</v>
      </c>
      <c r="C290" s="22" t="e">
        <f ca="1"/>
        <v>#NUM!</v>
      </c>
      <c r="D290" s="22" t="e">
        <f ca="1"/>
        <v>#NUM!</v>
      </c>
      <c r="E290" s="22" t="e">
        <f ca="1"/>
        <v>#NUM!</v>
      </c>
      <c r="F290" s="22" t="e">
        <f ca="1"/>
        <v>#NUM!</v>
      </c>
      <c r="G290" s="22" t="e">
        <f ca="1"/>
        <v>#NUM!</v>
      </c>
      <c r="H290" s="22" t="e">
        <f ca="1"/>
        <v>#NUM!</v>
      </c>
      <c r="I290" s="22" t="e">
        <f ca="1"/>
        <v>#NUM!</v>
      </c>
    </row>
    <row r="291" spans="2:9" ht="0" hidden="1" customHeight="1">
      <c r="B291" s="22" t="e">
        <f ca="1"/>
        <v>#NUM!</v>
      </c>
      <c r="C291" s="22" t="e">
        <f ca="1"/>
        <v>#NUM!</v>
      </c>
      <c r="D291" s="22" t="e">
        <f ca="1"/>
        <v>#NUM!</v>
      </c>
      <c r="E291" s="22" t="e">
        <f ca="1"/>
        <v>#NUM!</v>
      </c>
      <c r="F291" s="22" t="e">
        <f ca="1"/>
        <v>#NUM!</v>
      </c>
      <c r="G291" s="22" t="e">
        <f ca="1"/>
        <v>#NUM!</v>
      </c>
      <c r="H291" s="22" t="e">
        <f ca="1"/>
        <v>#NUM!</v>
      </c>
      <c r="I291" s="22" t="e">
        <f ca="1"/>
        <v>#NUM!</v>
      </c>
    </row>
    <row r="292" spans="2:9" ht="0" hidden="1" customHeight="1">
      <c r="B292" s="22" t="e">
        <f ca="1"/>
        <v>#NUM!</v>
      </c>
      <c r="C292" s="22" t="e">
        <f ca="1"/>
        <v>#NUM!</v>
      </c>
      <c r="D292" s="22" t="e">
        <f ca="1"/>
        <v>#NUM!</v>
      </c>
      <c r="E292" s="22" t="e">
        <f ca="1"/>
        <v>#NUM!</v>
      </c>
      <c r="F292" s="22" t="e">
        <f ca="1"/>
        <v>#NUM!</v>
      </c>
      <c r="G292" s="22" t="e">
        <f ca="1"/>
        <v>#NUM!</v>
      </c>
      <c r="H292" s="22" t="e">
        <f ca="1"/>
        <v>#NUM!</v>
      </c>
      <c r="I292" s="22" t="e">
        <f ca="1"/>
        <v>#NUM!</v>
      </c>
    </row>
    <row r="293" spans="2:9" ht="0" hidden="1" customHeight="1">
      <c r="B293" s="22" t="e">
        <f ca="1"/>
        <v>#NUM!</v>
      </c>
      <c r="C293" s="22" t="e">
        <f ca="1"/>
        <v>#NUM!</v>
      </c>
      <c r="D293" s="22" t="e">
        <f ca="1"/>
        <v>#NUM!</v>
      </c>
      <c r="E293" s="22" t="e">
        <f ca="1"/>
        <v>#NUM!</v>
      </c>
      <c r="F293" s="22" t="e">
        <f ca="1"/>
        <v>#NUM!</v>
      </c>
      <c r="G293" s="22" t="e">
        <f ca="1"/>
        <v>#NUM!</v>
      </c>
      <c r="H293" s="22" t="e">
        <f ca="1"/>
        <v>#NUM!</v>
      </c>
      <c r="I293" s="22" t="e">
        <f ca="1"/>
        <v>#NUM!</v>
      </c>
    </row>
    <row r="294" spans="2:9" ht="0" hidden="1" customHeight="1">
      <c r="B294" s="22" t="e">
        <f ca="1"/>
        <v>#NUM!</v>
      </c>
      <c r="C294" s="22" t="e">
        <f ca="1"/>
        <v>#NUM!</v>
      </c>
      <c r="D294" s="22" t="e">
        <f ca="1"/>
        <v>#NUM!</v>
      </c>
      <c r="E294" s="22" t="e">
        <f ca="1"/>
        <v>#NUM!</v>
      </c>
      <c r="F294" s="22" t="e">
        <f ca="1"/>
        <v>#NUM!</v>
      </c>
      <c r="G294" s="22" t="e">
        <f ca="1"/>
        <v>#NUM!</v>
      </c>
      <c r="H294" s="22" t="e">
        <f ca="1"/>
        <v>#NUM!</v>
      </c>
      <c r="I294" s="22" t="e">
        <f ca="1"/>
        <v>#NUM!</v>
      </c>
    </row>
    <row r="295" spans="2:9" ht="0" hidden="1" customHeight="1">
      <c r="B295" s="22" t="e">
        <f ca="1"/>
        <v>#NUM!</v>
      </c>
      <c r="C295" s="22" t="e">
        <f ca="1"/>
        <v>#NUM!</v>
      </c>
      <c r="D295" s="22" t="e">
        <f ca="1"/>
        <v>#NUM!</v>
      </c>
      <c r="E295" s="22" t="e">
        <f ca="1"/>
        <v>#NUM!</v>
      </c>
      <c r="F295" s="22" t="e">
        <f ca="1"/>
        <v>#NUM!</v>
      </c>
      <c r="G295" s="22" t="e">
        <f ca="1"/>
        <v>#NUM!</v>
      </c>
      <c r="H295" s="22" t="e">
        <f ca="1"/>
        <v>#NUM!</v>
      </c>
      <c r="I295" s="22" t="e">
        <f ca="1"/>
        <v>#NUM!</v>
      </c>
    </row>
    <row r="296" spans="2:9" ht="0" hidden="1" customHeight="1">
      <c r="B296" s="22" t="e">
        <f ca="1"/>
        <v>#NUM!</v>
      </c>
      <c r="C296" s="22" t="e">
        <f ca="1"/>
        <v>#NUM!</v>
      </c>
      <c r="D296" s="22" t="e">
        <f ca="1"/>
        <v>#NUM!</v>
      </c>
      <c r="E296" s="22" t="e">
        <f ca="1"/>
        <v>#NUM!</v>
      </c>
      <c r="F296" s="22" t="e">
        <f ca="1"/>
        <v>#NUM!</v>
      </c>
      <c r="G296" s="22" t="e">
        <f ca="1"/>
        <v>#NUM!</v>
      </c>
      <c r="H296" s="22" t="e">
        <f ca="1"/>
        <v>#NUM!</v>
      </c>
      <c r="I296" s="22" t="e">
        <f ca="1"/>
        <v>#NUM!</v>
      </c>
    </row>
    <row r="297" spans="2:9" ht="0" hidden="1" customHeight="1">
      <c r="B297" s="22" t="e">
        <f ca="1"/>
        <v>#NUM!</v>
      </c>
      <c r="C297" s="22" t="e">
        <f ca="1"/>
        <v>#NUM!</v>
      </c>
      <c r="D297" s="22" t="e">
        <f ca="1"/>
        <v>#NUM!</v>
      </c>
      <c r="E297" s="22" t="e">
        <f ca="1"/>
        <v>#NUM!</v>
      </c>
      <c r="F297" s="22" t="e">
        <f ca="1"/>
        <v>#NUM!</v>
      </c>
      <c r="G297" s="22" t="e">
        <f ca="1"/>
        <v>#NUM!</v>
      </c>
      <c r="H297" s="22" t="e">
        <f ca="1"/>
        <v>#NUM!</v>
      </c>
      <c r="I297" s="22" t="e">
        <f ca="1"/>
        <v>#NUM!</v>
      </c>
    </row>
    <row r="298" spans="2:9" ht="0" hidden="1" customHeight="1">
      <c r="B298" s="22" t="e">
        <f ca="1"/>
        <v>#NUM!</v>
      </c>
      <c r="C298" s="22" t="e">
        <f ca="1"/>
        <v>#NUM!</v>
      </c>
      <c r="D298" s="22" t="e">
        <f ca="1"/>
        <v>#NUM!</v>
      </c>
      <c r="E298" s="22" t="e">
        <f ca="1"/>
        <v>#NUM!</v>
      </c>
      <c r="F298" s="22" t="e">
        <f ca="1"/>
        <v>#NUM!</v>
      </c>
      <c r="G298" s="22" t="e">
        <f ca="1"/>
        <v>#NUM!</v>
      </c>
      <c r="H298" s="22" t="e">
        <f ca="1"/>
        <v>#NUM!</v>
      </c>
      <c r="I298" s="22" t="e">
        <f ca="1"/>
        <v>#NUM!</v>
      </c>
    </row>
    <row r="299" spans="2:9" ht="0" hidden="1" customHeight="1">
      <c r="B299" s="22" t="e">
        <f ca="1"/>
        <v>#NUM!</v>
      </c>
      <c r="C299" s="22" t="e">
        <f ca="1"/>
        <v>#NUM!</v>
      </c>
      <c r="D299" s="22" t="e">
        <f ca="1"/>
        <v>#NUM!</v>
      </c>
      <c r="E299" s="22" t="e">
        <f ca="1"/>
        <v>#NUM!</v>
      </c>
      <c r="F299" s="22" t="e">
        <f ca="1"/>
        <v>#NUM!</v>
      </c>
      <c r="G299" s="22" t="e">
        <f ca="1"/>
        <v>#NUM!</v>
      </c>
      <c r="H299" s="22" t="e">
        <f ca="1"/>
        <v>#NUM!</v>
      </c>
      <c r="I299" s="22" t="e">
        <f ca="1"/>
        <v>#NUM!</v>
      </c>
    </row>
    <row r="300" spans="2:9" ht="0" hidden="1" customHeight="1">
      <c r="B300" s="22" t="e">
        <f ca="1"/>
        <v>#NUM!</v>
      </c>
      <c r="C300" s="22" t="e">
        <f ca="1"/>
        <v>#NUM!</v>
      </c>
      <c r="D300" s="22" t="e">
        <f ca="1"/>
        <v>#NUM!</v>
      </c>
      <c r="E300" s="22" t="e">
        <f ca="1"/>
        <v>#NUM!</v>
      </c>
      <c r="F300" s="22" t="e">
        <f ca="1"/>
        <v>#NUM!</v>
      </c>
      <c r="G300" s="22" t="e">
        <f ca="1"/>
        <v>#NUM!</v>
      </c>
      <c r="H300" s="22" t="e">
        <f ca="1"/>
        <v>#NUM!</v>
      </c>
      <c r="I300" s="22" t="e">
        <f ca="1"/>
        <v>#NUM!</v>
      </c>
    </row>
    <row r="301" spans="2:9" ht="0" hidden="1" customHeight="1">
      <c r="B301" s="22" t="e">
        <f ca="1"/>
        <v>#NUM!</v>
      </c>
      <c r="C301" s="22" t="e">
        <f ca="1"/>
        <v>#NUM!</v>
      </c>
      <c r="D301" s="22" t="e">
        <f ca="1"/>
        <v>#NUM!</v>
      </c>
      <c r="E301" s="22" t="e">
        <f ca="1"/>
        <v>#NUM!</v>
      </c>
      <c r="F301" s="22" t="e">
        <f ca="1"/>
        <v>#NUM!</v>
      </c>
      <c r="G301" s="22" t="e">
        <f ca="1"/>
        <v>#NUM!</v>
      </c>
      <c r="H301" s="22" t="e">
        <f ca="1"/>
        <v>#NUM!</v>
      </c>
      <c r="I301" s="22" t="e">
        <f ca="1"/>
        <v>#NUM!</v>
      </c>
    </row>
    <row r="302" spans="2:9" ht="0" hidden="1" customHeight="1">
      <c r="B302" s="22" t="e">
        <f ca="1"/>
        <v>#NUM!</v>
      </c>
      <c r="C302" s="22" t="e">
        <f ca="1"/>
        <v>#NUM!</v>
      </c>
      <c r="D302" s="22" t="e">
        <f ca="1"/>
        <v>#NUM!</v>
      </c>
      <c r="E302" s="22" t="e">
        <f ca="1"/>
        <v>#NUM!</v>
      </c>
      <c r="F302" s="22" t="e">
        <f ca="1"/>
        <v>#NUM!</v>
      </c>
      <c r="G302" s="22" t="e">
        <f ca="1"/>
        <v>#NUM!</v>
      </c>
      <c r="H302" s="22" t="e">
        <f ca="1"/>
        <v>#NUM!</v>
      </c>
      <c r="I302" s="22" t="e">
        <f ca="1"/>
        <v>#NUM!</v>
      </c>
    </row>
    <row r="303" spans="2:9" ht="0" hidden="1" customHeight="1">
      <c r="B303" s="22" t="e">
        <f ca="1"/>
        <v>#NUM!</v>
      </c>
      <c r="C303" s="22" t="e">
        <f ca="1"/>
        <v>#NUM!</v>
      </c>
      <c r="D303" s="22" t="e">
        <f ca="1"/>
        <v>#NUM!</v>
      </c>
      <c r="E303" s="22" t="e">
        <f ca="1"/>
        <v>#NUM!</v>
      </c>
      <c r="F303" s="22" t="e">
        <f ca="1"/>
        <v>#NUM!</v>
      </c>
      <c r="G303" s="22" t="e">
        <f ca="1"/>
        <v>#NUM!</v>
      </c>
      <c r="H303" s="22" t="e">
        <f ca="1"/>
        <v>#NUM!</v>
      </c>
      <c r="I303" s="22" t="e">
        <f ca="1"/>
        <v>#NUM!</v>
      </c>
    </row>
    <row r="304" spans="2:9" ht="0" hidden="1" customHeight="1">
      <c r="B304" s="22" t="e">
        <f ca="1"/>
        <v>#NUM!</v>
      </c>
      <c r="C304" s="22" t="e">
        <f ca="1"/>
        <v>#NUM!</v>
      </c>
      <c r="D304" s="22" t="e">
        <f ca="1"/>
        <v>#NUM!</v>
      </c>
      <c r="E304" s="22" t="e">
        <f ca="1"/>
        <v>#NUM!</v>
      </c>
      <c r="F304" s="22" t="e">
        <f ca="1"/>
        <v>#NUM!</v>
      </c>
      <c r="G304" s="22" t="e">
        <f ca="1"/>
        <v>#NUM!</v>
      </c>
      <c r="H304" s="22" t="e">
        <f ca="1"/>
        <v>#NUM!</v>
      </c>
      <c r="I304" s="22" t="e">
        <f ca="1"/>
        <v>#NUM!</v>
      </c>
    </row>
    <row r="305" spans="2:9" ht="0" hidden="1" customHeight="1">
      <c r="B305" s="22" t="e">
        <f ca="1"/>
        <v>#NUM!</v>
      </c>
      <c r="C305" s="22" t="e">
        <f ca="1"/>
        <v>#NUM!</v>
      </c>
      <c r="D305" s="22" t="e">
        <f ca="1"/>
        <v>#NUM!</v>
      </c>
      <c r="E305" s="22" t="e">
        <f ca="1"/>
        <v>#NUM!</v>
      </c>
      <c r="F305" s="22" t="e">
        <f ca="1"/>
        <v>#NUM!</v>
      </c>
      <c r="G305" s="22" t="e">
        <f ca="1"/>
        <v>#NUM!</v>
      </c>
      <c r="H305" s="22" t="e">
        <f ca="1"/>
        <v>#NUM!</v>
      </c>
      <c r="I305" s="22" t="e">
        <f ca="1"/>
        <v>#NUM!</v>
      </c>
    </row>
    <row r="306" spans="2:9" ht="0" hidden="1" customHeight="1">
      <c r="B306" s="22" t="e">
        <f ca="1"/>
        <v>#NUM!</v>
      </c>
      <c r="C306" s="22" t="e">
        <f ca="1"/>
        <v>#NUM!</v>
      </c>
      <c r="D306" s="22" t="e">
        <f ca="1"/>
        <v>#NUM!</v>
      </c>
      <c r="E306" s="22" t="e">
        <f ca="1"/>
        <v>#NUM!</v>
      </c>
      <c r="F306" s="22" t="e">
        <f ca="1"/>
        <v>#NUM!</v>
      </c>
      <c r="G306" s="22" t="e">
        <f ca="1"/>
        <v>#NUM!</v>
      </c>
      <c r="H306" s="22" t="e">
        <f ca="1"/>
        <v>#NUM!</v>
      </c>
      <c r="I306" s="22" t="e">
        <f ca="1"/>
        <v>#NUM!</v>
      </c>
    </row>
    <row r="307" spans="2:9" ht="0" hidden="1" customHeight="1">
      <c r="B307" s="22" t="e">
        <f ca="1"/>
        <v>#NUM!</v>
      </c>
      <c r="C307" s="22" t="e">
        <f ca="1"/>
        <v>#NUM!</v>
      </c>
      <c r="D307" s="22" t="e">
        <f ca="1"/>
        <v>#NUM!</v>
      </c>
      <c r="E307" s="22" t="e">
        <f ca="1"/>
        <v>#NUM!</v>
      </c>
      <c r="F307" s="22" t="e">
        <f ca="1"/>
        <v>#NUM!</v>
      </c>
      <c r="G307" s="22" t="e">
        <f ca="1"/>
        <v>#NUM!</v>
      </c>
      <c r="H307" s="22" t="e">
        <f ca="1"/>
        <v>#NUM!</v>
      </c>
      <c r="I307" s="22" t="e">
        <f ca="1"/>
        <v>#NUM!</v>
      </c>
    </row>
    <row r="308" spans="2:9" ht="0" hidden="1" customHeight="1">
      <c r="B308" s="22" t="e">
        <f ca="1"/>
        <v>#NUM!</v>
      </c>
      <c r="C308" s="22" t="e">
        <f ca="1"/>
        <v>#NUM!</v>
      </c>
      <c r="D308" s="22" t="e">
        <f ca="1"/>
        <v>#NUM!</v>
      </c>
      <c r="E308" s="22" t="e">
        <f ca="1"/>
        <v>#NUM!</v>
      </c>
      <c r="F308" s="22" t="e">
        <f ca="1"/>
        <v>#NUM!</v>
      </c>
      <c r="G308" s="22" t="e">
        <f ca="1"/>
        <v>#NUM!</v>
      </c>
      <c r="H308" s="22" t="e">
        <f ca="1"/>
        <v>#NUM!</v>
      </c>
      <c r="I308" s="22" t="e">
        <f ca="1"/>
        <v>#NUM!</v>
      </c>
    </row>
    <row r="309" spans="2:9" ht="0" hidden="1" customHeight="1">
      <c r="B309" s="22" t="e">
        <f ca="1"/>
        <v>#NUM!</v>
      </c>
      <c r="C309" s="22" t="e">
        <f ca="1"/>
        <v>#NUM!</v>
      </c>
      <c r="D309" s="22" t="e">
        <f ca="1"/>
        <v>#NUM!</v>
      </c>
      <c r="E309" s="22" t="e">
        <f ca="1"/>
        <v>#NUM!</v>
      </c>
      <c r="F309" s="22" t="e">
        <f ca="1"/>
        <v>#NUM!</v>
      </c>
      <c r="G309" s="22" t="e">
        <f ca="1"/>
        <v>#NUM!</v>
      </c>
      <c r="H309" s="22" t="e">
        <f ca="1"/>
        <v>#NUM!</v>
      </c>
      <c r="I309" s="22" t="e">
        <f ca="1"/>
        <v>#NUM!</v>
      </c>
    </row>
    <row r="310" spans="2:9" ht="0" hidden="1" customHeight="1">
      <c r="B310" s="22" t="e">
        <f ca="1"/>
        <v>#NUM!</v>
      </c>
      <c r="C310" s="22" t="e">
        <f ca="1"/>
        <v>#NUM!</v>
      </c>
      <c r="D310" s="22" t="e">
        <f ca="1"/>
        <v>#NUM!</v>
      </c>
      <c r="E310" s="22" t="e">
        <f ca="1"/>
        <v>#NUM!</v>
      </c>
      <c r="F310" s="22" t="e">
        <f ca="1"/>
        <v>#NUM!</v>
      </c>
      <c r="G310" s="22" t="e">
        <f ca="1"/>
        <v>#NUM!</v>
      </c>
      <c r="H310" s="22" t="e">
        <f ca="1"/>
        <v>#NUM!</v>
      </c>
      <c r="I310" s="22" t="e">
        <f ca="1"/>
        <v>#NUM!</v>
      </c>
    </row>
    <row r="311" spans="2:9" ht="0" hidden="1" customHeight="1">
      <c r="B311" s="22" t="e">
        <f ca="1"/>
        <v>#NUM!</v>
      </c>
      <c r="C311" s="22" t="e">
        <f ca="1"/>
        <v>#NUM!</v>
      </c>
      <c r="D311" s="22" t="e">
        <f ca="1"/>
        <v>#NUM!</v>
      </c>
      <c r="E311" s="22" t="e">
        <f ca="1"/>
        <v>#NUM!</v>
      </c>
      <c r="F311" s="22" t="e">
        <f ca="1"/>
        <v>#NUM!</v>
      </c>
      <c r="G311" s="22" t="e">
        <f ca="1"/>
        <v>#NUM!</v>
      </c>
      <c r="H311" s="22" t="e">
        <f ca="1"/>
        <v>#NUM!</v>
      </c>
      <c r="I311" s="22" t="e">
        <f ca="1"/>
        <v>#NUM!</v>
      </c>
    </row>
    <row r="312" spans="2:9" ht="0" hidden="1" customHeight="1">
      <c r="B312" s="22" t="e">
        <f ca="1"/>
        <v>#NUM!</v>
      </c>
      <c r="C312" s="22" t="e">
        <f ca="1"/>
        <v>#NUM!</v>
      </c>
      <c r="D312" s="22" t="e">
        <f ca="1"/>
        <v>#NUM!</v>
      </c>
      <c r="E312" s="22" t="e">
        <f ca="1"/>
        <v>#NUM!</v>
      </c>
      <c r="F312" s="22" t="e">
        <f ca="1"/>
        <v>#NUM!</v>
      </c>
      <c r="G312" s="22" t="e">
        <f ca="1"/>
        <v>#NUM!</v>
      </c>
      <c r="H312" s="22" t="e">
        <f ca="1"/>
        <v>#NUM!</v>
      </c>
      <c r="I312" s="22" t="e">
        <f ca="1"/>
        <v>#NUM!</v>
      </c>
    </row>
    <row r="313" spans="2:9" ht="0" hidden="1" customHeight="1">
      <c r="B313" s="22" t="e">
        <f ca="1"/>
        <v>#NUM!</v>
      </c>
      <c r="C313" s="22" t="e">
        <f ca="1"/>
        <v>#NUM!</v>
      </c>
      <c r="D313" s="22" t="e">
        <f ca="1"/>
        <v>#NUM!</v>
      </c>
      <c r="E313" s="22" t="e">
        <f ca="1"/>
        <v>#NUM!</v>
      </c>
      <c r="F313" s="22" t="e">
        <f ca="1"/>
        <v>#NUM!</v>
      </c>
      <c r="G313" s="22" t="e">
        <f ca="1"/>
        <v>#NUM!</v>
      </c>
      <c r="H313" s="22" t="e">
        <f ca="1"/>
        <v>#NUM!</v>
      </c>
      <c r="I313" s="22" t="e">
        <f ca="1"/>
        <v>#NUM!</v>
      </c>
    </row>
    <row r="314" spans="2:9" ht="0" hidden="1" customHeight="1">
      <c r="B314" s="22" t="e">
        <f ca="1"/>
        <v>#NUM!</v>
      </c>
      <c r="C314" s="22" t="e">
        <f ca="1"/>
        <v>#NUM!</v>
      </c>
      <c r="D314" s="22" t="e">
        <f ca="1"/>
        <v>#NUM!</v>
      </c>
      <c r="E314" s="22" t="e">
        <f ca="1"/>
        <v>#NUM!</v>
      </c>
      <c r="F314" s="22" t="e">
        <f ca="1"/>
        <v>#NUM!</v>
      </c>
      <c r="G314" s="22" t="e">
        <f ca="1"/>
        <v>#NUM!</v>
      </c>
      <c r="H314" s="22" t="e">
        <f ca="1"/>
        <v>#NUM!</v>
      </c>
      <c r="I314" s="22" t="e">
        <f ca="1"/>
        <v>#NUM!</v>
      </c>
    </row>
    <row r="315" spans="2:9" ht="0" hidden="1" customHeight="1">
      <c r="B315" s="22" t="e">
        <f ca="1"/>
        <v>#NUM!</v>
      </c>
      <c r="C315" s="22" t="e">
        <f ca="1"/>
        <v>#NUM!</v>
      </c>
      <c r="D315" s="22" t="e">
        <f ca="1"/>
        <v>#NUM!</v>
      </c>
      <c r="E315" s="22" t="e">
        <f ca="1"/>
        <v>#NUM!</v>
      </c>
      <c r="F315" s="22" t="e">
        <f ca="1"/>
        <v>#NUM!</v>
      </c>
      <c r="G315" s="22" t="e">
        <f ca="1"/>
        <v>#NUM!</v>
      </c>
      <c r="H315" s="22" t="e">
        <f ca="1"/>
        <v>#NUM!</v>
      </c>
      <c r="I315" s="22" t="e">
        <f ca="1"/>
        <v>#NUM!</v>
      </c>
    </row>
    <row r="316" spans="2:9" ht="0" hidden="1" customHeight="1">
      <c r="B316" s="22" t="e">
        <f ca="1"/>
        <v>#NUM!</v>
      </c>
      <c r="C316" s="22" t="e">
        <f ca="1"/>
        <v>#NUM!</v>
      </c>
      <c r="D316" s="22" t="e">
        <f ca="1"/>
        <v>#NUM!</v>
      </c>
      <c r="E316" s="22" t="e">
        <f ca="1"/>
        <v>#NUM!</v>
      </c>
      <c r="F316" s="22" t="e">
        <f ca="1"/>
        <v>#NUM!</v>
      </c>
      <c r="G316" s="22" t="e">
        <f ca="1"/>
        <v>#NUM!</v>
      </c>
      <c r="H316" s="22" t="e">
        <f ca="1"/>
        <v>#NUM!</v>
      </c>
      <c r="I316" s="22" t="e">
        <f ca="1"/>
        <v>#NUM!</v>
      </c>
    </row>
    <row r="317" spans="2:9" ht="0" hidden="1" customHeight="1">
      <c r="B317" s="22" t="e">
        <f ca="1"/>
        <v>#NUM!</v>
      </c>
      <c r="C317" s="22" t="e">
        <f ca="1"/>
        <v>#NUM!</v>
      </c>
      <c r="D317" s="22" t="e">
        <f ca="1"/>
        <v>#NUM!</v>
      </c>
      <c r="E317" s="22" t="e">
        <f ca="1"/>
        <v>#NUM!</v>
      </c>
      <c r="F317" s="22" t="e">
        <f ca="1"/>
        <v>#NUM!</v>
      </c>
      <c r="G317" s="22" t="e">
        <f ca="1"/>
        <v>#NUM!</v>
      </c>
      <c r="H317" s="22" t="e">
        <f ca="1"/>
        <v>#NUM!</v>
      </c>
      <c r="I317" s="22" t="e">
        <f ca="1"/>
        <v>#NUM!</v>
      </c>
    </row>
    <row r="318" spans="2:9" ht="0" hidden="1" customHeight="1">
      <c r="B318" s="22" t="e">
        <f ca="1"/>
        <v>#NUM!</v>
      </c>
      <c r="C318" s="22" t="e">
        <f ca="1"/>
        <v>#NUM!</v>
      </c>
      <c r="D318" s="22" t="e">
        <f ca="1"/>
        <v>#NUM!</v>
      </c>
      <c r="E318" s="22" t="e">
        <f ca="1"/>
        <v>#NUM!</v>
      </c>
      <c r="F318" s="22" t="e">
        <f ca="1"/>
        <v>#NUM!</v>
      </c>
      <c r="G318" s="22" t="e">
        <f ca="1"/>
        <v>#NUM!</v>
      </c>
      <c r="H318" s="22" t="e">
        <f ca="1"/>
        <v>#NUM!</v>
      </c>
      <c r="I318" s="22" t="e">
        <f ca="1"/>
        <v>#NUM!</v>
      </c>
    </row>
    <row r="319" spans="2:9" ht="0" hidden="1" customHeight="1">
      <c r="B319" s="22" t="e">
        <f ca="1"/>
        <v>#NUM!</v>
      </c>
      <c r="C319" s="22" t="e">
        <f ca="1"/>
        <v>#NUM!</v>
      </c>
      <c r="D319" s="22" t="e">
        <f ca="1"/>
        <v>#NUM!</v>
      </c>
      <c r="E319" s="22" t="e">
        <f ca="1"/>
        <v>#NUM!</v>
      </c>
      <c r="F319" s="22" t="e">
        <f ca="1"/>
        <v>#NUM!</v>
      </c>
      <c r="G319" s="22" t="e">
        <f ca="1"/>
        <v>#NUM!</v>
      </c>
      <c r="H319" s="22" t="e">
        <f ca="1"/>
        <v>#NUM!</v>
      </c>
      <c r="I319" s="22" t="e">
        <f ca="1"/>
        <v>#NUM!</v>
      </c>
    </row>
    <row r="320" spans="2:9" ht="0" hidden="1" customHeight="1">
      <c r="B320" s="22" t="e">
        <f ca="1"/>
        <v>#NUM!</v>
      </c>
      <c r="C320" s="22" t="e">
        <f ca="1"/>
        <v>#NUM!</v>
      </c>
      <c r="D320" s="22" t="e">
        <f ca="1"/>
        <v>#NUM!</v>
      </c>
      <c r="E320" s="22" t="e">
        <f ca="1"/>
        <v>#NUM!</v>
      </c>
      <c r="F320" s="22" t="e">
        <f ca="1"/>
        <v>#NUM!</v>
      </c>
      <c r="G320" s="22" t="e">
        <f ca="1"/>
        <v>#NUM!</v>
      </c>
      <c r="H320" s="22" t="e">
        <f ca="1"/>
        <v>#NUM!</v>
      </c>
      <c r="I320" s="22" t="e">
        <f ca="1"/>
        <v>#NUM!</v>
      </c>
    </row>
    <row r="321" spans="2:9" ht="0" hidden="1" customHeight="1">
      <c r="B321" s="22" t="e">
        <f ca="1"/>
        <v>#NUM!</v>
      </c>
      <c r="C321" s="22" t="e">
        <f ca="1"/>
        <v>#NUM!</v>
      </c>
      <c r="D321" s="22" t="e">
        <f ca="1"/>
        <v>#NUM!</v>
      </c>
      <c r="E321" s="22" t="e">
        <f ca="1"/>
        <v>#NUM!</v>
      </c>
      <c r="F321" s="22" t="e">
        <f ca="1"/>
        <v>#NUM!</v>
      </c>
      <c r="G321" s="22" t="e">
        <f ca="1"/>
        <v>#NUM!</v>
      </c>
      <c r="H321" s="22" t="e">
        <f ca="1"/>
        <v>#NUM!</v>
      </c>
      <c r="I321" s="22" t="e">
        <f ca="1"/>
        <v>#NUM!</v>
      </c>
    </row>
    <row r="322" spans="2:9" ht="0" hidden="1" customHeight="1">
      <c r="B322" s="22" t="e">
        <f ca="1"/>
        <v>#NUM!</v>
      </c>
      <c r="C322" s="22" t="e">
        <f ca="1"/>
        <v>#NUM!</v>
      </c>
      <c r="D322" s="22" t="e">
        <f ca="1"/>
        <v>#NUM!</v>
      </c>
      <c r="E322" s="22" t="e">
        <f ca="1"/>
        <v>#NUM!</v>
      </c>
      <c r="F322" s="22" t="e">
        <f ca="1"/>
        <v>#NUM!</v>
      </c>
      <c r="G322" s="22" t="e">
        <f ca="1"/>
        <v>#NUM!</v>
      </c>
      <c r="H322" s="22" t="e">
        <f ca="1"/>
        <v>#NUM!</v>
      </c>
      <c r="I322" s="22" t="e">
        <f ca="1"/>
        <v>#NUM!</v>
      </c>
    </row>
    <row r="323" spans="2:9" ht="0" hidden="1" customHeight="1">
      <c r="B323" s="22" t="e">
        <f ca="1"/>
        <v>#NUM!</v>
      </c>
      <c r="C323" s="22" t="e">
        <f ca="1"/>
        <v>#NUM!</v>
      </c>
      <c r="D323" s="22" t="e">
        <f ca="1"/>
        <v>#NUM!</v>
      </c>
      <c r="E323" s="22" t="e">
        <f ca="1"/>
        <v>#NUM!</v>
      </c>
      <c r="F323" s="22" t="e">
        <f ca="1"/>
        <v>#NUM!</v>
      </c>
      <c r="G323" s="22" t="e">
        <f ca="1"/>
        <v>#NUM!</v>
      </c>
      <c r="H323" s="22" t="e">
        <f ca="1"/>
        <v>#NUM!</v>
      </c>
      <c r="I323" s="22" t="e">
        <f ca="1"/>
        <v>#NUM!</v>
      </c>
    </row>
    <row r="324" spans="2:9" ht="0" hidden="1" customHeight="1">
      <c r="B324" s="22" t="e">
        <f ca="1"/>
        <v>#NUM!</v>
      </c>
      <c r="C324" s="22" t="e">
        <f ca="1"/>
        <v>#NUM!</v>
      </c>
      <c r="D324" s="22" t="e">
        <f ca="1"/>
        <v>#NUM!</v>
      </c>
      <c r="E324" s="22" t="e">
        <f ca="1"/>
        <v>#NUM!</v>
      </c>
      <c r="F324" s="22" t="e">
        <f ca="1"/>
        <v>#NUM!</v>
      </c>
      <c r="G324" s="22" t="e">
        <f ca="1"/>
        <v>#NUM!</v>
      </c>
      <c r="H324" s="22" t="e">
        <f ca="1"/>
        <v>#NUM!</v>
      </c>
      <c r="I324" s="22" t="e">
        <f ca="1"/>
        <v>#NUM!</v>
      </c>
    </row>
    <row r="325" spans="2:9" ht="0" hidden="1" customHeight="1">
      <c r="B325" s="22" t="e">
        <f ca="1"/>
        <v>#NUM!</v>
      </c>
      <c r="C325" s="22" t="e">
        <f ca="1"/>
        <v>#NUM!</v>
      </c>
      <c r="D325" s="22" t="e">
        <f ca="1"/>
        <v>#NUM!</v>
      </c>
      <c r="E325" s="22" t="e">
        <f ca="1"/>
        <v>#NUM!</v>
      </c>
      <c r="F325" s="22" t="e">
        <f ca="1"/>
        <v>#NUM!</v>
      </c>
      <c r="G325" s="22" t="e">
        <f ca="1"/>
        <v>#NUM!</v>
      </c>
      <c r="H325" s="22" t="e">
        <f ca="1"/>
        <v>#NUM!</v>
      </c>
      <c r="I325" s="22" t="e">
        <f ca="1"/>
        <v>#NUM!</v>
      </c>
    </row>
    <row r="326" spans="2:9" ht="0" hidden="1" customHeight="1">
      <c r="B326" s="22" t="e">
        <f ca="1"/>
        <v>#NUM!</v>
      </c>
      <c r="C326" s="22" t="e">
        <f ca="1"/>
        <v>#NUM!</v>
      </c>
      <c r="D326" s="22" t="e">
        <f ca="1"/>
        <v>#NUM!</v>
      </c>
      <c r="E326" s="22" t="e">
        <f ca="1"/>
        <v>#NUM!</v>
      </c>
      <c r="F326" s="22" t="e">
        <f ca="1"/>
        <v>#NUM!</v>
      </c>
      <c r="G326" s="22" t="e">
        <f ca="1"/>
        <v>#NUM!</v>
      </c>
      <c r="H326" s="22" t="e">
        <f ca="1"/>
        <v>#NUM!</v>
      </c>
      <c r="I326" s="22" t="e">
        <f ca="1"/>
        <v>#NUM!</v>
      </c>
    </row>
    <row r="327" spans="2:9" ht="0" hidden="1" customHeight="1">
      <c r="B327" s="22" t="e">
        <f ca="1"/>
        <v>#NUM!</v>
      </c>
      <c r="C327" s="22" t="e">
        <f ca="1"/>
        <v>#NUM!</v>
      </c>
      <c r="D327" s="22" t="e">
        <f ca="1"/>
        <v>#NUM!</v>
      </c>
      <c r="E327" s="22" t="e">
        <f ca="1"/>
        <v>#NUM!</v>
      </c>
      <c r="F327" s="22" t="e">
        <f ca="1"/>
        <v>#NUM!</v>
      </c>
      <c r="G327" s="22" t="e">
        <f ca="1"/>
        <v>#NUM!</v>
      </c>
      <c r="H327" s="22" t="e">
        <f ca="1"/>
        <v>#NUM!</v>
      </c>
      <c r="I327" s="22" t="e">
        <f ca="1"/>
        <v>#NUM!</v>
      </c>
    </row>
    <row r="328" spans="2:9" ht="0" hidden="1" customHeight="1">
      <c r="B328" s="22" t="e">
        <f ca="1"/>
        <v>#NUM!</v>
      </c>
      <c r="C328" s="22" t="e">
        <f ca="1"/>
        <v>#NUM!</v>
      </c>
      <c r="D328" s="22" t="e">
        <f ca="1"/>
        <v>#NUM!</v>
      </c>
      <c r="E328" s="22" t="e">
        <f ca="1"/>
        <v>#NUM!</v>
      </c>
      <c r="F328" s="22" t="e">
        <f ca="1"/>
        <v>#NUM!</v>
      </c>
      <c r="G328" s="22" t="e">
        <f ca="1"/>
        <v>#NUM!</v>
      </c>
      <c r="H328" s="22" t="e">
        <f ca="1"/>
        <v>#NUM!</v>
      </c>
      <c r="I328" s="22" t="e">
        <f ca="1"/>
        <v>#NUM!</v>
      </c>
    </row>
    <row r="329" spans="2:9" ht="0" hidden="1" customHeight="1">
      <c r="B329" s="22" t="e">
        <f ca="1"/>
        <v>#NUM!</v>
      </c>
      <c r="C329" s="22" t="e">
        <f ca="1"/>
        <v>#NUM!</v>
      </c>
      <c r="D329" s="22" t="e">
        <f ca="1"/>
        <v>#NUM!</v>
      </c>
      <c r="E329" s="22" t="e">
        <f ca="1"/>
        <v>#NUM!</v>
      </c>
      <c r="F329" s="22" t="e">
        <f ca="1"/>
        <v>#NUM!</v>
      </c>
      <c r="G329" s="22" t="e">
        <f ca="1"/>
        <v>#NUM!</v>
      </c>
      <c r="H329" s="22" t="e">
        <f ca="1"/>
        <v>#NUM!</v>
      </c>
      <c r="I329" s="22" t="e">
        <f ca="1"/>
        <v>#NUM!</v>
      </c>
    </row>
    <row r="330" spans="2:9" ht="0" hidden="1" customHeight="1">
      <c r="B330" s="22" t="e">
        <f ca="1"/>
        <v>#NUM!</v>
      </c>
      <c r="C330" s="22" t="e">
        <f ca="1"/>
        <v>#NUM!</v>
      </c>
      <c r="D330" s="22" t="e">
        <f ca="1"/>
        <v>#NUM!</v>
      </c>
      <c r="E330" s="22" t="e">
        <f ca="1"/>
        <v>#NUM!</v>
      </c>
      <c r="F330" s="22" t="e">
        <f ca="1"/>
        <v>#NUM!</v>
      </c>
      <c r="G330" s="22" t="e">
        <f ca="1"/>
        <v>#NUM!</v>
      </c>
      <c r="H330" s="22" t="e">
        <f ca="1"/>
        <v>#NUM!</v>
      </c>
      <c r="I330" s="22" t="e">
        <f ca="1"/>
        <v>#NUM!</v>
      </c>
    </row>
    <row r="331" spans="2:9" ht="0" hidden="1" customHeight="1">
      <c r="B331" s="22" t="e">
        <f ca="1"/>
        <v>#NUM!</v>
      </c>
      <c r="C331" s="22" t="e">
        <f ca="1"/>
        <v>#NUM!</v>
      </c>
      <c r="D331" s="22" t="e">
        <f ca="1"/>
        <v>#NUM!</v>
      </c>
      <c r="E331" s="22" t="e">
        <f ca="1"/>
        <v>#NUM!</v>
      </c>
      <c r="F331" s="22" t="e">
        <f ca="1"/>
        <v>#NUM!</v>
      </c>
      <c r="G331" s="22" t="e">
        <f ca="1"/>
        <v>#NUM!</v>
      </c>
      <c r="H331" s="22" t="e">
        <f ca="1"/>
        <v>#NUM!</v>
      </c>
      <c r="I331" s="22" t="e">
        <f ca="1"/>
        <v>#NUM!</v>
      </c>
    </row>
    <row r="332" spans="2:9" ht="0" hidden="1" customHeight="1">
      <c r="B332" s="22" t="e">
        <f ca="1"/>
        <v>#NUM!</v>
      </c>
      <c r="C332" s="22" t="e">
        <f ca="1"/>
        <v>#NUM!</v>
      </c>
      <c r="D332" s="22" t="e">
        <f ca="1"/>
        <v>#NUM!</v>
      </c>
      <c r="E332" s="22" t="e">
        <f ca="1"/>
        <v>#NUM!</v>
      </c>
      <c r="F332" s="22" t="e">
        <f ca="1"/>
        <v>#NUM!</v>
      </c>
      <c r="G332" s="22" t="e">
        <f ca="1"/>
        <v>#NUM!</v>
      </c>
      <c r="H332" s="22" t="e">
        <f ca="1"/>
        <v>#NUM!</v>
      </c>
      <c r="I332" s="22" t="e">
        <f ca="1"/>
        <v>#NUM!</v>
      </c>
    </row>
    <row r="333" spans="2:9" ht="0" hidden="1" customHeight="1">
      <c r="B333" s="22" t="e">
        <f ca="1"/>
        <v>#NUM!</v>
      </c>
      <c r="C333" s="22" t="e">
        <f ca="1"/>
        <v>#NUM!</v>
      </c>
      <c r="D333" s="22" t="e">
        <f ca="1"/>
        <v>#NUM!</v>
      </c>
      <c r="E333" s="22" t="e">
        <f ca="1"/>
        <v>#NUM!</v>
      </c>
      <c r="F333" s="22" t="e">
        <f ca="1"/>
        <v>#NUM!</v>
      </c>
      <c r="G333" s="22" t="e">
        <f ca="1"/>
        <v>#NUM!</v>
      </c>
      <c r="H333" s="22" t="e">
        <f ca="1"/>
        <v>#NUM!</v>
      </c>
      <c r="I333" s="22" t="e">
        <f ca="1"/>
        <v>#NUM!</v>
      </c>
    </row>
    <row r="334" spans="2:9" ht="0" hidden="1" customHeight="1">
      <c r="B334" s="22" t="e">
        <f ca="1"/>
        <v>#NUM!</v>
      </c>
      <c r="C334" s="22" t="e">
        <f ca="1"/>
        <v>#NUM!</v>
      </c>
      <c r="D334" s="22" t="e">
        <f ca="1"/>
        <v>#NUM!</v>
      </c>
      <c r="E334" s="22" t="e">
        <f ca="1"/>
        <v>#NUM!</v>
      </c>
      <c r="F334" s="22" t="e">
        <f ca="1"/>
        <v>#NUM!</v>
      </c>
      <c r="G334" s="22" t="e">
        <f ca="1"/>
        <v>#NUM!</v>
      </c>
      <c r="H334" s="22" t="e">
        <f ca="1"/>
        <v>#NUM!</v>
      </c>
      <c r="I334" s="22" t="e">
        <f ca="1"/>
        <v>#NUM!</v>
      </c>
    </row>
    <row r="335" spans="2:9" ht="0" hidden="1" customHeight="1">
      <c r="B335" s="22" t="e">
        <f ca="1"/>
        <v>#NUM!</v>
      </c>
      <c r="C335" s="22" t="e">
        <f ca="1"/>
        <v>#NUM!</v>
      </c>
      <c r="D335" s="22" t="e">
        <f ca="1"/>
        <v>#NUM!</v>
      </c>
      <c r="E335" s="22" t="e">
        <f ca="1"/>
        <v>#NUM!</v>
      </c>
      <c r="F335" s="22" t="e">
        <f ca="1"/>
        <v>#NUM!</v>
      </c>
      <c r="G335" s="22" t="e">
        <f ca="1"/>
        <v>#NUM!</v>
      </c>
      <c r="H335" s="22" t="e">
        <f ca="1"/>
        <v>#NUM!</v>
      </c>
      <c r="I335" s="22" t="e">
        <f ca="1"/>
        <v>#NUM!</v>
      </c>
    </row>
    <row r="336" spans="2:9" ht="0" hidden="1" customHeight="1">
      <c r="B336" s="22" t="e">
        <f ca="1"/>
        <v>#NUM!</v>
      </c>
      <c r="C336" s="22" t="e">
        <f ca="1"/>
        <v>#NUM!</v>
      </c>
      <c r="D336" s="22" t="e">
        <f ca="1"/>
        <v>#NUM!</v>
      </c>
      <c r="E336" s="22" t="e">
        <f ca="1"/>
        <v>#NUM!</v>
      </c>
      <c r="F336" s="22" t="e">
        <f ca="1"/>
        <v>#NUM!</v>
      </c>
      <c r="G336" s="22" t="e">
        <f ca="1"/>
        <v>#NUM!</v>
      </c>
      <c r="H336" s="22" t="e">
        <f ca="1"/>
        <v>#NUM!</v>
      </c>
      <c r="I336" s="22" t="e">
        <f ca="1"/>
        <v>#NUM!</v>
      </c>
    </row>
    <row r="337" spans="2:9" ht="0" hidden="1" customHeight="1">
      <c r="B337" s="22" t="e">
        <f ca="1"/>
        <v>#NUM!</v>
      </c>
      <c r="C337" s="22" t="e">
        <f ca="1"/>
        <v>#NUM!</v>
      </c>
      <c r="D337" s="22" t="e">
        <f ca="1"/>
        <v>#NUM!</v>
      </c>
      <c r="E337" s="22" t="e">
        <f ca="1"/>
        <v>#NUM!</v>
      </c>
      <c r="F337" s="22" t="e">
        <f ca="1"/>
        <v>#NUM!</v>
      </c>
      <c r="G337" s="22" t="e">
        <f ca="1"/>
        <v>#NUM!</v>
      </c>
      <c r="H337" s="22" t="e">
        <f ca="1"/>
        <v>#NUM!</v>
      </c>
      <c r="I337" s="22" t="e">
        <f ca="1"/>
        <v>#NUM!</v>
      </c>
    </row>
    <row r="338" spans="2:9" ht="0" hidden="1" customHeight="1">
      <c r="B338" s="22" t="e">
        <f ca="1"/>
        <v>#NUM!</v>
      </c>
      <c r="C338" s="22" t="e">
        <f ca="1"/>
        <v>#NUM!</v>
      </c>
      <c r="D338" s="22" t="e">
        <f ca="1"/>
        <v>#NUM!</v>
      </c>
      <c r="E338" s="22" t="e">
        <f ca="1"/>
        <v>#NUM!</v>
      </c>
      <c r="F338" s="22" t="e">
        <f ca="1"/>
        <v>#NUM!</v>
      </c>
      <c r="G338" s="22" t="e">
        <f ca="1"/>
        <v>#NUM!</v>
      </c>
      <c r="H338" s="22" t="e">
        <f ca="1"/>
        <v>#NUM!</v>
      </c>
      <c r="I338" s="22" t="e">
        <f ca="1"/>
        <v>#NUM!</v>
      </c>
    </row>
    <row r="339" spans="2:9" ht="0" hidden="1" customHeight="1">
      <c r="B339" s="22" t="e">
        <f ca="1"/>
        <v>#NUM!</v>
      </c>
      <c r="C339" s="22" t="e">
        <f ca="1"/>
        <v>#NUM!</v>
      </c>
      <c r="D339" s="22" t="e">
        <f ca="1"/>
        <v>#NUM!</v>
      </c>
      <c r="E339" s="22" t="e">
        <f ca="1"/>
        <v>#NUM!</v>
      </c>
      <c r="F339" s="22" t="e">
        <f ca="1"/>
        <v>#NUM!</v>
      </c>
      <c r="G339" s="22" t="e">
        <f ca="1"/>
        <v>#NUM!</v>
      </c>
      <c r="H339" s="22" t="e">
        <f ca="1"/>
        <v>#NUM!</v>
      </c>
      <c r="I339" s="22" t="e">
        <f ca="1"/>
        <v>#NUM!</v>
      </c>
    </row>
    <row r="340" spans="2:9" ht="0" hidden="1" customHeight="1">
      <c r="B340" s="22" t="e">
        <f ca="1"/>
        <v>#NUM!</v>
      </c>
      <c r="C340" s="22" t="e">
        <f ca="1"/>
        <v>#NUM!</v>
      </c>
      <c r="D340" s="22" t="e">
        <f ca="1"/>
        <v>#NUM!</v>
      </c>
      <c r="E340" s="22" t="e">
        <f ca="1"/>
        <v>#NUM!</v>
      </c>
      <c r="F340" s="22" t="e">
        <f ca="1"/>
        <v>#NUM!</v>
      </c>
      <c r="G340" s="22" t="e">
        <f ca="1"/>
        <v>#NUM!</v>
      </c>
      <c r="H340" s="22" t="e">
        <f ca="1"/>
        <v>#NUM!</v>
      </c>
      <c r="I340" s="22" t="e">
        <f ca="1"/>
        <v>#NUM!</v>
      </c>
    </row>
    <row r="341" spans="2:9" ht="0" hidden="1" customHeight="1">
      <c r="B341" s="22" t="e">
        <f ca="1"/>
        <v>#NUM!</v>
      </c>
      <c r="C341" s="22" t="e">
        <f ca="1"/>
        <v>#NUM!</v>
      </c>
      <c r="D341" s="22" t="e">
        <f ca="1"/>
        <v>#NUM!</v>
      </c>
      <c r="E341" s="22" t="e">
        <f ca="1"/>
        <v>#NUM!</v>
      </c>
      <c r="F341" s="22" t="e">
        <f ca="1"/>
        <v>#NUM!</v>
      </c>
      <c r="G341" s="22" t="e">
        <f ca="1"/>
        <v>#NUM!</v>
      </c>
      <c r="H341" s="22" t="e">
        <f ca="1"/>
        <v>#NUM!</v>
      </c>
      <c r="I341" s="22" t="e">
        <f ca="1"/>
        <v>#NUM!</v>
      </c>
    </row>
    <row r="342" spans="2:9" ht="0" hidden="1" customHeight="1">
      <c r="B342" s="22" t="e">
        <f ca="1"/>
        <v>#NUM!</v>
      </c>
      <c r="C342" s="22" t="e">
        <f ca="1"/>
        <v>#NUM!</v>
      </c>
      <c r="D342" s="22" t="e">
        <f ca="1"/>
        <v>#NUM!</v>
      </c>
      <c r="E342" s="22" t="e">
        <f ca="1"/>
        <v>#NUM!</v>
      </c>
      <c r="F342" s="22" t="e">
        <f ca="1"/>
        <v>#NUM!</v>
      </c>
      <c r="G342" s="22" t="e">
        <f ca="1"/>
        <v>#NUM!</v>
      </c>
      <c r="H342" s="22" t="e">
        <f ca="1"/>
        <v>#NUM!</v>
      </c>
      <c r="I342" s="22" t="e">
        <f ca="1"/>
        <v>#NUM!</v>
      </c>
    </row>
    <row r="343" spans="2:9" ht="0" hidden="1" customHeight="1">
      <c r="B343" s="22" t="e">
        <f ca="1"/>
        <v>#NUM!</v>
      </c>
      <c r="C343" s="22" t="e">
        <f ca="1"/>
        <v>#NUM!</v>
      </c>
      <c r="D343" s="22" t="e">
        <f ca="1"/>
        <v>#NUM!</v>
      </c>
      <c r="E343" s="22" t="e">
        <f ca="1"/>
        <v>#NUM!</v>
      </c>
      <c r="F343" s="22" t="e">
        <f ca="1"/>
        <v>#NUM!</v>
      </c>
      <c r="G343" s="22" t="e">
        <f ca="1"/>
        <v>#NUM!</v>
      </c>
      <c r="H343" s="22" t="e">
        <f ca="1"/>
        <v>#NUM!</v>
      </c>
      <c r="I343" s="22" t="e">
        <f ca="1"/>
        <v>#NUM!</v>
      </c>
    </row>
    <row r="344" spans="2:9" ht="0" hidden="1" customHeight="1">
      <c r="B344" s="22" t="e">
        <f ca="1"/>
        <v>#NUM!</v>
      </c>
      <c r="C344" s="22" t="e">
        <f ca="1"/>
        <v>#NUM!</v>
      </c>
      <c r="D344" s="22" t="e">
        <f ca="1"/>
        <v>#NUM!</v>
      </c>
      <c r="E344" s="22" t="e">
        <f ca="1"/>
        <v>#NUM!</v>
      </c>
      <c r="F344" s="22" t="e">
        <f ca="1"/>
        <v>#NUM!</v>
      </c>
      <c r="G344" s="22" t="e">
        <f ca="1"/>
        <v>#NUM!</v>
      </c>
      <c r="H344" s="22" t="e">
        <f ca="1"/>
        <v>#NUM!</v>
      </c>
      <c r="I344" s="22" t="e">
        <f ca="1"/>
        <v>#NUM!</v>
      </c>
    </row>
    <row r="345" spans="2:9" ht="0" hidden="1" customHeight="1">
      <c r="B345" s="22" t="e">
        <f ca="1"/>
        <v>#NUM!</v>
      </c>
      <c r="C345" s="22" t="e">
        <f ca="1"/>
        <v>#NUM!</v>
      </c>
      <c r="D345" s="22" t="e">
        <f ca="1"/>
        <v>#NUM!</v>
      </c>
      <c r="E345" s="22" t="e">
        <f ca="1"/>
        <v>#NUM!</v>
      </c>
      <c r="F345" s="22" t="e">
        <f ca="1"/>
        <v>#NUM!</v>
      </c>
      <c r="G345" s="22" t="e">
        <f ca="1"/>
        <v>#NUM!</v>
      </c>
      <c r="H345" s="22" t="e">
        <f ca="1"/>
        <v>#NUM!</v>
      </c>
      <c r="I345" s="22" t="e">
        <f ca="1"/>
        <v>#NUM!</v>
      </c>
    </row>
    <row r="346" spans="2:9" ht="0" hidden="1" customHeight="1">
      <c r="B346" s="22" t="e">
        <f ca="1"/>
        <v>#NUM!</v>
      </c>
      <c r="C346" s="22" t="e">
        <f ca="1"/>
        <v>#NUM!</v>
      </c>
      <c r="D346" s="22" t="e">
        <f ca="1"/>
        <v>#NUM!</v>
      </c>
      <c r="E346" s="22" t="e">
        <f ca="1"/>
        <v>#NUM!</v>
      </c>
      <c r="F346" s="22" t="e">
        <f ca="1"/>
        <v>#NUM!</v>
      </c>
      <c r="G346" s="22" t="e">
        <f ca="1"/>
        <v>#NUM!</v>
      </c>
      <c r="H346" s="22" t="e">
        <f ca="1"/>
        <v>#NUM!</v>
      </c>
      <c r="I346" s="22" t="e">
        <f ca="1"/>
        <v>#NUM!</v>
      </c>
    </row>
    <row r="347" spans="2:9" ht="0" hidden="1" customHeight="1">
      <c r="B347" s="22" t="e">
        <f ca="1"/>
        <v>#NUM!</v>
      </c>
      <c r="C347" s="22" t="e">
        <f ca="1"/>
        <v>#NUM!</v>
      </c>
      <c r="D347" s="22" t="e">
        <f ca="1"/>
        <v>#NUM!</v>
      </c>
      <c r="E347" s="22" t="e">
        <f ca="1"/>
        <v>#NUM!</v>
      </c>
      <c r="F347" s="22" t="e">
        <f ca="1"/>
        <v>#NUM!</v>
      </c>
      <c r="G347" s="22" t="e">
        <f ca="1"/>
        <v>#NUM!</v>
      </c>
      <c r="H347" s="22" t="e">
        <f ca="1"/>
        <v>#NUM!</v>
      </c>
      <c r="I347" s="22" t="e">
        <f ca="1"/>
        <v>#NUM!</v>
      </c>
    </row>
    <row r="348" spans="2:9" ht="0" hidden="1" customHeight="1">
      <c r="B348" s="22" t="e">
        <f ca="1"/>
        <v>#NUM!</v>
      </c>
      <c r="C348" s="22" t="e">
        <f ca="1"/>
        <v>#NUM!</v>
      </c>
      <c r="D348" s="22" t="e">
        <f ca="1"/>
        <v>#NUM!</v>
      </c>
      <c r="E348" s="22" t="e">
        <f ca="1"/>
        <v>#NUM!</v>
      </c>
      <c r="F348" s="22" t="e">
        <f ca="1"/>
        <v>#NUM!</v>
      </c>
      <c r="G348" s="22" t="e">
        <f ca="1"/>
        <v>#NUM!</v>
      </c>
      <c r="H348" s="22" t="e">
        <f ca="1"/>
        <v>#NUM!</v>
      </c>
      <c r="I348" s="22" t="e">
        <f ca="1"/>
        <v>#NUM!</v>
      </c>
    </row>
    <row r="349" spans="2:9" ht="0" hidden="1" customHeight="1">
      <c r="B349" s="22" t="e">
        <f ca="1"/>
        <v>#NUM!</v>
      </c>
      <c r="C349" s="22" t="e">
        <f ca="1"/>
        <v>#NUM!</v>
      </c>
      <c r="D349" s="22" t="e">
        <f ca="1"/>
        <v>#NUM!</v>
      </c>
      <c r="E349" s="22" t="e">
        <f ca="1"/>
        <v>#NUM!</v>
      </c>
      <c r="F349" s="22" t="e">
        <f ca="1"/>
        <v>#NUM!</v>
      </c>
      <c r="G349" s="22" t="e">
        <f ca="1"/>
        <v>#NUM!</v>
      </c>
      <c r="H349" s="22" t="e">
        <f ca="1"/>
        <v>#NUM!</v>
      </c>
      <c r="I349" s="22" t="e">
        <f ca="1"/>
        <v>#NUM!</v>
      </c>
    </row>
    <row r="350" spans="2:9" ht="0" hidden="1" customHeight="1">
      <c r="B350" s="22" t="e">
        <f ca="1"/>
        <v>#NUM!</v>
      </c>
      <c r="C350" s="22" t="e">
        <f ca="1"/>
        <v>#NUM!</v>
      </c>
      <c r="D350" s="22" t="e">
        <f ca="1"/>
        <v>#NUM!</v>
      </c>
      <c r="E350" s="22" t="e">
        <f ca="1"/>
        <v>#NUM!</v>
      </c>
      <c r="F350" s="22" t="e">
        <f ca="1"/>
        <v>#NUM!</v>
      </c>
      <c r="G350" s="22" t="e">
        <f ca="1"/>
        <v>#NUM!</v>
      </c>
      <c r="H350" s="22" t="e">
        <f ca="1"/>
        <v>#NUM!</v>
      </c>
      <c r="I350" s="22" t="e">
        <f ca="1"/>
        <v>#NUM!</v>
      </c>
    </row>
    <row r="351" spans="2:9" ht="0" hidden="1" customHeight="1">
      <c r="B351" s="22" t="e">
        <f ca="1"/>
        <v>#NUM!</v>
      </c>
      <c r="C351" s="22" t="e">
        <f ca="1"/>
        <v>#NUM!</v>
      </c>
      <c r="D351" s="22" t="e">
        <f ca="1"/>
        <v>#NUM!</v>
      </c>
      <c r="E351" s="22" t="e">
        <f ca="1"/>
        <v>#NUM!</v>
      </c>
      <c r="F351" s="22" t="e">
        <f ca="1"/>
        <v>#NUM!</v>
      </c>
      <c r="G351" s="22" t="e">
        <f ca="1"/>
        <v>#NUM!</v>
      </c>
      <c r="H351" s="22" t="e">
        <f ca="1"/>
        <v>#NUM!</v>
      </c>
      <c r="I351" s="22" t="e">
        <f ca="1"/>
        <v>#NUM!</v>
      </c>
    </row>
    <row r="352" spans="2:9" ht="0" hidden="1" customHeight="1">
      <c r="B352" s="22" t="e">
        <f ca="1"/>
        <v>#NUM!</v>
      </c>
      <c r="C352" s="22" t="e">
        <f ca="1"/>
        <v>#NUM!</v>
      </c>
      <c r="D352" s="22" t="e">
        <f ca="1"/>
        <v>#NUM!</v>
      </c>
      <c r="E352" s="22" t="e">
        <f ca="1"/>
        <v>#NUM!</v>
      </c>
      <c r="F352" s="22" t="e">
        <f ca="1"/>
        <v>#NUM!</v>
      </c>
      <c r="G352" s="22" t="e">
        <f ca="1"/>
        <v>#NUM!</v>
      </c>
      <c r="H352" s="22" t="e">
        <f ca="1"/>
        <v>#NUM!</v>
      </c>
      <c r="I352" s="22" t="e">
        <f ca="1"/>
        <v>#NUM!</v>
      </c>
    </row>
    <row r="353" spans="2:9" ht="0" hidden="1" customHeight="1">
      <c r="B353" s="22" t="e">
        <f ca="1"/>
        <v>#NUM!</v>
      </c>
      <c r="C353" s="22" t="e">
        <f ca="1"/>
        <v>#NUM!</v>
      </c>
      <c r="D353" s="22" t="e">
        <f ca="1"/>
        <v>#NUM!</v>
      </c>
      <c r="E353" s="22" t="e">
        <f ca="1"/>
        <v>#NUM!</v>
      </c>
      <c r="F353" s="22" t="e">
        <f ca="1"/>
        <v>#NUM!</v>
      </c>
      <c r="G353" s="22" t="e">
        <f ca="1"/>
        <v>#NUM!</v>
      </c>
      <c r="H353" s="22" t="e">
        <f ca="1"/>
        <v>#NUM!</v>
      </c>
      <c r="I353" s="22" t="e">
        <f ca="1"/>
        <v>#NUM!</v>
      </c>
    </row>
    <row r="354" spans="2:9" ht="0" hidden="1" customHeight="1">
      <c r="B354" s="22" t="e">
        <f ca="1"/>
        <v>#NUM!</v>
      </c>
      <c r="C354" s="22" t="e">
        <f ca="1"/>
        <v>#NUM!</v>
      </c>
      <c r="D354" s="22" t="e">
        <f ca="1"/>
        <v>#NUM!</v>
      </c>
      <c r="E354" s="22" t="e">
        <f ca="1"/>
        <v>#NUM!</v>
      </c>
      <c r="F354" s="22" t="e">
        <f ca="1"/>
        <v>#NUM!</v>
      </c>
      <c r="G354" s="22" t="e">
        <f ca="1"/>
        <v>#NUM!</v>
      </c>
      <c r="H354" s="22" t="e">
        <f ca="1"/>
        <v>#NUM!</v>
      </c>
      <c r="I354" s="22" t="e">
        <f ca="1"/>
        <v>#NUM!</v>
      </c>
    </row>
    <row r="355" spans="2:9" ht="0" hidden="1" customHeight="1">
      <c r="B355" s="22" t="e">
        <f ca="1"/>
        <v>#NUM!</v>
      </c>
      <c r="C355" s="22" t="e">
        <f ca="1"/>
        <v>#NUM!</v>
      </c>
      <c r="D355" s="22" t="e">
        <f ca="1"/>
        <v>#NUM!</v>
      </c>
      <c r="E355" s="22" t="e">
        <f ca="1"/>
        <v>#NUM!</v>
      </c>
      <c r="F355" s="22" t="e">
        <f ca="1"/>
        <v>#NUM!</v>
      </c>
      <c r="G355" s="22" t="e">
        <f ca="1"/>
        <v>#NUM!</v>
      </c>
      <c r="H355" s="22" t="e">
        <f ca="1"/>
        <v>#NUM!</v>
      </c>
      <c r="I355" s="22" t="e">
        <f ca="1"/>
        <v>#NUM!</v>
      </c>
    </row>
    <row r="356" spans="2:9" ht="0" hidden="1" customHeight="1">
      <c r="B356" s="22" t="e">
        <f ca="1"/>
        <v>#NUM!</v>
      </c>
      <c r="C356" s="22" t="e">
        <f ca="1"/>
        <v>#NUM!</v>
      </c>
      <c r="D356" s="22" t="e">
        <f ca="1"/>
        <v>#NUM!</v>
      </c>
      <c r="E356" s="22" t="e">
        <f ca="1"/>
        <v>#NUM!</v>
      </c>
      <c r="F356" s="22" t="e">
        <f ca="1"/>
        <v>#NUM!</v>
      </c>
      <c r="G356" s="22" t="e">
        <f ca="1"/>
        <v>#NUM!</v>
      </c>
      <c r="H356" s="22" t="e">
        <f ca="1"/>
        <v>#NUM!</v>
      </c>
      <c r="I356" s="22" t="e">
        <f ca="1"/>
        <v>#NUM!</v>
      </c>
    </row>
    <row r="357" spans="2:9" ht="0" hidden="1" customHeight="1">
      <c r="B357" s="22" t="e">
        <f ca="1"/>
        <v>#NUM!</v>
      </c>
      <c r="C357" s="22" t="e">
        <f ca="1"/>
        <v>#NUM!</v>
      </c>
      <c r="D357" s="22" t="e">
        <f ca="1"/>
        <v>#NUM!</v>
      </c>
      <c r="E357" s="22" t="e">
        <f ca="1"/>
        <v>#NUM!</v>
      </c>
      <c r="F357" s="22" t="e">
        <f ca="1"/>
        <v>#NUM!</v>
      </c>
      <c r="G357" s="22" t="e">
        <f ca="1"/>
        <v>#NUM!</v>
      </c>
      <c r="H357" s="22" t="e">
        <f ca="1"/>
        <v>#NUM!</v>
      </c>
      <c r="I357" s="22" t="e">
        <f ca="1"/>
        <v>#NUM!</v>
      </c>
    </row>
    <row r="358" spans="2:9" ht="0" hidden="1" customHeight="1">
      <c r="B358" s="22" t="e">
        <f ca="1"/>
        <v>#NUM!</v>
      </c>
      <c r="C358" s="22" t="e">
        <f ca="1"/>
        <v>#NUM!</v>
      </c>
      <c r="D358" s="22" t="e">
        <f ca="1"/>
        <v>#NUM!</v>
      </c>
      <c r="E358" s="22" t="e">
        <f ca="1"/>
        <v>#NUM!</v>
      </c>
      <c r="F358" s="22" t="e">
        <f ca="1"/>
        <v>#NUM!</v>
      </c>
      <c r="G358" s="22" t="e">
        <f ca="1"/>
        <v>#NUM!</v>
      </c>
      <c r="H358" s="22" t="e">
        <f ca="1"/>
        <v>#NUM!</v>
      </c>
      <c r="I358" s="22" t="e">
        <f ca="1"/>
        <v>#NUM!</v>
      </c>
    </row>
    <row r="359" spans="2:9" ht="0" hidden="1" customHeight="1">
      <c r="B359" s="22" t="e">
        <f ca="1"/>
        <v>#NUM!</v>
      </c>
      <c r="C359" s="22" t="e">
        <f ca="1"/>
        <v>#NUM!</v>
      </c>
      <c r="D359" s="22" t="e">
        <f ca="1"/>
        <v>#NUM!</v>
      </c>
      <c r="E359" s="22" t="e">
        <f ca="1"/>
        <v>#NUM!</v>
      </c>
      <c r="F359" s="22" t="e">
        <f ca="1"/>
        <v>#NUM!</v>
      </c>
      <c r="G359" s="22" t="e">
        <f ca="1"/>
        <v>#NUM!</v>
      </c>
      <c r="H359" s="22" t="e">
        <f ca="1"/>
        <v>#NUM!</v>
      </c>
      <c r="I359" s="22" t="e">
        <f ca="1"/>
        <v>#NUM!</v>
      </c>
    </row>
    <row r="360" spans="2:9" ht="0" hidden="1" customHeight="1">
      <c r="B360" s="22" t="e">
        <f ca="1"/>
        <v>#NUM!</v>
      </c>
      <c r="C360" s="22" t="e">
        <f ca="1"/>
        <v>#NUM!</v>
      </c>
      <c r="D360" s="22" t="e">
        <f ca="1"/>
        <v>#NUM!</v>
      </c>
      <c r="E360" s="22" t="e">
        <f ca="1"/>
        <v>#NUM!</v>
      </c>
      <c r="F360" s="22" t="e">
        <f ca="1"/>
        <v>#NUM!</v>
      </c>
      <c r="G360" s="22" t="e">
        <f ca="1"/>
        <v>#NUM!</v>
      </c>
      <c r="H360" s="22" t="e">
        <f ca="1"/>
        <v>#NUM!</v>
      </c>
      <c r="I360" s="22" t="e">
        <f ca="1"/>
        <v>#NUM!</v>
      </c>
    </row>
    <row r="361" spans="2:9" ht="0" hidden="1" customHeight="1">
      <c r="B361" s="22" t="e">
        <f ca="1"/>
        <v>#NUM!</v>
      </c>
      <c r="C361" s="22" t="e">
        <f ca="1"/>
        <v>#NUM!</v>
      </c>
      <c r="D361" s="22" t="e">
        <f ca="1"/>
        <v>#NUM!</v>
      </c>
      <c r="E361" s="22" t="e">
        <f ca="1"/>
        <v>#NUM!</v>
      </c>
      <c r="F361" s="22" t="e">
        <f ca="1"/>
        <v>#NUM!</v>
      </c>
      <c r="G361" s="22" t="e">
        <f ca="1"/>
        <v>#NUM!</v>
      </c>
      <c r="H361" s="22" t="e">
        <f ca="1"/>
        <v>#NUM!</v>
      </c>
      <c r="I361" s="22" t="e">
        <f ca="1"/>
        <v>#NUM!</v>
      </c>
    </row>
    <row r="362" spans="2:9" ht="0" hidden="1" customHeight="1">
      <c r="B362" s="22" t="e">
        <f ca="1"/>
        <v>#NUM!</v>
      </c>
      <c r="C362" s="22" t="e">
        <f ca="1"/>
        <v>#NUM!</v>
      </c>
      <c r="D362" s="22" t="e">
        <f ca="1"/>
        <v>#NUM!</v>
      </c>
      <c r="E362" s="22" t="e">
        <f ca="1"/>
        <v>#NUM!</v>
      </c>
      <c r="F362" s="22" t="e">
        <f ca="1"/>
        <v>#NUM!</v>
      </c>
      <c r="G362" s="22" t="e">
        <f ca="1"/>
        <v>#NUM!</v>
      </c>
      <c r="H362" s="22" t="e">
        <f ca="1"/>
        <v>#NUM!</v>
      </c>
      <c r="I362" s="22" t="e">
        <f ca="1"/>
        <v>#NUM!</v>
      </c>
    </row>
    <row r="363" spans="2:9" ht="0" hidden="1" customHeight="1">
      <c r="B363" s="22" t="e">
        <f ca="1"/>
        <v>#NUM!</v>
      </c>
      <c r="C363" s="22" t="e">
        <f ca="1"/>
        <v>#NUM!</v>
      </c>
      <c r="D363" s="22" t="e">
        <f ca="1"/>
        <v>#NUM!</v>
      </c>
      <c r="E363" s="22" t="e">
        <f ca="1"/>
        <v>#NUM!</v>
      </c>
      <c r="F363" s="22" t="e">
        <f ca="1"/>
        <v>#NUM!</v>
      </c>
      <c r="G363" s="22" t="e">
        <f ca="1"/>
        <v>#NUM!</v>
      </c>
      <c r="H363" s="22" t="e">
        <f ca="1"/>
        <v>#NUM!</v>
      </c>
      <c r="I363" s="22" t="e">
        <f ca="1"/>
        <v>#NUM!</v>
      </c>
    </row>
    <row r="364" spans="2:9" ht="0" hidden="1" customHeight="1">
      <c r="B364" s="22" t="e">
        <f ca="1"/>
        <v>#NUM!</v>
      </c>
      <c r="C364" s="22" t="e">
        <f ca="1"/>
        <v>#NUM!</v>
      </c>
      <c r="D364" s="22" t="e">
        <f ca="1"/>
        <v>#NUM!</v>
      </c>
      <c r="E364" s="22" t="e">
        <f ca="1"/>
        <v>#NUM!</v>
      </c>
      <c r="F364" s="22" t="e">
        <f ca="1"/>
        <v>#NUM!</v>
      </c>
      <c r="G364" s="22" t="e">
        <f ca="1"/>
        <v>#NUM!</v>
      </c>
      <c r="H364" s="22" t="e">
        <f ca="1"/>
        <v>#NUM!</v>
      </c>
      <c r="I364" s="22" t="e">
        <f ca="1"/>
        <v>#NUM!</v>
      </c>
    </row>
    <row r="365" spans="2:9" ht="0" hidden="1" customHeight="1">
      <c r="B365" s="22" t="e">
        <f ca="1"/>
        <v>#NUM!</v>
      </c>
      <c r="C365" s="22" t="e">
        <f ca="1"/>
        <v>#NUM!</v>
      </c>
      <c r="D365" s="22" t="e">
        <f ca="1"/>
        <v>#NUM!</v>
      </c>
      <c r="E365" s="22" t="e">
        <f ca="1"/>
        <v>#NUM!</v>
      </c>
      <c r="F365" s="22" t="e">
        <f ca="1"/>
        <v>#NUM!</v>
      </c>
      <c r="G365" s="22" t="e">
        <f ca="1"/>
        <v>#NUM!</v>
      </c>
      <c r="H365" s="22" t="e">
        <f ca="1"/>
        <v>#NUM!</v>
      </c>
      <c r="I365" s="22" t="e">
        <f ca="1"/>
        <v>#NUM!</v>
      </c>
    </row>
    <row r="366" spans="2:9" ht="0" hidden="1" customHeight="1">
      <c r="B366" s="22" t="e">
        <f ca="1"/>
        <v>#NUM!</v>
      </c>
      <c r="C366" s="22" t="e">
        <f ca="1"/>
        <v>#NUM!</v>
      </c>
      <c r="D366" s="22" t="e">
        <f ca="1"/>
        <v>#NUM!</v>
      </c>
      <c r="E366" s="22" t="e">
        <f ca="1"/>
        <v>#NUM!</v>
      </c>
      <c r="F366" s="22" t="e">
        <f ca="1"/>
        <v>#NUM!</v>
      </c>
      <c r="G366" s="22" t="e">
        <f ca="1"/>
        <v>#NUM!</v>
      </c>
      <c r="H366" s="22" t="e">
        <f ca="1"/>
        <v>#NUM!</v>
      </c>
      <c r="I366" s="22" t="e">
        <f ca="1"/>
        <v>#NUM!</v>
      </c>
    </row>
  </sheetData>
  <autoFilter ref="B9:I203" xr:uid="{AB77DD6E-BF99-42D8-A0E9-4D3311B57780}"/>
  <dataConsolidate/>
  <conditionalFormatting sqref="B1:I1 B5:I255 B257:I1048576">
    <cfRule type="expression" dxfId="397" priority="1">
      <formula>AND(LEFT($B1, 2)="-", COLUMN($B1)&lt;=COLUMN($B$1)+2)</formula>
    </cfRule>
  </conditionalFormatting>
  <conditionalFormatting sqref="D1:D255 D257:D1048576">
    <cfRule type="containsText" dxfId="396" priority="6" operator="containsText" text="Recover">
      <formula>NOT(ISERROR(SEARCH("Recover",D1)))</formula>
    </cfRule>
    <cfRule type="containsText" dxfId="395" priority="7" operator="containsText" text="Respond">
      <formula>NOT(ISERROR(SEARCH("Respond",D1)))</formula>
    </cfRule>
    <cfRule type="containsText" dxfId="394" priority="8" operator="containsText" text="Protect">
      <formula>NOT(ISERROR(SEARCH("Protect",D1)))</formula>
    </cfRule>
    <cfRule type="containsText" dxfId="393" priority="9" operator="containsText" text="Detect">
      <formula>NOT(ISERROR(SEARCH("Detect",D1)))</formula>
    </cfRule>
    <cfRule type="containsText" dxfId="392" priority="10" operator="containsText" text="Identify">
      <formula>NOT(ISERROR(SEARCH("Identify",D1)))</formula>
    </cfRule>
  </conditionalFormatting>
  <conditionalFormatting sqref="D2:I4">
    <cfRule type="expression" dxfId="391" priority="52">
      <formula>AND(LEFT($D2, 2)="-", COLUMN($D2)&lt;=COLUMN($B$1)+2)</formula>
    </cfRule>
  </conditionalFormatting>
  <conditionalFormatting sqref="F1:G255 F257:G1048576">
    <cfRule type="cellIs" dxfId="390" priority="3" operator="equal">
      <formula>"V"</formula>
    </cfRule>
  </conditionalFormatting>
  <conditionalFormatting sqref="I1:I255 I257:I1048576">
    <cfRule type="beginsWith" dxfId="389" priority="2" operator="beginsWith" text="v">
      <formula>LEFT(I1,LEN("v"))="v"</formula>
    </cfRule>
  </conditionalFormatting>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39C36741-F58B-4337-B2C9-1040B5429DD8}">
          <x14:formula1>
            <xm:f>חישובים!$O$2:$O$3</xm:f>
          </x14:formula1>
          <xm:sqref>E4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3BD78-895F-4C58-908D-4C5FB4FF5E14}">
  <sheetPr codeName="Sheet11"/>
  <dimension ref="A1:XFD1048576"/>
  <sheetViews>
    <sheetView rightToLeft="1" topLeftCell="E49" zoomScale="70" zoomScaleNormal="70" workbookViewId="0">
      <selection activeCell="K46" sqref="K46"/>
    </sheetView>
  </sheetViews>
  <sheetFormatPr defaultRowHeight="14.25"/>
  <cols>
    <col min="3" max="3" width="58.125" customWidth="1"/>
    <col min="5" max="5" width="11.875" customWidth="1"/>
    <col min="7" max="7" width="30.5" bestFit="1" customWidth="1"/>
    <col min="17" max="17" width="19.5" customWidth="1"/>
    <col min="22" max="22" width="30.5" bestFit="1" customWidth="1"/>
  </cols>
  <sheetData>
    <row r="1" spans="2:23 16384:16384">
      <c r="C1" s="544" t="s">
        <v>134</v>
      </c>
      <c r="D1" s="545"/>
      <c r="E1" s="545"/>
      <c r="F1" s="545"/>
      <c r="G1" s="545"/>
      <c r="H1" s="545"/>
      <c r="I1" s="545"/>
      <c r="J1" s="545"/>
      <c r="K1" s="546"/>
      <c r="V1" s="400"/>
      <c r="W1" s="400"/>
      <c r="XFD1" t="s">
        <v>24</v>
      </c>
    </row>
    <row r="2" spans="2:23 16384:16384">
      <c r="C2" s="547"/>
      <c r="D2" s="548"/>
      <c r="E2" s="548"/>
      <c r="F2" s="548"/>
      <c r="G2" s="548"/>
      <c r="H2" s="548"/>
      <c r="I2" s="548"/>
      <c r="J2" s="548"/>
      <c r="K2" s="549"/>
      <c r="V2" s="400"/>
      <c r="W2" s="400"/>
    </row>
    <row r="3" spans="2:23 16384:16384">
      <c r="C3" s="547"/>
      <c r="D3" s="548"/>
      <c r="E3" s="548"/>
      <c r="F3" s="548"/>
      <c r="G3" s="548"/>
      <c r="H3" s="548"/>
      <c r="I3" s="548"/>
      <c r="J3" s="548"/>
      <c r="K3" s="549"/>
      <c r="V3" s="400"/>
      <c r="W3" s="400"/>
    </row>
    <row r="4" spans="2:23 16384:16384">
      <c r="C4" s="547"/>
      <c r="D4" s="548"/>
      <c r="E4" s="548"/>
      <c r="F4" s="548"/>
      <c r="G4" s="548"/>
      <c r="H4" s="548"/>
      <c r="I4" s="548"/>
      <c r="J4" s="548"/>
      <c r="K4" s="549"/>
      <c r="V4" s="400"/>
      <c r="W4" s="400"/>
    </row>
    <row r="5" spans="2:23 16384:16384">
      <c r="C5" s="547"/>
      <c r="D5" s="548"/>
      <c r="E5" s="548"/>
      <c r="F5" s="548"/>
      <c r="G5" s="548"/>
      <c r="H5" s="548"/>
      <c r="I5" s="548"/>
      <c r="J5" s="548"/>
      <c r="K5" s="549"/>
      <c r="V5" s="400"/>
      <c r="W5" s="400"/>
    </row>
    <row r="6" spans="2:23 16384:16384" ht="15" thickBot="1">
      <c r="C6" s="550"/>
      <c r="D6" s="551"/>
      <c r="E6" s="551"/>
      <c r="F6" s="551"/>
      <c r="G6" s="551"/>
      <c r="H6" s="551"/>
      <c r="I6" s="551"/>
      <c r="J6" s="551"/>
      <c r="K6" s="552"/>
      <c r="V6" s="400"/>
      <c r="W6" s="400"/>
    </row>
    <row r="7" spans="2:23 16384:16384">
      <c r="V7" s="400"/>
      <c r="W7" s="400"/>
    </row>
    <row r="8" spans="2:23 16384:16384">
      <c r="V8" s="400"/>
      <c r="W8" s="400"/>
    </row>
    <row r="9" spans="2:23 16384:16384">
      <c r="D9" t="str" cm="1">
        <f t="array" ref="D9">IF($D$13="כן","מידע מסווג ביטחוני אינו חלק מסיווג זה",
IF(OR($D$13=0,$D$14=0,$D$16=0,$D$17=0,$D$18=0,$D$20=0,$D$21=0,$D$22=0,$D$23=0),"נא להשלים הזנה של מאפייני מידע",
IF(AND(OR($D$14="כן", $D$18="כן"),$D$13="לא",$D$16="לא",$D$17="לא",$D$20="לא",$D$21="לא",$D$22="לא",$D$23="לא"),"מידע פנימי",
IF(AND(OR($D$20="כן",$D$21="כן",$D$22="כן",$D$23="כן",$D$17="כן"),$D$13="לא",$D$14="כן"),"מידע פנימי חסוי",
IF(AND($D$13="לא",$D$14="לא",$D$16="לא",$D$17="לא",$D$18="לא",$D$20="לא",$D$21="לא",$D$22="לא",$D$23="לא"),"מידע פומבי",
IF(AND($D$13="לא",$D$14="כן",$D$17="לא",$D$16="כן",$D$20="לא",$D$21="לא",$D$22="לא",$D$23="לא"),"מידע פנימי מוגבל",
IF(OR(AND($D$13="לא",$D$14="כן",$D$18="כן",$D$16:$D$18="לא",$D$20:$D$23="לא"),AND($D$13="לא",$D$14="כן",$D$18="לא",$D$16:$D$18="לא",$D$20:$D$23="לא")),"מידע פנימי","קיימת סתירה בהגדרות אופי המידע")))))))</f>
        <v>קיימת סתירה בהגדרות אופי המידע</v>
      </c>
      <c r="S9" s="149"/>
      <c r="V9" s="400"/>
      <c r="W9" s="400"/>
    </row>
    <row r="10" spans="2:23 16384:16384" ht="15" thickBot="1">
      <c r="V10" s="400"/>
      <c r="W10" s="400"/>
    </row>
    <row r="11" spans="2:23 16384:16384">
      <c r="B11" s="69"/>
      <c r="C11" s="69"/>
      <c r="D11" s="88"/>
      <c r="E11" s="95" t="s">
        <v>54</v>
      </c>
      <c r="F11" s="97" t="s">
        <v>58</v>
      </c>
      <c r="G11" s="94"/>
      <c r="H11" s="69"/>
      <c r="V11" s="400"/>
      <c r="W11" s="400"/>
    </row>
    <row r="12" spans="2:23 16384:16384" ht="15" thickBot="1">
      <c r="B12" s="519" t="str" cm="1">
        <f t="array" ref="B12">IF(OR($D$13="שמור אדום",$D$13="סודי"),"נדרש אישור מנחה",
IF(AND($D$13="שמור צהוב",$D$14="לא"),"קיימת אי התאמה בין סיווג המידע לפומביות המידע",
IF(OR($D$13=0,$D$14=0,$D$16=0,$D$17=0,$D$18=0,$D$20=0,$D$21=0,$D$22=0,$D$23=0),"נא להשלים הזנה של מאפייני מידע",
IF(AND(OR($D$14="כן",$D$18="כן"),OR($D$13="בלמס",$D$13="שמור צהוב"),$D$16="לא",$D$17="לא",$D$20="לא",$D$21="לא",$D$22="לא",$D$23="לא"),D13&amp;" - "&amp;"מידע פנימי",
IF(AND(OR($D$20="כן",$D$21="כן",$D$22="כן",$D$23="כן",$D$17="כן"),OR($D$13="בלמס",$D$13="שמור צהוב")),D13&amp;" - "&amp;"מידע פנימי חסוי",
IF(AND(OR($D$13="בלמס",$D$13="שמור צהוב"),$D$14="לא",$D$16="לא",$D$17="לא",$D$18="לא",$D$20="לא",$D$21="לא",$D$22="לא",$D$23="לא"),D13&amp;" - "&amp;"מידע פומבי",
IF(AND(OR($D$13="בלמס",$D$13="שמור צהוב"),$D$14="כן",$D$17="לא",$D$16="כן",$D$20="לא",$D$21="לא",$D$22="לא",$D$23="לא"),D13&amp;" - "&amp;"מידע פנימי מוגבל",
IF(OR(AND(OR($D$13="בלמס",$D$13="שמור צהוב"),$D$14="כן",$D$18="כן",$D$16:$D$18="לא",$D$20:$D$23="לא"),AND($D$13="לא",$D$14="כן",$D$18="לא",$D$16:$D$18="לא",$D$20:$D$23="לא")),D13&amp;" - "&amp;"מידע פנימי",
IF(AND(OR($D$16="כן",$D$17="כן"),$D$14="לא"),"על סמך המידע שהוזן קיימת מניעה משפטית בפרסום המידע בציבור אנא בדקו את שאלה 2",
"קיימת סתירה בהגדרות אופי המידע")))))))))</f>
        <v>בלמס - מידע פנימי</v>
      </c>
      <c r="C12" s="519"/>
      <c r="D12" s="520"/>
      <c r="E12" s="96">
        <f>VLOOKUP(B12,G12:H18,2,FALSE)</f>
        <v>2</v>
      </c>
      <c r="F12" s="98">
        <f>R45</f>
        <v>3</v>
      </c>
      <c r="G12" s="94" t="str">
        <f>D13&amp;" - "&amp;"מידע פומבי"</f>
        <v>בלמס - מידע פומבי</v>
      </c>
      <c r="H12" s="69">
        <v>1</v>
      </c>
      <c r="K12" s="69" t="s">
        <v>63</v>
      </c>
      <c r="L12" s="69">
        <v>1</v>
      </c>
      <c r="M12" s="69" t="s">
        <v>63</v>
      </c>
      <c r="V12" s="400"/>
      <c r="W12" s="400"/>
    </row>
    <row r="13" spans="2:23 16384:16384">
      <c r="B13" s="69"/>
      <c r="C13" s="23" t="s">
        <v>15</v>
      </c>
      <c r="D13" s="69" t="str">
        <f>'סיווג אופי מידע במערכת (4)'!$D$6</f>
        <v>בלמס</v>
      </c>
      <c r="E13" s="90"/>
      <c r="F13" s="90"/>
      <c r="G13" s="69" t="str">
        <f>D13&amp;" - "&amp;"מידע פנימי"</f>
        <v>בלמס - מידע פנימי</v>
      </c>
      <c r="H13" s="69">
        <v>2</v>
      </c>
      <c r="K13" s="69" t="s">
        <v>28</v>
      </c>
      <c r="L13" s="69">
        <v>2</v>
      </c>
      <c r="M13" s="69" t="s">
        <v>28</v>
      </c>
      <c r="V13" s="400"/>
      <c r="W13" s="400"/>
    </row>
    <row r="14" spans="2:23 16384:16384" ht="15" thickBot="1">
      <c r="B14" s="69"/>
      <c r="C14" s="25" t="s">
        <v>71</v>
      </c>
      <c r="D14" s="69" t="str">
        <f>'סיווג אופי מידע במערכת (4)'!$D$7</f>
        <v>כן</v>
      </c>
      <c r="E14" s="69"/>
      <c r="F14" s="69"/>
      <c r="G14" s="69" t="str">
        <f>D13&amp;" - "&amp;"מידע פנימי מוגבל"</f>
        <v>בלמס - מידע פנימי מוגבל</v>
      </c>
      <c r="H14" s="69">
        <v>3</v>
      </c>
      <c r="K14" s="69" t="s">
        <v>29</v>
      </c>
      <c r="L14" s="69">
        <v>3</v>
      </c>
      <c r="M14" s="69" t="s">
        <v>29</v>
      </c>
      <c r="V14" s="400"/>
      <c r="W14" s="400"/>
    </row>
    <row r="15" spans="2:23 16384:16384" ht="15" thickBot="1">
      <c r="B15" s="69"/>
      <c r="C15" s="27"/>
      <c r="D15" s="69">
        <f>'סיווג אופי מידע במערכת (4)'!$D$8</f>
        <v>0</v>
      </c>
      <c r="E15" s="69"/>
      <c r="F15" s="69"/>
      <c r="G15" s="69" t="str">
        <f>D13&amp;" - "&amp;"מידע פנימי חסוי"</f>
        <v>בלמס - מידע פנימי חסוי</v>
      </c>
      <c r="H15" s="69">
        <v>4</v>
      </c>
      <c r="K15" s="69" t="s">
        <v>30</v>
      </c>
      <c r="L15" s="69">
        <v>4</v>
      </c>
      <c r="M15" s="69" t="s">
        <v>30</v>
      </c>
      <c r="V15" s="400"/>
      <c r="W15" s="400"/>
    </row>
    <row r="16" spans="2:23 16384:16384">
      <c r="B16" s="69"/>
      <c r="C16" s="23" t="s">
        <v>16</v>
      </c>
      <c r="D16" s="69" t="str">
        <f>'סיווג אופי מידע במערכת (4)'!$D$9</f>
        <v>לא</v>
      </c>
      <c r="E16" s="69"/>
      <c r="F16" s="69"/>
      <c r="G16" s="69" t="s">
        <v>55</v>
      </c>
      <c r="H16" s="69">
        <v>0</v>
      </c>
      <c r="K16" s="72"/>
      <c r="L16" s="72"/>
      <c r="M16" s="72"/>
      <c r="V16" s="400"/>
      <c r="W16" s="400"/>
    </row>
    <row r="17" spans="2:23">
      <c r="B17" s="69"/>
      <c r="C17" s="24" t="s">
        <v>17</v>
      </c>
      <c r="D17" s="69" t="str">
        <f>'סיווג אופי מידע במערכת (4)'!$D$10</f>
        <v>לא</v>
      </c>
      <c r="E17" s="69"/>
      <c r="F17" s="69"/>
      <c r="G17" s="69" t="s">
        <v>56</v>
      </c>
      <c r="H17" s="69">
        <v>0</v>
      </c>
      <c r="K17" s="69" t="s">
        <v>35</v>
      </c>
      <c r="L17" s="69">
        <v>1</v>
      </c>
      <c r="M17" s="69" t="s">
        <v>35</v>
      </c>
      <c r="V17" s="335"/>
      <c r="W17" s="335"/>
    </row>
    <row r="18" spans="2:23" ht="15" thickBot="1">
      <c r="B18" s="69"/>
      <c r="C18" s="25" t="s">
        <v>18</v>
      </c>
      <c r="D18" s="69" t="str">
        <f>'סיווג אופי מידע במערכת (4)'!$D$11</f>
        <v>לא</v>
      </c>
      <c r="E18" s="69"/>
      <c r="F18" s="69"/>
      <c r="G18" s="69" t="s">
        <v>57</v>
      </c>
      <c r="H18" s="69">
        <v>0</v>
      </c>
      <c r="K18" s="69" t="s">
        <v>34</v>
      </c>
      <c r="L18" s="69">
        <v>2</v>
      </c>
      <c r="M18" s="69" t="s">
        <v>34</v>
      </c>
      <c r="V18" s="335"/>
      <c r="W18" s="335"/>
    </row>
    <row r="19" spans="2:23" ht="15" thickBot="1">
      <c r="B19" s="69"/>
      <c r="C19" s="27"/>
      <c r="D19" s="69">
        <f>'סיווג אופי מידע במערכת (4)'!$D$12</f>
        <v>0</v>
      </c>
      <c r="E19" s="69"/>
      <c r="F19" s="89"/>
      <c r="G19" s="89"/>
      <c r="H19" s="89"/>
      <c r="K19" s="69" t="s">
        <v>26</v>
      </c>
      <c r="L19" s="69">
        <v>3</v>
      </c>
      <c r="M19" s="69" t="s">
        <v>26</v>
      </c>
      <c r="V19" s="335"/>
      <c r="W19" s="335"/>
    </row>
    <row r="20" spans="2:23">
      <c r="B20" s="69"/>
      <c r="C20" s="23" t="s">
        <v>19</v>
      </c>
      <c r="D20" s="69" t="str">
        <f>'סיווג אופי מידע במערכת (4)'!$D$13</f>
        <v>לא</v>
      </c>
      <c r="E20" s="88"/>
      <c r="F20" s="541" t="s">
        <v>72</v>
      </c>
      <c r="G20" s="542"/>
      <c r="H20" s="543"/>
      <c r="K20" s="69" t="s">
        <v>27</v>
      </c>
      <c r="L20" s="69">
        <v>4</v>
      </c>
      <c r="M20" s="69" t="s">
        <v>27</v>
      </c>
      <c r="V20" s="335"/>
      <c r="W20" s="335"/>
    </row>
    <row r="21" spans="2:23" ht="15" thickBot="1">
      <c r="B21" s="69"/>
      <c r="C21" s="24" t="s">
        <v>70</v>
      </c>
      <c r="D21" s="69" t="str">
        <f>'סיווג אופי מידע במערכת (4)'!$D$14</f>
        <v>לא</v>
      </c>
      <c r="E21" s="88"/>
      <c r="F21" s="91"/>
      <c r="G21" s="92">
        <f>IF('חישובים ונתונים'!E12=0,"אנא השלם את הפרטים בשלבים הקודמים",IF(AND('חישובים ונתונים'!E12=1,F12=1),1,IF(AND('חישובים ונתונים'!E12=1,F12=2),2,IF(AND('חישובים ונתונים'!E12=1,F12=3),3,IF(AND('חישובים ונתונים'!E12=1,F12=4),4,IF(AND('חישובים ונתונים'!E12=2,F12=1),2,IF(AND('חישובים ונתונים'!E12=2,F12=2),2,IF(AND('חישובים ונתונים'!E12=2,F12=3),3,IF(AND('חישובים ונתונים'!E12=2,F12=4),4,IF(AND('חישובים ונתונים'!E12=3,F12=1),3,IF(AND('חישובים ונתונים'!E12=3,F12=2),3,IF(AND('חישובים ונתונים'!E12=3,F12=3),3,IF(AND('חישובים ונתונים'!E12=3,F12=4),4,IF(AND('חישובים ונתונים'!E12=4,F12=1),4,IF(AND('חישובים ונתונים'!E12=4,F12=2),4,IF(AND('חישובים ונתונים'!E12=4,F12=3),4,IF(AND('חישובים ונתונים'!E12=4,F12=4),4)))))))))))))))))</f>
        <v>3</v>
      </c>
      <c r="H21" s="93"/>
      <c r="I21">
        <f>G21</f>
        <v>3</v>
      </c>
      <c r="K21" s="72"/>
      <c r="L21" s="72"/>
      <c r="M21" s="72"/>
      <c r="V21" s="72"/>
      <c r="W21" s="72"/>
    </row>
    <row r="22" spans="2:23">
      <c r="B22" s="69"/>
      <c r="C22" s="24" t="s">
        <v>20</v>
      </c>
      <c r="D22" s="69" t="str">
        <f>'סיווג אופי מידע במערכת (4)'!$D$15</f>
        <v>לא</v>
      </c>
      <c r="E22" s="69"/>
      <c r="F22" s="90"/>
      <c r="G22" s="90"/>
      <c r="H22" s="90"/>
      <c r="K22" s="69" t="s">
        <v>36</v>
      </c>
      <c r="L22" s="69">
        <v>1</v>
      </c>
      <c r="M22" s="72"/>
      <c r="V22" s="72"/>
      <c r="W22" s="72"/>
    </row>
    <row r="23" spans="2:23" ht="15" thickBot="1">
      <c r="B23" s="69"/>
      <c r="C23" s="25" t="s">
        <v>21</v>
      </c>
      <c r="D23" s="69" t="str">
        <f>'סיווג אופי מידע במערכת (4)'!$D$16</f>
        <v>לא</v>
      </c>
      <c r="E23" s="69"/>
      <c r="F23" s="553" t="s">
        <v>1526</v>
      </c>
      <c r="G23" s="554"/>
      <c r="H23" s="555"/>
      <c r="K23" s="69" t="s">
        <v>37</v>
      </c>
      <c r="L23" s="69">
        <v>2</v>
      </c>
      <c r="M23" s="72"/>
      <c r="V23" s="72"/>
      <c r="W23" s="72"/>
    </row>
    <row r="24" spans="2:23">
      <c r="B24" s="69"/>
      <c r="E24" s="69"/>
      <c r="F24" s="69"/>
      <c r="G24" s="69">
        <f>IF('חישובים ונתונים'!E12=0, "אנא השלם את הפרטים בשלבים הקודמים",
    IF(AND('חישובים ונתונים'!E12=1, F12=1), 1,
        IF(AND('חישובים ונתונים'!E12=1, F12=2), 1,
            IF(AND('חישובים ונתונים'!E12=1, F12=3), 2,
                IF(AND('חישובים ונתונים'!E12=1, F12=4), 3,
                    IF(AND('חישובים ונתונים'!E12=2, F12=1), 1,
                        IF(AND('חישובים ונתונים'!E12=2, F12=2), 1,
                            IF(AND('חישובים ונתונים'!E12=2, F12=3), 2,
                                IF(AND('חישובים ונתונים'!E12=2, F12=4), 2,
                                    IF(AND('חישובים ונתונים'!E12=3, F12=1), 2,
                                        IF(AND('חישובים ונתונים'!E12=3, F12=2), 2,
                                            IF(AND('חישובים ונתונים'!E12=3, F12=3), 2,
                                                IF(AND('חישובים ונתונים'!E12=3, F12=4), 3,
                                                    IF(AND('חישובים ונתונים'!E12=4, F12=1), 2,
                                                        IF(AND('חישובים ונתונים'!E12=4, F12=2), 2,
                                                            IF(AND('חישובים ונתונים'!E12=4, F12=3), 3,
                                                                IF(AND('חישובים ונתונים'!E12=4, F12=4), 3)))))))))))))))))</f>
        <v>2</v>
      </c>
      <c r="H24" s="69"/>
      <c r="K24" s="69" t="s">
        <v>38</v>
      </c>
      <c r="L24" s="69">
        <v>3</v>
      </c>
      <c r="M24" s="72"/>
    </row>
    <row r="25" spans="2:23">
      <c r="B25" s="69"/>
      <c r="C25" s="69"/>
      <c r="D25" s="69" t="e">
        <f>'סיווג אופי מידע במערכת (4)'!#REF!</f>
        <v>#REF!</v>
      </c>
      <c r="E25" s="69"/>
      <c r="F25" s="69"/>
      <c r="G25" s="69" t="str">
        <f>IF(ISNUMBER(G24),"רמת הסיכון השיורי למערכת ולמידע לאחר יישום הבקרות הינו"&amp; " - " &amp;VLOOKUP(G24,'חישובים ונתונים'!$L$27:$M$30,2),"נא השלם פרק קודם")</f>
        <v>רמת הסיכון השיורי למערכת ולמידע לאחר יישום הבקרות הינו - סיכון בינוני</v>
      </c>
      <c r="H25" s="69"/>
      <c r="K25" s="69" t="s">
        <v>39</v>
      </c>
      <c r="L25" s="69">
        <v>4</v>
      </c>
      <c r="M25" s="72"/>
    </row>
    <row r="26" spans="2:23">
      <c r="B26" s="69"/>
      <c r="C26" s="69"/>
      <c r="D26" s="69">
        <f>'סיווג אופי מידע במערכת (4)'!$D$17</f>
        <v>0</v>
      </c>
      <c r="E26" s="69"/>
      <c r="F26" s="69"/>
      <c r="G26" s="69"/>
      <c r="H26" s="69"/>
      <c r="K26" s="72"/>
      <c r="L26" s="72"/>
      <c r="M26" s="72"/>
    </row>
    <row r="27" spans="2:23">
      <c r="B27" s="69"/>
      <c r="C27" s="69"/>
      <c r="D27" s="69">
        <f>'סיווג אופי מידע במערכת (4)'!$D$18</f>
        <v>0</v>
      </c>
      <c r="E27" s="69"/>
      <c r="F27" s="69"/>
      <c r="G27" s="69"/>
      <c r="H27" s="69"/>
      <c r="K27" s="72"/>
      <c r="L27" s="69">
        <v>1</v>
      </c>
      <c r="M27" s="69" t="s">
        <v>60</v>
      </c>
    </row>
    <row r="28" spans="2:23">
      <c r="B28" s="69"/>
      <c r="C28" s="69"/>
      <c r="D28" s="69">
        <f>'סיווג אופי מידע במערכת (4)'!$D$19</f>
        <v>0</v>
      </c>
      <c r="E28" s="69"/>
      <c r="F28" s="69"/>
      <c r="G28" s="69"/>
      <c r="H28" s="69"/>
      <c r="K28" s="72"/>
      <c r="L28" s="69">
        <v>2</v>
      </c>
      <c r="M28" s="69" t="s">
        <v>59</v>
      </c>
    </row>
    <row r="29" spans="2:23">
      <c r="B29" s="69"/>
      <c r="C29" s="69"/>
      <c r="D29" s="69">
        <f>'סיווג אופי מידע במערכת (4)'!$D$35</f>
        <v>0</v>
      </c>
      <c r="E29" s="69"/>
      <c r="F29" s="69"/>
      <c r="G29" s="69"/>
      <c r="H29" s="69"/>
      <c r="K29" s="72"/>
      <c r="L29" s="69">
        <v>3</v>
      </c>
      <c r="M29" s="69" t="s">
        <v>61</v>
      </c>
    </row>
    <row r="30" spans="2:23">
      <c r="B30" s="69"/>
      <c r="C30" s="69"/>
      <c r="D30" s="69">
        <f>'סיווג אופי מידע במערכת (4)'!$D$36</f>
        <v>0</v>
      </c>
      <c r="E30" s="69"/>
      <c r="F30" s="69"/>
      <c r="G30" s="69"/>
      <c r="H30" s="69"/>
      <c r="K30" s="72"/>
      <c r="L30" s="69">
        <v>4</v>
      </c>
      <c r="M30" s="69" t="s">
        <v>62</v>
      </c>
    </row>
    <row r="31" spans="2:23" ht="15" customHeight="1">
      <c r="B31" s="69"/>
      <c r="C31" s="69"/>
      <c r="D31" s="69">
        <f>'סיווג אופי מידע במערכת (4)'!$D$37</f>
        <v>0</v>
      </c>
      <c r="E31" s="69"/>
      <c r="F31" s="69"/>
      <c r="G31" s="69"/>
      <c r="H31" s="69"/>
    </row>
    <row r="32" spans="2:23">
      <c r="B32" s="69"/>
      <c r="C32" s="69"/>
      <c r="D32" s="69">
        <f>'סיווג אופי מידע במערכת (4)'!$D$38</f>
        <v>0</v>
      </c>
      <c r="E32" s="69"/>
      <c r="F32" s="69"/>
      <c r="G32" s="69"/>
      <c r="H32" s="69"/>
    </row>
    <row r="33" spans="2:27">
      <c r="B33" s="69"/>
      <c r="C33" s="69"/>
      <c r="D33" s="69">
        <f>'סיווג אופי מידע במערכת (4)'!$D$39</f>
        <v>0</v>
      </c>
      <c r="E33" s="69"/>
      <c r="F33" s="69"/>
      <c r="G33" s="69"/>
      <c r="H33" s="69"/>
    </row>
    <row r="34" spans="2:27">
      <c r="B34" s="69"/>
      <c r="C34" s="69"/>
      <c r="D34" s="69">
        <f>'סיווג אופי מידע במערכת (4)'!$D$40</f>
        <v>0</v>
      </c>
      <c r="E34" s="69"/>
      <c r="F34" s="69"/>
      <c r="G34" s="69"/>
      <c r="H34" s="69"/>
    </row>
    <row r="35" spans="2:27">
      <c r="B35" s="69"/>
      <c r="C35" s="69"/>
      <c r="D35" s="69">
        <f>'סיווג אופי מידע במערכת (4)'!$D$41</f>
        <v>0</v>
      </c>
      <c r="E35" s="69"/>
      <c r="F35" s="69"/>
      <c r="G35" s="69"/>
      <c r="H35" s="69"/>
    </row>
    <row r="36" spans="2:27">
      <c r="B36" s="69"/>
      <c r="C36" s="69"/>
      <c r="D36" s="69">
        <f>'סיווג אופי מידע במערכת (4)'!$D$42</f>
        <v>0</v>
      </c>
      <c r="E36" s="69"/>
      <c r="F36" s="69"/>
      <c r="G36" s="69"/>
      <c r="H36" s="69"/>
    </row>
    <row r="37" spans="2:27">
      <c r="B37" s="69"/>
      <c r="C37" s="69"/>
      <c r="E37" s="69"/>
      <c r="F37" s="69"/>
      <c r="G37" s="69"/>
      <c r="H37" s="69"/>
    </row>
    <row r="38" spans="2:27">
      <c r="B38" s="69"/>
      <c r="C38" s="69"/>
      <c r="D38" s="519" t="str">
        <f>B12</f>
        <v>בלמס - מידע פנימי</v>
      </c>
      <c r="E38" s="519"/>
      <c r="F38" s="519"/>
      <c r="G38" s="519" t="str">
        <f>IF(R45="נא להשלים את כלל הפרטים בהערכת הנזק","נא להשלים את כלל הפרטים בהערכת הנזק","נזק"&amp; " " &amp;VLOOKUP('חישובים ונתונים'!R45,'חישובים ונתונים'!$L$17:$M$20,2,FALSE))</f>
        <v>נזק בינוני</v>
      </c>
      <c r="H38" s="519"/>
    </row>
    <row r="39" spans="2:27">
      <c r="B39" s="69"/>
      <c r="C39" s="69"/>
      <c r="D39" s="69" t="str">
        <f>IF(ISNUMBER(R45)," מידת הנזק הפוטנציאלי הצפוי למשרד הוא"&amp;" - נזק"&amp;" "&amp;VLOOKUP('חישובים ונתונים'!R45,'חישובים ונתונים'!$L$17:$M$20,2,FALSE),"נא להשלים את כלל הפרטים בהערכת הנזק")</f>
        <v xml:space="preserve"> מידת הנזק הפוטנציאלי הצפוי למשרד הוא - נזק בינוני</v>
      </c>
      <c r="E39" s="69"/>
      <c r="F39" s="69"/>
      <c r="G39" s="69"/>
      <c r="H39" s="69"/>
    </row>
    <row r="40" spans="2:27">
      <c r="B40" s="69"/>
      <c r="C40" s="69"/>
      <c r="D40" s="69" t="str">
        <f>IF(ISNUMBER(G21),"רמת הסיכון השורשי למערכת ולמידע לאחר חישוב הינו"&amp; " - " &amp;VLOOKUP('חישובים ונתונים'!$G$21,'חישובים ונתונים'!$L$27:$M$30,2),"נא השלם פרק קודם")</f>
        <v>רמת הסיכון השורשי למערכת ולמידע לאחר חישוב הינו - סיכון גבוה</v>
      </c>
      <c r="E40" s="69"/>
      <c r="F40" s="69"/>
      <c r="G40" s="69"/>
      <c r="H40" s="69"/>
    </row>
    <row r="41" spans="2:27" ht="63.75">
      <c r="J41" s="69"/>
      <c r="K41" s="126" t="s">
        <v>1828</v>
      </c>
      <c r="L41" s="126" t="s">
        <v>1832</v>
      </c>
      <c r="M41" s="126" t="s">
        <v>47</v>
      </c>
      <c r="N41" s="126" t="s">
        <v>1833</v>
      </c>
      <c r="O41" s="68" t="s">
        <v>1841</v>
      </c>
      <c r="P41" s="126" t="s">
        <v>1846</v>
      </c>
      <c r="Q41" s="130" t="s">
        <v>1827</v>
      </c>
      <c r="R41" s="61" t="s">
        <v>25</v>
      </c>
      <c r="S41" s="69"/>
    </row>
    <row r="42" spans="2:27" ht="42.75">
      <c r="J42" s="61" t="s">
        <v>31</v>
      </c>
      <c r="K42" s="69">
        <f>VLOOKUP('הערכת נזק פוטנציאלי למערכת (5)'!C15,'חישובים ונתונים'!$K$12:$L$15,2,FALSE)</f>
        <v>1</v>
      </c>
      <c r="L42" s="69">
        <f>VLOOKUP('הערכת נזק פוטנציאלי למערכת (5)'!D15,K17:L20,2,FALSE)</f>
        <v>1</v>
      </c>
      <c r="M42" s="69">
        <f>VLOOKUP('הערכת נזק פוטנציאלי למערכת (5)'!E15,'חישובים ונתונים'!$K$12:$L$15,2,FALSE)</f>
        <v>2</v>
      </c>
      <c r="N42" s="69">
        <f>VLOOKUP('הערכת נזק פוטנציאלי למערכת (5)'!F15,'חישובים ונתונים'!$K$12:$L$15,2,FALSE)</f>
        <v>2</v>
      </c>
      <c r="O42" s="69">
        <f>VLOOKUP('הערכת נזק פוטנציאלי למערכת (5)'!G15,'חישובים ונתונים'!$K$12:$L$15,2,FALSE)</f>
        <v>1</v>
      </c>
      <c r="P42" s="69">
        <f>VLOOKUP('הערכת נזק פוטנציאלי למערכת (5)'!H15,$K$22:$L$25,2,FALSE)</f>
        <v>2</v>
      </c>
      <c r="Q42" s="69">
        <f>VLOOKUP('הערכת נזק פוטנציאלי למערכת (5)'!I15,'חישובים ונתונים'!$K$12:$L$15,2,FALSE)</f>
        <v>1</v>
      </c>
      <c r="R42" s="69">
        <f>MAX(K42:Q42)</f>
        <v>2</v>
      </c>
      <c r="S42" s="43" t="str">
        <f>IF(ISNUMBER(R42),VLOOKUP('חישובים ונתונים'!$R$42,'חישובים ונתונים'!$L$12:$M$15,2,FALSE),"חסרים פרטים")</f>
        <v>מוגבלת</v>
      </c>
    </row>
    <row r="43" spans="2:27" ht="28.5">
      <c r="J43" s="62" t="s">
        <v>32</v>
      </c>
      <c r="K43" s="69">
        <f>VLOOKUP('הערכת נזק פוטנציאלי למערכת (5)'!C16,'חישובים ונתונים'!$K$12:$L$15,2,FALSE)</f>
        <v>1</v>
      </c>
      <c r="L43" s="69">
        <f>VLOOKUP('הערכת נזק פוטנציאלי למערכת (5)'!D16,'חישובים ונתונים'!$K$17:$L$20,2,FALSE)</f>
        <v>1</v>
      </c>
      <c r="M43" s="69">
        <f>VLOOKUP('הערכת נזק פוטנציאלי למערכת (5)'!E16,'חישובים ונתונים'!$K$12:$L$15,2,FALSE)</f>
        <v>2</v>
      </c>
      <c r="N43" s="69">
        <f>VLOOKUP('הערכת נזק פוטנציאלי למערכת (5)'!F16,'חישובים ונתונים'!$K$12:$L$15,2,FALSE)</f>
        <v>1</v>
      </c>
      <c r="O43" s="69">
        <f>VLOOKUP('הערכת נזק פוטנציאלי למערכת (5)'!G16,'חישובים ונתונים'!$K$12:$L$15,2,FALSE)</f>
        <v>1</v>
      </c>
      <c r="P43" s="69">
        <f>VLOOKUP('הערכת נזק פוטנציאלי למערכת (5)'!H16,$K$22:$L$25,2,FALSE)</f>
        <v>2</v>
      </c>
      <c r="Q43" s="69">
        <f>VLOOKUP('הערכת נזק פוטנציאלי למערכת (5)'!I16,'חישובים ונתונים'!$K$12:$L$15,2,FALSE)</f>
        <v>1</v>
      </c>
      <c r="R43" s="69">
        <f t="shared" ref="R43:R44" si="0">MAX(K43:Q43)</f>
        <v>2</v>
      </c>
      <c r="S43" s="43" t="str">
        <f>IF(ISNUMBER(R43),VLOOKUP('חישובים ונתונים'!$R$43,'חישובים ונתונים'!$L$12:$M$15,2,FALSE),"חסרים פרטים")</f>
        <v>מוגבלת</v>
      </c>
    </row>
    <row r="44" spans="2:27" ht="42.75">
      <c r="J44" s="61" t="s">
        <v>33</v>
      </c>
      <c r="K44" s="69">
        <f>VLOOKUP('הערכת נזק פוטנציאלי למערכת (5)'!C17,'חישובים ונתונים'!$K$12:$L$15,2,FALSE)</f>
        <v>1</v>
      </c>
      <c r="L44" s="69">
        <f>VLOOKUP('הערכת נזק פוטנציאלי למערכת (5)'!D17,'חישובים ונתונים'!$K$17:$L$20,2,FALSE)</f>
        <v>1</v>
      </c>
      <c r="M44" s="69">
        <f>VLOOKUP('הערכת נזק פוטנציאלי למערכת (5)'!E17,'חישובים ונתונים'!$K$12:$L$15,2,FALSE)</f>
        <v>1</v>
      </c>
      <c r="N44" s="69">
        <f>VLOOKUP('הערכת נזק פוטנציאלי למערכת (5)'!F17,'חישובים ונתונים'!$K$12:$L$15,2,FALSE)</f>
        <v>1</v>
      </c>
      <c r="O44" s="69">
        <f>VLOOKUP('הערכת נזק פוטנציאלי למערכת (5)'!G17,'חישובים ונתונים'!$K$12:$L$15,2,FALSE)</f>
        <v>1</v>
      </c>
      <c r="P44" s="69">
        <f>VLOOKUP('הערכת נזק פוטנציאלי למערכת (5)'!H17,$K$22:$L$25,2,FALSE)</f>
        <v>1</v>
      </c>
      <c r="Q44" s="69">
        <f>VLOOKUP('הערכת נזק פוטנציאלי למערכת (5)'!I17,'חישובים ונתונים'!$K$12:$L$15,2,FALSE)</f>
        <v>3</v>
      </c>
      <c r="R44" s="69">
        <f t="shared" si="0"/>
        <v>3</v>
      </c>
      <c r="S44" s="43" t="str">
        <f>IF(ISNUMBER(R44),VLOOKUP('חישובים ונתונים'!$R$44,'חישובים ונתונים'!$L$12:$M$15,2,FALSE),"חסרים פרטים")</f>
        <v>בינונית</v>
      </c>
    </row>
    <row r="45" spans="2:27">
      <c r="J45" s="69"/>
      <c r="K45" s="69">
        <f>MAX(K42:K44)</f>
        <v>1</v>
      </c>
      <c r="L45" s="69">
        <f t="shared" ref="L45:P45" si="1">MAX(L42:L44)</f>
        <v>1</v>
      </c>
      <c r="M45" s="69">
        <f t="shared" si="1"/>
        <v>2</v>
      </c>
      <c r="N45" s="69">
        <f t="shared" si="1"/>
        <v>2</v>
      </c>
      <c r="O45" s="69">
        <f t="shared" si="1"/>
        <v>1</v>
      </c>
      <c r="P45" s="69">
        <f t="shared" si="1"/>
        <v>2</v>
      </c>
      <c r="Q45" s="69">
        <f>MAX(Q42:Q44)</f>
        <v>3</v>
      </c>
      <c r="R45" s="69">
        <f>IF(ISERROR(MAX(R42:R44)),"נא להשלים את כלל הפרטים בהערכת הנזק",MAX(R42:R44))</f>
        <v>3</v>
      </c>
      <c r="S45" s="69"/>
    </row>
    <row r="46" spans="2:27" ht="71.25" customHeight="1">
      <c r="J46" s="69"/>
      <c r="K46" s="70" t="str" cm="1">
        <f t="array" aca="1" ref="K46" ca="1">IF(ISNUMBER(K45),TEXT(VLOOKUP(K41,$W$49:$AA$55,K45+1,FALSE),CELL("color",Y49)),"חסרים פרטים")</f>
        <v>ללא פגיעה כלכלית בארגון</v>
      </c>
      <c r="L46" s="71" t="str">
        <f t="shared" ref="L46:Q46" si="2">IF(ISNUMBER(L45),VLOOKUP(L41,$W$49:$AA$55,L45+1,FALSE),"חסרים פרטים")</f>
        <v>ללא נזק תדמיתי או חשיפה תקשורתית נמוכה</v>
      </c>
      <c r="M46" s="71" t="str">
        <f t="shared" si="2"/>
        <v>פגיעה מצומצמת ברציפות התפקודית תוך עמידה ביעדים</v>
      </c>
      <c r="N46" s="71" t="str">
        <f t="shared" si="2"/>
        <v>פגיעה נקודתית במתן שירות לציבור / ללקחות תוך עמידה ביעדים</v>
      </c>
      <c r="O46" s="71" t="str">
        <f t="shared" si="2"/>
        <v>ללא חשיפה משפטית</v>
      </c>
      <c r="P46" s="71" t="str">
        <f t="shared" si="2"/>
        <v>השפעה על נכס מידע תשתיתי לא אסטרטגי בודד</v>
      </c>
      <c r="Q46" s="71" t="str">
        <f t="shared" si="2"/>
        <v>פגיעה נרחבת בודדת או מספר פגיעות נקודתיות</v>
      </c>
      <c r="R46" s="71"/>
      <c r="S46" s="69"/>
    </row>
    <row r="48" spans="2:27" ht="30">
      <c r="W48" s="63" t="s">
        <v>45</v>
      </c>
      <c r="X48" s="64" t="s">
        <v>46</v>
      </c>
      <c r="Y48" s="65" t="s">
        <v>42</v>
      </c>
      <c r="Z48" s="66" t="s">
        <v>43</v>
      </c>
      <c r="AA48" s="67" t="s">
        <v>44</v>
      </c>
    </row>
    <row r="49" spans="7:27" ht="128.25" thickBot="1">
      <c r="W49" s="126" t="s">
        <v>1828</v>
      </c>
      <c r="X49" s="126" t="s">
        <v>1829</v>
      </c>
      <c r="Y49" s="126" t="s">
        <v>1857</v>
      </c>
      <c r="Z49" s="126" t="s">
        <v>1858</v>
      </c>
      <c r="AA49" s="134" t="s">
        <v>1859</v>
      </c>
    </row>
    <row r="50" spans="7:27" ht="217.5" thickBot="1">
      <c r="G50" s="104"/>
      <c r="H50" s="103"/>
      <c r="I50" s="102"/>
      <c r="J50" s="102"/>
      <c r="K50" s="102"/>
      <c r="L50" s="102"/>
      <c r="M50" s="102"/>
      <c r="N50" s="105"/>
      <c r="W50" s="126" t="s">
        <v>1832</v>
      </c>
      <c r="X50" s="126" t="s">
        <v>111</v>
      </c>
      <c r="Y50" s="126" t="s">
        <v>118</v>
      </c>
      <c r="Z50" s="126" t="s">
        <v>124</v>
      </c>
      <c r="AA50" s="134" t="s">
        <v>1830</v>
      </c>
    </row>
    <row r="51" spans="7:27" ht="77.25" thickBot="1">
      <c r="G51" s="106"/>
      <c r="H51" s="124" t="s">
        <v>110</v>
      </c>
      <c r="I51" s="125" t="s">
        <v>111</v>
      </c>
      <c r="J51" s="125" t="s">
        <v>112</v>
      </c>
      <c r="K51" s="125" t="s">
        <v>113</v>
      </c>
      <c r="L51" s="125" t="s">
        <v>114</v>
      </c>
      <c r="M51" s="125" t="s">
        <v>115</v>
      </c>
      <c r="N51" s="125" t="s">
        <v>116</v>
      </c>
      <c r="W51" s="126" t="s">
        <v>47</v>
      </c>
      <c r="X51" s="126" t="s">
        <v>112</v>
      </c>
      <c r="Y51" s="126" t="s">
        <v>119</v>
      </c>
      <c r="Z51" s="126" t="s">
        <v>125</v>
      </c>
      <c r="AA51" s="134" t="s">
        <v>131</v>
      </c>
    </row>
    <row r="52" spans="7:27" ht="141" thickBot="1">
      <c r="G52" s="107"/>
      <c r="H52" s="124" t="s">
        <v>117</v>
      </c>
      <c r="I52" s="125" t="s">
        <v>118</v>
      </c>
      <c r="J52" s="125" t="s">
        <v>119</v>
      </c>
      <c r="K52" s="125" t="s">
        <v>120</v>
      </c>
      <c r="L52" s="125" t="s">
        <v>121</v>
      </c>
      <c r="M52" s="125" t="s">
        <v>73</v>
      </c>
      <c r="N52" s="125" t="s">
        <v>122</v>
      </c>
      <c r="W52" s="126" t="s">
        <v>1833</v>
      </c>
      <c r="X52" s="126" t="s">
        <v>1916</v>
      </c>
      <c r="Y52" s="126" t="s">
        <v>1917</v>
      </c>
      <c r="Z52" s="126" t="s">
        <v>1918</v>
      </c>
      <c r="AA52" s="134" t="s">
        <v>1919</v>
      </c>
    </row>
    <row r="53" spans="7:27" ht="128.25" thickBot="1">
      <c r="G53" s="108"/>
      <c r="H53" s="124" t="s">
        <v>123</v>
      </c>
      <c r="I53" s="125" t="s">
        <v>124</v>
      </c>
      <c r="J53" s="125" t="s">
        <v>125</v>
      </c>
      <c r="K53" s="125" t="s">
        <v>126</v>
      </c>
      <c r="L53" s="125" t="s">
        <v>127</v>
      </c>
      <c r="M53" s="125" t="s">
        <v>74</v>
      </c>
      <c r="N53" s="125" t="s">
        <v>128</v>
      </c>
      <c r="W53" s="68" t="s">
        <v>1841</v>
      </c>
      <c r="X53" s="68" t="s">
        <v>48</v>
      </c>
      <c r="Y53" s="126" t="s">
        <v>121</v>
      </c>
      <c r="Z53" s="126" t="s">
        <v>149</v>
      </c>
      <c r="AA53" s="134" t="s">
        <v>1915</v>
      </c>
    </row>
    <row r="54" spans="7:27" ht="230.25" thickBot="1">
      <c r="G54" s="109"/>
      <c r="H54" s="124" t="s">
        <v>129</v>
      </c>
      <c r="I54" s="125" t="s">
        <v>130</v>
      </c>
      <c r="J54" s="125" t="s">
        <v>131</v>
      </c>
      <c r="K54" s="125" t="s">
        <v>132</v>
      </c>
      <c r="L54" s="125" t="s">
        <v>133</v>
      </c>
      <c r="M54" s="125" t="s">
        <v>75</v>
      </c>
      <c r="N54" s="125" t="s">
        <v>76</v>
      </c>
      <c r="W54" s="126" t="s">
        <v>1846</v>
      </c>
      <c r="X54" s="126" t="s">
        <v>115</v>
      </c>
      <c r="Y54" s="126" t="s">
        <v>1920</v>
      </c>
      <c r="Z54" s="126" t="s">
        <v>1921</v>
      </c>
      <c r="AA54" s="134" t="s">
        <v>1922</v>
      </c>
    </row>
    <row r="55" spans="7:27" ht="77.25" thickBot="1">
      <c r="W55" s="130" t="s">
        <v>1827</v>
      </c>
      <c r="X55" s="130" t="s">
        <v>116</v>
      </c>
      <c r="Y55" s="130" t="s">
        <v>122</v>
      </c>
      <c r="Z55" s="130" t="s">
        <v>128</v>
      </c>
      <c r="AA55" s="135" t="s">
        <v>76</v>
      </c>
    </row>
    <row r="1048576" spans="1:1 16384:16384">
      <c r="A1048576" t="s">
        <v>24</v>
      </c>
      <c r="XFD1048576" t="s">
        <v>24</v>
      </c>
    </row>
  </sheetData>
  <mergeCells count="6">
    <mergeCell ref="B12:D12"/>
    <mergeCell ref="D38:F38"/>
    <mergeCell ref="G38:H38"/>
    <mergeCell ref="F20:H20"/>
    <mergeCell ref="C1:K6"/>
    <mergeCell ref="F23:H23"/>
  </mergeCells>
  <conditionalFormatting sqref="B12:D12">
    <cfRule type="containsText" dxfId="388" priority="15" operator="containsText" text="ביטחוני">
      <formula>NOT(ISERROR(SEARCH("ביטחוני",B12)))</formula>
    </cfRule>
    <cfRule type="containsText" dxfId="387" priority="16" operator="containsText" text="סתירה">
      <formula>NOT(ISERROR(SEARCH("סתירה",B12)))</formula>
    </cfRule>
    <cfRule type="containsText" dxfId="386" priority="17" operator="containsText" text="מידע פנימי חסוי">
      <formula>NOT(ISERROR(SEARCH("מידע פנימי חסוי",B12)))</formula>
    </cfRule>
    <cfRule type="containsText" dxfId="385" priority="18" operator="containsText" text="מידע פנימי מוגבל">
      <formula>NOT(ISERROR(SEARCH("מידע פנימי מוגבל",B12)))</formula>
    </cfRule>
    <cfRule type="containsText" dxfId="384" priority="19" operator="containsText" text="מידע פנימי">
      <formula>NOT(ISERROR(SEARCH("מידע פנימי",B12)))</formula>
    </cfRule>
    <cfRule type="containsText" dxfId="383" priority="20" operator="containsText" text="מידע פומבי">
      <formula>NOT(ISERROR(SEARCH("מידע פומבי",B12)))</formula>
    </cfRule>
  </conditionalFormatting>
  <conditionalFormatting sqref="D38">
    <cfRule type="containsText" dxfId="382" priority="5" operator="containsText" text="ביטחוני">
      <formula>NOT(ISERROR(SEARCH("ביטחוני",D38)))</formula>
    </cfRule>
    <cfRule type="containsText" dxfId="381" priority="6" operator="containsText" text="סתירה">
      <formula>NOT(ISERROR(SEARCH("סתירה",D38)))</formula>
    </cfRule>
    <cfRule type="containsText" dxfId="380" priority="7" operator="containsText" text="מידע פנימי חסוי">
      <formula>NOT(ISERROR(SEARCH("מידע פנימי חסוי",D38)))</formula>
    </cfRule>
    <cfRule type="containsText" dxfId="379" priority="8" operator="containsText" text="מידע פנימי מוגבל">
      <formula>NOT(ISERROR(SEARCH("מידע פנימי מוגבל",D38)))</formula>
    </cfRule>
    <cfRule type="containsText" dxfId="378" priority="9" operator="containsText" text="מידע פנימי">
      <formula>NOT(ISERROR(SEARCH("מידע פנימי",D38)))</formula>
    </cfRule>
    <cfRule type="containsText" dxfId="377" priority="10" operator="containsText" text="מידע פומבי">
      <formula>NOT(ISERROR(SEARCH("מידע פומבי",D38)))</formula>
    </cfRule>
  </conditionalFormatting>
  <conditionalFormatting sqref="G38">
    <cfRule type="containsText" dxfId="376" priority="1" operator="containsText" text="חמור">
      <formula>NOT(ISERROR(SEARCH("חמור",G38)))</formula>
    </cfRule>
    <cfRule type="containsText" dxfId="375" priority="2" operator="containsText" text="בינוני">
      <formula>NOT(ISERROR(SEARCH("בינוני",G38)))</formula>
    </cfRule>
    <cfRule type="containsText" dxfId="374" priority="3" operator="containsText" text="מוגבל">
      <formula>NOT(ISERROR(SEARCH("מוגבל",G38)))</formula>
    </cfRule>
    <cfRule type="containsText" dxfId="373" priority="4" operator="containsText" text="מינימלי">
      <formula>NOT(ISERROR(SEARCH("מינימלי",G38)))</formula>
    </cfRule>
  </conditionalFormatting>
  <conditionalFormatting sqref="S42:S44">
    <cfRule type="containsText" dxfId="372" priority="11" operator="containsText" text="חמור">
      <formula>NOT(ISERROR(SEARCH("חמור",S42)))</formula>
    </cfRule>
    <cfRule type="containsText" dxfId="371" priority="12" operator="containsText" text="בינוני">
      <formula>NOT(ISERROR(SEARCH("בינוני",S42)))</formula>
    </cfRule>
    <cfRule type="containsText" dxfId="370" priority="13" operator="containsText" text="מוגבל">
      <formula>NOT(ISERROR(SEARCH("מוגבל",S42)))</formula>
    </cfRule>
    <cfRule type="beginsWith" dxfId="369" priority="14" operator="beginsWith" text="מינימלי">
      <formula>LEFT(S42,LEN("מינימלי"))="מינימלי"</formula>
    </cfRule>
  </conditionalFormatting>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D2270-4BD3-475E-BE32-E99E744DC638}">
  <sheetPr codeName="Sheet4"/>
  <dimension ref="A1:L78"/>
  <sheetViews>
    <sheetView rightToLeft="1" topLeftCell="A70" zoomScale="130" zoomScaleNormal="130" workbookViewId="0">
      <selection activeCell="H27" sqref="H27:I27"/>
    </sheetView>
  </sheetViews>
  <sheetFormatPr defaultColWidth="0" defaultRowHeight="14.25" zeroHeight="1"/>
  <cols>
    <col min="1" max="3" width="8.5" style="1" customWidth="1"/>
    <col min="4" max="4" width="8.125" style="1" customWidth="1"/>
    <col min="5" max="5" width="9.125" style="1" customWidth="1"/>
    <col min="6" max="6" width="10.5" style="1" customWidth="1"/>
    <col min="7" max="7" width="12.125" style="1" customWidth="1"/>
    <col min="8" max="8" width="13.5" style="1" bestFit="1" customWidth="1"/>
    <col min="9" max="9" width="11.125" style="1" customWidth="1"/>
    <col min="10" max="10" width="12.125" style="1" customWidth="1"/>
    <col min="11" max="12" width="9.125" style="1" customWidth="1"/>
    <col min="13" max="16384" width="9.125" style="1" hidden="1"/>
  </cols>
  <sheetData>
    <row r="1" spans="1:12" ht="25.9" customHeight="1">
      <c r="A1" s="28"/>
      <c r="B1" s="28"/>
      <c r="C1" s="28"/>
      <c r="D1" s="28"/>
      <c r="E1" s="28"/>
      <c r="F1" s="28"/>
      <c r="G1" s="28"/>
      <c r="H1" s="28"/>
      <c r="I1" s="28"/>
      <c r="J1" s="28"/>
      <c r="K1" s="28"/>
      <c r="L1" s="28"/>
    </row>
    <row r="2" spans="1:12" ht="25.9" customHeight="1">
      <c r="A2" s="28"/>
      <c r="B2" s="28"/>
      <c r="C2" s="28"/>
      <c r="D2" s="28"/>
      <c r="E2" s="28"/>
      <c r="F2" s="28"/>
      <c r="G2" s="28"/>
      <c r="H2" s="28"/>
      <c r="I2" s="28"/>
      <c r="J2" s="28"/>
      <c r="K2" s="28"/>
      <c r="L2" s="28"/>
    </row>
    <row r="3" spans="1:12" ht="20.25">
      <c r="A3" s="28"/>
      <c r="F3" s="379" t="str">
        <f>"תמונת מצב המערכת "</f>
        <v xml:space="preserve">תמונת מצב המערכת </v>
      </c>
      <c r="L3" s="28"/>
    </row>
    <row r="4" spans="1:12">
      <c r="A4" s="28"/>
      <c r="C4" s="382"/>
      <c r="D4" s="382"/>
      <c r="E4" s="382"/>
      <c r="F4" s="382"/>
      <c r="G4" s="382"/>
      <c r="H4" s="382"/>
      <c r="I4" s="382"/>
      <c r="J4" s="382"/>
      <c r="L4" s="28"/>
    </row>
    <row r="5" spans="1:12">
      <c r="A5" s="28"/>
      <c r="C5" s="382"/>
      <c r="D5" s="382"/>
      <c r="E5" s="382"/>
      <c r="F5" s="382"/>
      <c r="G5" s="382"/>
      <c r="H5" s="382"/>
      <c r="I5" s="382"/>
      <c r="J5" s="382"/>
      <c r="L5" s="28"/>
    </row>
    <row r="6" spans="1:12" ht="15">
      <c r="A6" s="28"/>
      <c r="C6" s="383"/>
      <c r="D6" s="382"/>
      <c r="E6" s="382"/>
      <c r="F6" s="383"/>
      <c r="G6" s="382"/>
      <c r="H6" s="382"/>
      <c r="I6" s="383"/>
      <c r="J6" s="383"/>
      <c r="L6" s="28"/>
    </row>
    <row r="7" spans="1:12">
      <c r="A7" s="28"/>
      <c r="C7" s="382"/>
      <c r="D7" s="382"/>
      <c r="E7" s="382"/>
      <c r="F7" s="382"/>
      <c r="G7" s="382"/>
      <c r="H7" s="382"/>
      <c r="I7" s="382"/>
      <c r="J7" s="382"/>
      <c r="L7" s="28"/>
    </row>
    <row r="8" spans="1:12">
      <c r="A8" s="28"/>
      <c r="C8" s="382"/>
      <c r="D8" s="382"/>
      <c r="E8" s="382"/>
      <c r="F8" s="382"/>
      <c r="G8" s="382"/>
      <c r="H8" s="382"/>
      <c r="I8" s="382"/>
      <c r="J8" s="382"/>
      <c r="L8" s="28"/>
    </row>
    <row r="9" spans="1:12">
      <c r="A9" s="28"/>
      <c r="C9" s="382"/>
      <c r="D9" s="382"/>
      <c r="E9" s="382"/>
      <c r="F9" s="382"/>
      <c r="G9" s="382"/>
      <c r="H9" s="382"/>
      <c r="I9" s="382"/>
      <c r="J9" s="382"/>
      <c r="L9" s="28"/>
    </row>
    <row r="10" spans="1:12">
      <c r="A10" s="28"/>
      <c r="C10" s="382"/>
      <c r="D10" s="382"/>
      <c r="E10" s="382"/>
      <c r="F10" s="382"/>
      <c r="G10" s="382"/>
      <c r="H10" s="382"/>
      <c r="I10" s="382"/>
      <c r="J10" s="382"/>
      <c r="L10" s="28"/>
    </row>
    <row r="11" spans="1:12" ht="15">
      <c r="A11" s="28" t="s">
        <v>1822</v>
      </c>
      <c r="C11" s="382"/>
      <c r="D11" s="382"/>
      <c r="E11" s="382"/>
      <c r="F11" s="382"/>
      <c r="G11" s="382"/>
      <c r="H11" s="382"/>
      <c r="I11" s="382"/>
      <c r="J11" s="385"/>
      <c r="L11" s="28"/>
    </row>
    <row r="12" spans="1:12">
      <c r="A12" s="28"/>
      <c r="C12" s="382"/>
      <c r="D12" s="382"/>
      <c r="E12" s="382"/>
      <c r="F12" s="382"/>
      <c r="G12" s="382"/>
      <c r="H12" s="382"/>
      <c r="I12" s="382"/>
      <c r="J12" s="382"/>
      <c r="K12" s="442" t="s">
        <v>1831</v>
      </c>
      <c r="L12" s="28"/>
    </row>
    <row r="13" spans="1:12">
      <c r="A13" s="28"/>
      <c r="C13" s="382"/>
      <c r="D13" s="382"/>
      <c r="E13" s="382"/>
      <c r="F13" s="382"/>
      <c r="G13" s="382"/>
      <c r="H13" s="382"/>
      <c r="I13" s="382"/>
      <c r="J13" s="382"/>
      <c r="L13" s="28"/>
    </row>
    <row r="14" spans="1:12">
      <c r="A14" s="28"/>
      <c r="C14" s="382"/>
      <c r="D14" s="382"/>
      <c r="E14" s="382"/>
      <c r="F14" s="382"/>
      <c r="G14" s="382"/>
      <c r="H14" s="382"/>
      <c r="I14" s="382"/>
      <c r="J14" s="382"/>
      <c r="L14" s="28"/>
    </row>
    <row r="15" spans="1:12">
      <c r="A15" s="28"/>
      <c r="C15" s="382"/>
      <c r="D15" s="382"/>
      <c r="E15" s="382"/>
      <c r="F15" s="382"/>
      <c r="G15" s="382"/>
      <c r="H15" s="382"/>
      <c r="I15" s="382"/>
      <c r="J15" s="382"/>
      <c r="L15" s="28"/>
    </row>
    <row r="16" spans="1:12">
      <c r="A16" s="28"/>
      <c r="C16" s="382"/>
      <c r="D16" s="382"/>
      <c r="E16" s="382"/>
      <c r="F16" s="382"/>
      <c r="G16" s="382"/>
      <c r="H16" s="382"/>
      <c r="I16" s="382"/>
      <c r="J16" s="382"/>
      <c r="L16" s="28"/>
    </row>
    <row r="17" spans="1:12">
      <c r="A17" s="28"/>
      <c r="C17" s="382"/>
      <c r="D17" s="382"/>
      <c r="E17" s="382"/>
      <c r="F17" s="382"/>
      <c r="G17" s="382"/>
      <c r="H17" s="382"/>
      <c r="I17" s="382"/>
      <c r="J17" s="382"/>
      <c r="L17" s="28"/>
    </row>
    <row r="18" spans="1:12">
      <c r="A18" s="28"/>
      <c r="C18" s="382"/>
      <c r="D18" s="382"/>
      <c r="E18" s="382"/>
      <c r="F18" s="382"/>
      <c r="G18" s="382"/>
      <c r="H18" s="382"/>
      <c r="I18" s="382"/>
      <c r="J18" s="382"/>
      <c r="L18" s="28"/>
    </row>
    <row r="19" spans="1:12">
      <c r="A19" s="28"/>
      <c r="C19" s="382"/>
      <c r="D19" s="382"/>
      <c r="E19" s="382"/>
      <c r="F19" s="382"/>
      <c r="G19" s="382"/>
      <c r="H19" s="382"/>
      <c r="I19" s="382"/>
      <c r="J19" s="382"/>
      <c r="L19" s="28"/>
    </row>
    <row r="20" spans="1:12">
      <c r="A20" s="28"/>
      <c r="C20" s="382"/>
      <c r="D20" s="382"/>
      <c r="E20" s="382"/>
      <c r="F20" s="382"/>
      <c r="G20" s="382"/>
      <c r="H20" s="382"/>
      <c r="I20" s="382"/>
      <c r="J20" s="382"/>
      <c r="L20" s="28"/>
    </row>
    <row r="21" spans="1:12">
      <c r="A21" s="28"/>
      <c r="C21" s="382"/>
      <c r="D21" s="382"/>
      <c r="E21" s="382"/>
      <c r="F21" s="382"/>
      <c r="G21" s="382"/>
      <c r="H21" s="382"/>
      <c r="I21" s="382"/>
      <c r="J21" s="382"/>
      <c r="L21" s="28"/>
    </row>
    <row r="22" spans="1:12">
      <c r="A22" s="28"/>
      <c r="L22" s="28"/>
    </row>
    <row r="23" spans="1:12" ht="16.5" thickBot="1">
      <c r="A23" s="28"/>
      <c r="D23" s="556" t="s">
        <v>2021</v>
      </c>
      <c r="E23" s="556"/>
      <c r="F23" s="556"/>
      <c r="G23" s="556"/>
      <c r="H23" s="556"/>
      <c r="I23" s="556"/>
      <c r="J23" s="299"/>
      <c r="K23" s="377"/>
      <c r="L23" s="28"/>
    </row>
    <row r="24" spans="1:12" ht="36.75" customHeight="1" thickBot="1">
      <c r="A24" s="28"/>
      <c r="D24" s="558" t="str">
        <f>'חישוב תמק'!K7</f>
        <v>על סמך ניתוח המערכת הנך נדרש לפנות למנחה לבחינת ההיתכנות להעלאת המערכת לענן</v>
      </c>
      <c r="E24" s="559"/>
      <c r="F24" s="559"/>
      <c r="G24" s="559"/>
      <c r="H24" s="559"/>
      <c r="I24" s="560"/>
      <c r="J24" s="299"/>
      <c r="K24" s="377"/>
      <c r="L24" s="28"/>
    </row>
    <row r="25" spans="1:12" ht="15.75">
      <c r="A25" s="28"/>
      <c r="D25" s="299"/>
      <c r="E25" s="299"/>
      <c r="F25" s="299"/>
      <c r="H25" s="299"/>
      <c r="I25" s="299"/>
      <c r="J25" s="299"/>
      <c r="K25" s="377"/>
      <c r="L25" s="28"/>
    </row>
    <row r="26" spans="1:12" ht="16.5" thickBot="1">
      <c r="A26" s="28"/>
      <c r="D26" s="556" t="s">
        <v>23</v>
      </c>
      <c r="E26" s="556"/>
      <c r="F26" s="556"/>
      <c r="H26" s="556" t="s">
        <v>53</v>
      </c>
      <c r="I26" s="556"/>
      <c r="J26" s="299"/>
      <c r="K26" s="377"/>
      <c r="L26" s="28"/>
    </row>
    <row r="27" spans="1:12" ht="33" customHeight="1" thickBot="1">
      <c r="A27" s="28"/>
      <c r="D27" s="510" t="str">
        <f>'חישובים ונתונים'!D38</f>
        <v>בלמס - מידע פנימי</v>
      </c>
      <c r="E27" s="511"/>
      <c r="F27" s="512"/>
      <c r="G27" s="274" t="s">
        <v>78</v>
      </c>
      <c r="H27" s="561" t="str">
        <f>'חישובים ונתונים'!G38</f>
        <v>נזק בינוני</v>
      </c>
      <c r="I27" s="562"/>
      <c r="J27" s="22"/>
      <c r="K27" s="286"/>
      <c r="L27" s="28"/>
    </row>
    <row r="28" spans="1:12">
      <c r="A28" s="28"/>
      <c r="D28" s="6"/>
      <c r="E28" s="6"/>
      <c r="F28" s="6"/>
      <c r="G28" s="527" t="s">
        <v>79</v>
      </c>
      <c r="H28" s="6"/>
      <c r="I28" s="6"/>
      <c r="J28" s="6"/>
      <c r="K28" s="286"/>
      <c r="L28" s="28"/>
    </row>
    <row r="29" spans="1:12">
      <c r="A29" s="28"/>
      <c r="D29" s="6"/>
      <c r="E29" s="6"/>
      <c r="F29" s="6"/>
      <c r="G29" s="566"/>
      <c r="H29" s="6"/>
      <c r="I29" s="6"/>
      <c r="J29" s="6"/>
      <c r="K29" s="286"/>
      <c r="L29" s="28"/>
    </row>
    <row r="30" spans="1:12" ht="21" thickBot="1">
      <c r="A30" s="28"/>
      <c r="D30" s="513" t="s">
        <v>1517</v>
      </c>
      <c r="E30" s="513"/>
      <c r="F30" s="513"/>
      <c r="G30" s="513"/>
      <c r="H30" s="513"/>
      <c r="I30" s="513"/>
      <c r="J30" s="298"/>
      <c r="K30" s="286"/>
      <c r="L30" s="28"/>
    </row>
    <row r="31" spans="1:12" ht="15" thickBot="1">
      <c r="A31" s="28"/>
      <c r="D31" s="563" t="str">
        <f>'חישובים ונתונים'!D40</f>
        <v>רמת הסיכון השורשי למערכת ולמידע לאחר חישוב הינו - סיכון גבוה</v>
      </c>
      <c r="E31" s="564"/>
      <c r="F31" s="564"/>
      <c r="G31" s="564"/>
      <c r="H31" s="564"/>
      <c r="I31" s="565"/>
      <c r="J31" s="2"/>
      <c r="K31" s="286"/>
      <c r="L31" s="28"/>
    </row>
    <row r="32" spans="1:12" ht="20.25">
      <c r="A32" s="28"/>
      <c r="G32" s="263" t="s">
        <v>1515</v>
      </c>
      <c r="K32" s="14"/>
      <c r="L32" s="28"/>
    </row>
    <row r="33" spans="1:12" ht="20.25">
      <c r="A33" s="28"/>
      <c r="G33" s="264">
        <f>חישובים!E2</f>
        <v>218</v>
      </c>
      <c r="K33" s="14"/>
      <c r="L33" s="28"/>
    </row>
    <row r="34" spans="1:12" ht="20.25">
      <c r="A34" s="28"/>
      <c r="G34" s="263" t="s">
        <v>1515</v>
      </c>
      <c r="K34" s="14"/>
      <c r="L34" s="28"/>
    </row>
    <row r="35" spans="1:12" ht="21" thickBot="1">
      <c r="A35" s="28"/>
      <c r="D35" s="513" t="s">
        <v>1518</v>
      </c>
      <c r="E35" s="513"/>
      <c r="F35" s="513"/>
      <c r="G35" s="513"/>
      <c r="H35" s="513"/>
      <c r="I35" s="513"/>
      <c r="J35" s="298"/>
      <c r="K35" s="14"/>
      <c r="L35" s="28"/>
    </row>
    <row r="36" spans="1:12" ht="17.45" customHeight="1" thickBot="1">
      <c r="A36" s="28"/>
      <c r="D36" s="569" t="str">
        <f>'חישובים ונתונים'!G25</f>
        <v>רמת הסיכון השיורי למערכת ולמידע לאחר יישום הבקרות הינו - סיכון בינוני</v>
      </c>
      <c r="E36" s="570"/>
      <c r="F36" s="570"/>
      <c r="G36" s="570"/>
      <c r="H36" s="570"/>
      <c r="I36" s="571"/>
      <c r="J36" s="380"/>
      <c r="K36" s="14"/>
      <c r="L36" s="28"/>
    </row>
    <row r="37" spans="1:12" ht="20.25">
      <c r="A37" s="28"/>
      <c r="K37" s="14"/>
      <c r="L37" s="28"/>
    </row>
    <row r="38" spans="1:12" ht="20.25">
      <c r="A38" s="28"/>
      <c r="D38" s="513" t="s">
        <v>136</v>
      </c>
      <c r="E38" s="513"/>
      <c r="F38" s="513"/>
      <c r="G38" s="513"/>
      <c r="H38" s="513"/>
      <c r="I38" s="513"/>
      <c r="J38" s="298"/>
      <c r="K38" s="14"/>
      <c r="L38" s="28"/>
    </row>
    <row r="39" spans="1:12" ht="15" thickBot="1">
      <c r="A39" s="28"/>
      <c r="D39" s="6"/>
      <c r="E39" s="6"/>
      <c r="F39" s="557" t="s">
        <v>7</v>
      </c>
      <c r="G39" s="557"/>
      <c r="H39" s="557"/>
      <c r="I39" s="557"/>
      <c r="J39" s="384"/>
      <c r="L39" s="28"/>
    </row>
    <row r="40" spans="1:12" ht="15.75" thickBot="1">
      <c r="A40" s="28"/>
      <c r="D40" s="6"/>
      <c r="E40" s="4"/>
      <c r="F40" s="55" t="s">
        <v>8</v>
      </c>
      <c r="G40" s="56" t="s">
        <v>10</v>
      </c>
      <c r="H40" s="56" t="s">
        <v>11</v>
      </c>
      <c r="I40" s="57" t="s">
        <v>49</v>
      </c>
      <c r="J40" s="300"/>
      <c r="L40" s="28"/>
    </row>
    <row r="41" spans="1:12">
      <c r="A41" s="28"/>
      <c r="D41" s="567" t="s">
        <v>135</v>
      </c>
      <c r="E41" s="58" t="s">
        <v>46</v>
      </c>
      <c r="F41" s="86" t="s">
        <v>50</v>
      </c>
      <c r="G41" s="40" t="s">
        <v>26</v>
      </c>
      <c r="H41" s="41" t="s">
        <v>51</v>
      </c>
      <c r="I41" s="81" t="s">
        <v>52</v>
      </c>
      <c r="J41" s="384"/>
      <c r="L41" s="28"/>
    </row>
    <row r="42" spans="1:12">
      <c r="A42" s="28"/>
      <c r="D42" s="568"/>
      <c r="E42" s="59" t="s">
        <v>42</v>
      </c>
      <c r="F42" s="38" t="s">
        <v>26</v>
      </c>
      <c r="G42" s="36" t="s">
        <v>26</v>
      </c>
      <c r="H42" s="37" t="s">
        <v>51</v>
      </c>
      <c r="I42" s="82" t="s">
        <v>52</v>
      </c>
      <c r="J42" s="384"/>
      <c r="L42" s="28"/>
    </row>
    <row r="43" spans="1:12">
      <c r="A43" s="28"/>
      <c r="D43" s="568"/>
      <c r="E43" s="59" t="s">
        <v>43</v>
      </c>
      <c r="F43" s="39" t="s">
        <v>51</v>
      </c>
      <c r="G43" s="37" t="s">
        <v>51</v>
      </c>
      <c r="H43" s="37" t="s">
        <v>51</v>
      </c>
      <c r="I43" s="82" t="s">
        <v>52</v>
      </c>
      <c r="J43" s="384"/>
      <c r="L43" s="28"/>
    </row>
    <row r="44" spans="1:12" ht="15" thickBot="1">
      <c r="A44" s="28"/>
      <c r="D44" s="568"/>
      <c r="E44" s="60" t="s">
        <v>44</v>
      </c>
      <c r="F44" s="84" t="s">
        <v>52</v>
      </c>
      <c r="G44" s="85" t="s">
        <v>52</v>
      </c>
      <c r="H44" s="85" t="s">
        <v>52</v>
      </c>
      <c r="I44" s="83" t="s">
        <v>52</v>
      </c>
      <c r="J44" s="384"/>
      <c r="L44" s="28"/>
    </row>
    <row r="45" spans="1:12">
      <c r="A45" s="28"/>
      <c r="L45" s="28"/>
    </row>
    <row r="46" spans="1:12">
      <c r="A46" s="28"/>
      <c r="D46" s="2"/>
      <c r="E46" s="2"/>
      <c r="F46" s="2"/>
      <c r="G46" s="2"/>
      <c r="H46" s="2"/>
      <c r="I46" s="2"/>
      <c r="J46" s="2"/>
      <c r="L46" s="28"/>
    </row>
    <row r="47" spans="1:12" ht="21" thickBot="1">
      <c r="A47" s="28"/>
      <c r="D47" s="513" t="s">
        <v>64</v>
      </c>
      <c r="E47" s="513"/>
      <c r="F47" s="513"/>
      <c r="G47" s="513"/>
      <c r="H47" s="513"/>
      <c r="I47" s="513"/>
      <c r="J47" s="298"/>
      <c r="L47" s="28"/>
    </row>
    <row r="48" spans="1:12" ht="24" customHeight="1">
      <c r="A48" s="28"/>
      <c r="D48" s="583" t="s">
        <v>1828</v>
      </c>
      <c r="E48" s="584"/>
      <c r="F48" s="576" t="str">
        <f ca="1">'חישובים ונתונים'!K46</f>
        <v>ללא פגיעה כלכלית בארגון</v>
      </c>
      <c r="G48" s="577"/>
      <c r="H48" s="577"/>
      <c r="I48" s="578"/>
      <c r="J48" s="381"/>
      <c r="L48" s="28"/>
    </row>
    <row r="49" spans="1:12" ht="32.450000000000003" customHeight="1">
      <c r="A49" s="28"/>
      <c r="D49" s="572" t="s">
        <v>1832</v>
      </c>
      <c r="E49" s="573"/>
      <c r="F49" s="579" t="str">
        <f>'חישובים ונתונים'!L46</f>
        <v>ללא נזק תדמיתי או חשיפה תקשורתית נמוכה</v>
      </c>
      <c r="G49" s="579"/>
      <c r="H49" s="579"/>
      <c r="I49" s="580"/>
      <c r="J49" s="381"/>
      <c r="L49" s="28"/>
    </row>
    <row r="50" spans="1:12" ht="33" customHeight="1">
      <c r="A50" s="28"/>
      <c r="D50" s="572" t="s">
        <v>47</v>
      </c>
      <c r="E50" s="573"/>
      <c r="F50" s="579" t="str">
        <f>'חישובים ונתונים'!M46</f>
        <v>פגיעה מצומצמת ברציפות התפקודית תוך עמידה ביעדים</v>
      </c>
      <c r="G50" s="579"/>
      <c r="H50" s="579"/>
      <c r="I50" s="580"/>
      <c r="J50" s="381"/>
      <c r="L50" s="28"/>
    </row>
    <row r="51" spans="1:12" ht="35.25" customHeight="1">
      <c r="A51" s="28"/>
      <c r="D51" s="572" t="s">
        <v>1833</v>
      </c>
      <c r="E51" s="573"/>
      <c r="F51" s="579" t="str">
        <f>'חישובים ונתונים'!N46</f>
        <v>פגיעה נקודתית במתן שירות לציבור / ללקחות תוך עמידה ביעדים</v>
      </c>
      <c r="G51" s="579"/>
      <c r="H51" s="579"/>
      <c r="I51" s="580"/>
      <c r="J51" s="381"/>
      <c r="L51" s="28"/>
    </row>
    <row r="52" spans="1:12" ht="28.7" customHeight="1">
      <c r="A52" s="28"/>
      <c r="D52" s="572" t="s">
        <v>1841</v>
      </c>
      <c r="E52" s="573"/>
      <c r="F52" s="579" t="str">
        <f>'חישובים ונתונים'!O46</f>
        <v>ללא חשיפה משפטית</v>
      </c>
      <c r="G52" s="579"/>
      <c r="H52" s="579"/>
      <c r="I52" s="580"/>
      <c r="J52" s="381"/>
      <c r="L52" s="28"/>
    </row>
    <row r="53" spans="1:12" ht="26.25" customHeight="1">
      <c r="A53" s="28"/>
      <c r="D53" s="572" t="s">
        <v>1846</v>
      </c>
      <c r="E53" s="573"/>
      <c r="F53" s="579" t="str">
        <f>'חישובים ונתונים'!P46</f>
        <v>השפעה על נכס מידע תשתיתי לא אסטרטגי בודד</v>
      </c>
      <c r="G53" s="579"/>
      <c r="H53" s="579"/>
      <c r="I53" s="580"/>
      <c r="J53" s="381"/>
      <c r="L53" s="28"/>
    </row>
    <row r="54" spans="1:12" ht="54" customHeight="1" thickBot="1">
      <c r="A54" s="28"/>
      <c r="D54" s="574" t="s">
        <v>1827</v>
      </c>
      <c r="E54" s="575"/>
      <c r="F54" s="581" t="str">
        <f>'חישובים ונתונים'!Q46</f>
        <v>פגיעה נרחבת בודדת או מספר פגיעות נקודתיות</v>
      </c>
      <c r="G54" s="581"/>
      <c r="H54" s="581"/>
      <c r="I54" s="582"/>
      <c r="J54" s="381"/>
      <c r="L54" s="28"/>
    </row>
    <row r="55" spans="1:12" ht="12.75" customHeight="1">
      <c r="A55" s="28"/>
      <c r="D55" s="78"/>
      <c r="E55" s="78"/>
      <c r="F55" s="79"/>
      <c r="G55" s="79"/>
      <c r="H55" s="79"/>
      <c r="I55" s="79"/>
      <c r="J55" s="79"/>
      <c r="L55" s="28"/>
    </row>
    <row r="56" spans="1:12" ht="18">
      <c r="A56" s="28"/>
      <c r="D56" s="2"/>
      <c r="E56" s="2"/>
      <c r="G56" s="268" t="s">
        <v>1516</v>
      </c>
      <c r="H56" s="267"/>
      <c r="I56" s="2"/>
      <c r="J56" s="2"/>
      <c r="L56" s="28"/>
    </row>
    <row r="57" spans="1:12">
      <c r="A57" s="28"/>
      <c r="E57" s="2"/>
      <c r="F57" s="80" t="s">
        <v>67</v>
      </c>
      <c r="G57" s="80" t="s">
        <v>68</v>
      </c>
      <c r="H57" s="80" t="s">
        <v>69</v>
      </c>
      <c r="L57" s="28"/>
    </row>
    <row r="58" spans="1:12" ht="20.25" customHeight="1">
      <c r="A58" s="28"/>
      <c r="E58" s="2"/>
      <c r="F58" s="80">
        <f>IF(ISNUMBER('חישובים ונתונים'!R42), 'חישובים ונתונים'!R42, "לא זמין")</f>
        <v>2</v>
      </c>
      <c r="G58" s="80">
        <f>IF(ISNUMBER('חישובים ונתונים'!R43), 'חישובים ונתונים'!R43, "לא זמין")</f>
        <v>2</v>
      </c>
      <c r="H58" s="80">
        <f>IF(ISNUMBER('חישובים ונתונים'!R44), 'חישובים ונתונים'!R44, "לא זמין")</f>
        <v>3</v>
      </c>
      <c r="L58" s="28"/>
    </row>
    <row r="59" spans="1:12" ht="20.25" customHeight="1">
      <c r="A59" s="28"/>
      <c r="D59" s="2"/>
      <c r="E59" s="2"/>
      <c r="G59" s="265"/>
      <c r="H59" s="266"/>
      <c r="I59" s="265"/>
      <c r="J59" s="265"/>
      <c r="L59" s="28"/>
    </row>
    <row r="60" spans="1:12">
      <c r="A60" s="28"/>
      <c r="B60" s="28"/>
      <c r="C60" s="28"/>
      <c r="D60" s="28"/>
      <c r="E60" s="28"/>
      <c r="F60" s="28"/>
      <c r="G60" s="28"/>
      <c r="H60" s="28"/>
      <c r="I60" s="28"/>
      <c r="J60" s="28"/>
      <c r="K60" s="28"/>
      <c r="L60" s="28"/>
    </row>
    <row r="61" spans="1:12">
      <c r="A61" s="28"/>
      <c r="B61" s="28"/>
      <c r="C61" s="28"/>
      <c r="D61" s="28"/>
      <c r="E61" s="28"/>
      <c r="F61" s="28"/>
      <c r="G61" s="28"/>
      <c r="H61" s="28"/>
      <c r="I61" s="28"/>
      <c r="J61" s="28"/>
      <c r="K61" s="28"/>
      <c r="L61" s="28"/>
    </row>
    <row r="62" spans="1:12"/>
    <row r="63" spans="1:12"/>
    <row r="64" spans="1:12"/>
    <row r="65"/>
    <row r="66"/>
    <row r="67"/>
    <row r="68"/>
    <row r="69"/>
    <row r="70"/>
    <row r="71"/>
    <row r="72"/>
    <row r="73"/>
    <row r="74"/>
    <row r="75"/>
    <row r="76"/>
    <row r="77"/>
    <row r="78"/>
  </sheetData>
  <sheetProtection algorithmName="SHA-512" hashValue="/cuIeZybi1+0AKtgEr+vQ6D4OTliDOSKnfQaik80DIKa1/EmXyPfJ/ddXX0S97W9OphNwWgGWcMg2uzy/gWC9w==" saltValue="OtsDEQtuEHqJl0tF4iGTug==" spinCount="100000" sheet="1" objects="1" scenarios="1"/>
  <mergeCells count="29">
    <mergeCell ref="D52:E52"/>
    <mergeCell ref="D53:E53"/>
    <mergeCell ref="D54:E54"/>
    <mergeCell ref="F48:I48"/>
    <mergeCell ref="F49:I49"/>
    <mergeCell ref="F50:I50"/>
    <mergeCell ref="F51:I51"/>
    <mergeCell ref="F52:I52"/>
    <mergeCell ref="F53:I53"/>
    <mergeCell ref="F54:I54"/>
    <mergeCell ref="D48:E48"/>
    <mergeCell ref="D49:E49"/>
    <mergeCell ref="D50:E50"/>
    <mergeCell ref="D51:E51"/>
    <mergeCell ref="D47:I47"/>
    <mergeCell ref="D30:I30"/>
    <mergeCell ref="D31:I31"/>
    <mergeCell ref="G28:G29"/>
    <mergeCell ref="D41:D44"/>
    <mergeCell ref="D38:I38"/>
    <mergeCell ref="D35:I35"/>
    <mergeCell ref="D36:I36"/>
    <mergeCell ref="D27:F27"/>
    <mergeCell ref="D26:F26"/>
    <mergeCell ref="H26:I26"/>
    <mergeCell ref="D23:I23"/>
    <mergeCell ref="F39:I39"/>
    <mergeCell ref="D24:I24"/>
    <mergeCell ref="H27:I27"/>
  </mergeCells>
  <conditionalFormatting sqref="A62:XFD1048576">
    <cfRule type="containsText" dxfId="368" priority="60" operator="containsText" text="סיכון מינימלי">
      <formula>NOT(ISERROR(SEARCH("סיכון מינימלי",A62)))</formula>
    </cfRule>
  </conditionalFormatting>
  <conditionalFormatting sqref="D27">
    <cfRule type="containsText" dxfId="367" priority="9" operator="containsText" text="בלמס - מידע פומבי">
      <formula>NOT(ISERROR(SEARCH("בלמס - מידע פומבי",D27)))</formula>
    </cfRule>
    <cfRule type="containsText" dxfId="366" priority="7" operator="containsText" text="בלמס - מידע פנימי מוגבל">
      <formula>NOT(ISERROR(SEARCH("בלמס - מידע פנימי מוגבל",D27)))</formula>
    </cfRule>
    <cfRule type="containsText" dxfId="365" priority="8" operator="containsText" text="בלמס - מידע פנימי">
      <formula>NOT(ISERROR(SEARCH("בלמס - מידע פנימי",D27)))</formula>
    </cfRule>
    <cfRule type="containsText" dxfId="364" priority="5" operator="containsText" text="סתירה">
      <formula>NOT(ISERROR(SEARCH("סתירה",D27)))</formula>
    </cfRule>
    <cfRule type="containsText" dxfId="363" priority="6" operator="containsText" text="בלמס - מידע פנימי חסוי">
      <formula>NOT(ISERROR(SEARCH("בלמס - מידע פנימי חסוי",D27)))</formula>
    </cfRule>
  </conditionalFormatting>
  <conditionalFormatting sqref="D28:D31">
    <cfRule type="containsText" dxfId="362" priority="70" operator="containsText" text="מידע פומבי">
      <formula>NOT(ISERROR(SEARCH("מידע פומבי",D28)))</formula>
    </cfRule>
    <cfRule type="containsText" dxfId="361" priority="67" operator="containsText" text="מידע פנימי חסוי">
      <formula>NOT(ISERROR(SEARCH("מידע פנימי חסוי",D28)))</formula>
    </cfRule>
    <cfRule type="containsText" dxfId="360" priority="66" operator="containsText" text="סתירה">
      <formula>NOT(ISERROR(SEARCH("סתירה",D28)))</formula>
    </cfRule>
    <cfRule type="containsText" dxfId="359" priority="65" operator="containsText" text="ביטחוני">
      <formula>NOT(ISERROR(SEARCH("ביטחוני",D28)))</formula>
    </cfRule>
    <cfRule type="containsText" dxfId="358" priority="68" operator="containsText" text="מידע פנימי מוגבל">
      <formula>NOT(ISERROR(SEARCH("מידע פנימי מוגבל",D28)))</formula>
    </cfRule>
    <cfRule type="containsText" dxfId="357" priority="69" operator="containsText" text="מידע פנימי">
      <formula>NOT(ISERROR(SEARCH("מידע פנימי",D28)))</formula>
    </cfRule>
  </conditionalFormatting>
  <conditionalFormatting sqref="D31 D36">
    <cfRule type="containsText" dxfId="356" priority="56" operator="containsText" text="גבוה">
      <formula>NOT(ISERROR(SEARCH("גבוה",D31)))</formula>
    </cfRule>
    <cfRule type="containsText" dxfId="355" priority="55" operator="containsText" text="גבוה מאוד">
      <formula>NOT(ISERROR(SEARCH("גבוה מאוד",D31)))</formula>
    </cfRule>
    <cfRule type="containsText" dxfId="354" priority="50" operator="containsText" text="בינוני">
      <formula>NOT(ISERROR(SEARCH("בינוני",D31)))</formula>
    </cfRule>
  </conditionalFormatting>
  <conditionalFormatting sqref="D35">
    <cfRule type="containsText" dxfId="353" priority="18" operator="containsText" text="ביטחוני">
      <formula>NOT(ISERROR(SEARCH("ביטחוני",D35)))</formula>
    </cfRule>
    <cfRule type="containsText" dxfId="352" priority="19" operator="containsText" text="סתירה">
      <formula>NOT(ISERROR(SEARCH("סתירה",D35)))</formula>
    </cfRule>
    <cfRule type="containsText" dxfId="351" priority="23" operator="containsText" text="מידע פומבי">
      <formula>NOT(ISERROR(SEARCH("מידע פומבי",D35)))</formula>
    </cfRule>
    <cfRule type="containsText" dxfId="350" priority="21" operator="containsText" text="מידע פנימי מוגבל">
      <formula>NOT(ISERROR(SEARCH("מידע פנימי מוגבל",D35)))</formula>
    </cfRule>
    <cfRule type="containsText" dxfId="349" priority="22" operator="containsText" text="מידע פנימי">
      <formula>NOT(ISERROR(SEARCH("מידע פנימי",D35)))</formula>
    </cfRule>
    <cfRule type="containsText" dxfId="348" priority="20" operator="containsText" text="מידע פנימי חסוי">
      <formula>NOT(ISERROR(SEARCH("מידע פנימי חסוי",D35)))</formula>
    </cfRule>
  </conditionalFormatting>
  <conditionalFormatting sqref="D27:F27">
    <cfRule type="containsText" dxfId="347" priority="2" operator="containsText" text="שמור צהוב - מידע פנימי מוגבל">
      <formula>NOT(ISERROR(SEARCH("שמור צהוב - מידע פנימי מוגבל",D27)))</formula>
    </cfRule>
    <cfRule type="containsText" dxfId="346" priority="3" operator="containsText" text="שמור צהוב - מידע פנימי">
      <formula>NOT(ISERROR(SEARCH("שמור צהוב - מידע פנימי",D27)))</formula>
    </cfRule>
    <cfRule type="containsText" dxfId="345" priority="4" operator="containsText" text="שמור צהוב - מידע פומבי">
      <formula>NOT(ISERROR(SEARCH("שמור צהוב - מידע פומבי",D27)))</formula>
    </cfRule>
    <cfRule type="containsText" dxfId="344" priority="10" operator="containsText" text="מנחה">
      <formula>NOT(ISERROR(SEARCH("מנחה",D27)))</formula>
    </cfRule>
    <cfRule type="containsText" dxfId="343" priority="1" operator="containsText" text="שמור צהוב - מידע פנימי חסוי">
      <formula>NOT(ISERROR(SEARCH("שמור צהוב - מידע פנימי חסוי",D27)))</formula>
    </cfRule>
  </conditionalFormatting>
  <conditionalFormatting sqref="D24:I24">
    <cfRule type="containsText" dxfId="342" priority="12" operator="containsText" text="עצמית">
      <formula>NOT(ISERROR(SEARCH("עצמית",D24)))</formula>
    </cfRule>
    <cfRule type="containsText" dxfId="341" priority="13" operator="containsText" text="ההיתכנות">
      <formula>NOT(ISERROR(SEARCH("ההיתכנות",D24)))</formula>
    </cfRule>
  </conditionalFormatting>
  <conditionalFormatting sqref="D31:J31 D36">
    <cfRule type="containsText" dxfId="340" priority="49" operator="containsText" text="נמוך">
      <formula>NOT(ISERROR(SEARCH("נמוך",D31)))</formula>
    </cfRule>
  </conditionalFormatting>
  <conditionalFormatting sqref="F48">
    <cfRule type="containsText" dxfId="339" priority="59" operator="containsText" text="ללא פגיעה כלכלית בארגון">
      <formula>NOT(ISERROR(SEARCH("ללא פגיעה כלכלית בארגון",F48)))</formula>
    </cfRule>
    <cfRule type="containsText" dxfId="338" priority="58" operator="containsText" text="עד 0.5%">
      <formula>NOT(ISERROR(SEARCH("עד 0.5%",F48)))</formula>
    </cfRule>
    <cfRule type="containsText" dxfId="337" priority="57" operator="containsText" text="עד 2%">
      <formula>NOT(ISERROR(SEARCH("עד 2%",F48)))</formula>
    </cfRule>
  </conditionalFormatting>
  <conditionalFormatting sqref="F49">
    <cfRule type="containsText" dxfId="336" priority="54" operator="containsText" text="ללא נזק תדמיתי או חשיפה תקשורתית נמוכה">
      <formula>NOT(ISERROR(SEARCH("ללא נזק תדמיתי או חשיפה תקשורתית נמוכה",F49)))</formula>
    </cfRule>
    <cfRule type="containsText" dxfId="335" priority="53" operator="containsText" text="כיסוי תקשורתי שלילי של כלי תקשורת איזוטריים">
      <formula>NOT(ISERROR(SEARCH("כיסוי תקשורתי שלילי של כלי תקשורת איזוטריים",F49)))</formula>
    </cfRule>
    <cfRule type="containsText" dxfId="334" priority="52" operator="containsText" text="שלילי נרחב ברמה">
      <formula>NOT(ISERROR(SEARCH("שלילי נרחב ברמה",F49)))</formula>
    </cfRule>
    <cfRule type="containsText" dxfId="333" priority="51" operator="containsText" text="עצירת פעילות">
      <formula>NOT(ISERROR(SEARCH("עצירת פעילות",F49)))</formula>
    </cfRule>
  </conditionalFormatting>
  <conditionalFormatting sqref="F58:H58">
    <cfRule type="iconSet" priority="229">
      <iconSet iconSet="4Rating">
        <cfvo type="percent" val="0"/>
        <cfvo type="num" val="2"/>
        <cfvo type="num" val="3"/>
        <cfvo type="num" val="4"/>
      </iconSet>
    </cfRule>
  </conditionalFormatting>
  <conditionalFormatting sqref="F48:J48">
    <cfRule type="containsText" dxfId="332" priority="24" operator="containsText" text="מעל 2%">
      <formula>NOT(ISERROR(SEARCH("מעל 2%",F48)))</formula>
    </cfRule>
  </conditionalFormatting>
  <conditionalFormatting sqref="F50:J50">
    <cfRule type="containsText" dxfId="331" priority="45" operator="containsText" text="פגיעה חמורה וממושכת">
      <formula>NOT(ISERROR(SEARCH("פגיעה חמורה וממושכת",F50)))</formula>
    </cfRule>
    <cfRule type="containsText" dxfId="330" priority="46" operator="containsText" text="פגיעה נמוכה ביעדי הרציפות התפקודית">
      <formula>NOT(ISERROR(SEARCH("פגיעה נמוכה ביעדי הרציפות התפקודית",F50)))</formula>
    </cfRule>
    <cfRule type="containsText" dxfId="329" priority="48" operator="containsText" text="ללא פגיעה ברציפות התפקודית">
      <formula>NOT(ISERROR(SEARCH("ללא פגיעה ברציפות התפקודית",F50)))</formula>
    </cfRule>
    <cfRule type="containsText" dxfId="328" priority="47" operator="containsText" text="פגיעה מצומצמת ברציפות">
      <formula>NOT(ISERROR(SEARCH("פגיעה מצומצמת ברציפות",F50)))</formula>
    </cfRule>
  </conditionalFormatting>
  <conditionalFormatting sqref="F51:J51">
    <cfRule type="containsText" dxfId="327" priority="43" operator="containsText" text="פגיעה נקודתית">
      <formula>NOT(ISERROR(SEARCH("פגיעה נקודתית",F51)))</formula>
    </cfRule>
    <cfRule type="containsText" dxfId="326" priority="44" operator="containsText" text="ללא פגיעה במתן שירות">
      <formula>NOT(ISERROR(SEARCH("ללא פגיעה במתן שירות",F51)))</formula>
    </cfRule>
    <cfRule type="containsText" dxfId="325" priority="41" operator="containsText" text="לתקופת זמן ממושכת וחריגה">
      <formula>NOT(ISERROR(SEARCH("לתקופת זמן ממושכת וחריגה",F51)))</formula>
    </cfRule>
    <cfRule type="containsText" dxfId="324" priority="42" operator="containsText" text="פגיעה נרחבת במתן שירותים">
      <formula>NOT(ISERROR(SEARCH("פגיעה נרחבת במתן שירותים",F51)))</formula>
    </cfRule>
  </conditionalFormatting>
  <conditionalFormatting sqref="F52:J52">
    <cfRule type="containsText" dxfId="323" priority="38" operator="containsText" text="נמוכה לתביעות">
      <formula>NOT(ISERROR(SEARCH("נמוכה לתביעות",F52)))</formula>
    </cfRule>
    <cfRule type="containsText" dxfId="322" priority="37" operator="containsText" text="חשיפה משפטית לקובלנה פלילית">
      <formula>NOT(ISERROR(SEARCH("חשיפה משפטית לקובלנה פלילית",F52)))</formula>
    </cfRule>
    <cfRule type="containsText" dxfId="321" priority="39" operator="containsText" text="חשיפה נמוכה מאוד לתביעות משפטיות">
      <formula>NOT(ISERROR(SEARCH("חשיפה נמוכה מאוד לתביעות משפטיות",F52)))</formula>
    </cfRule>
    <cfRule type="containsText" dxfId="320" priority="40" operator="containsText" text="ללא חשיפה משפטית">
      <formula>NOT(ISERROR(SEARCH("ללא חשיפה משפטית",F52)))</formula>
    </cfRule>
  </conditionalFormatting>
  <conditionalFormatting sqref="F53:J53">
    <cfRule type="containsText" dxfId="319" priority="36" operator="containsText" text="ללא השפעה">
      <formula>NOT(ISERROR(SEARCH("ללא השפעה",F53)))</formula>
    </cfRule>
    <cfRule type="containsText" dxfId="318" priority="35" operator="containsText" text="לא אסטרטגי בודד">
      <formula>NOT(ISERROR(SEARCH("לא אסטרטגי בודד",F53)))</formula>
    </cfRule>
    <cfRule type="containsText" dxfId="317" priority="34" operator="containsText" text="השפעה על מספר נכסים">
      <formula>NOT(ISERROR(SEARCH("השפעה על מספר נכסים",F53)))</formula>
    </cfRule>
    <cfRule type="containsText" dxfId="316" priority="33" operator="containsText" text="הפסקת פעילות הארגון או">
      <formula>NOT(ISERROR(SEARCH("הפסקת פעילות הארגון או",F53)))</formula>
    </cfRule>
  </conditionalFormatting>
  <conditionalFormatting sqref="F54:J55">
    <cfRule type="containsText" dxfId="315" priority="31" operator="containsText" text="פגיעה נקודתית">
      <formula>NOT(ISERROR(SEARCH("פגיעה נקודתית",F54)))</formula>
    </cfRule>
    <cfRule type="containsText" dxfId="314" priority="32" operator="containsText" text="ללא פגיעה">
      <formula>NOT(ISERROR(SEARCH("ללא פגיעה",F54)))</formula>
    </cfRule>
    <cfRule type="containsText" dxfId="313" priority="30" operator="containsText" text="פגיעה נרחבת בודדת או מספר">
      <formula>NOT(ISERROR(SEARCH("פגיעה נרחבת בודדת או מספר",F54)))</formula>
    </cfRule>
    <cfRule type="containsText" dxfId="312" priority="29" operator="containsText" text="מספר פגיעות נרחבות">
      <formula>NOT(ISERROR(SEARCH("מספר פגיעות נרחבות",F54)))</formula>
    </cfRule>
  </conditionalFormatting>
  <conditionalFormatting sqref="H27:H31 K27:K31">
    <cfRule type="containsText" dxfId="311" priority="61" operator="containsText" text="חמור">
      <formula>NOT(ISERROR(SEARCH("חמור",H27)))</formula>
    </cfRule>
    <cfRule type="containsText" dxfId="310" priority="62" operator="containsText" text="בינוני">
      <formula>NOT(ISERROR(SEARCH("בינוני",H27)))</formula>
    </cfRule>
    <cfRule type="containsText" dxfId="309" priority="64" operator="containsText" text="מינימלי">
      <formula>NOT(ISERROR(SEARCH("מינימלי",H27)))</formula>
    </cfRule>
    <cfRule type="containsText" dxfId="308" priority="63" operator="containsText" text="מוגבל">
      <formula>NOT(ISERROR(SEARCH("מוגבל",H27)))</formula>
    </cfRule>
  </conditionalFormatting>
  <conditionalFormatting sqref="H35">
    <cfRule type="containsText" dxfId="307" priority="17" operator="containsText" text="מינימלי">
      <formula>NOT(ISERROR(SEARCH("מינימלי",H35)))</formula>
    </cfRule>
    <cfRule type="containsText" dxfId="306" priority="16" operator="containsText" text="מוגבל">
      <formula>NOT(ISERROR(SEARCH("מוגבל",H35)))</formula>
    </cfRule>
    <cfRule type="containsText" dxfId="305" priority="15" operator="containsText" text="בינוני">
      <formula>NOT(ISERROR(SEARCH("בינוני",H35)))</formula>
    </cfRule>
    <cfRule type="containsText" dxfId="304" priority="14" operator="containsText" text="חמור">
      <formula>NOT(ISERROR(SEARCH("חמור",H35)))</formula>
    </cfRule>
  </conditionalFormatting>
  <pageMargins left="0.7" right="0.7" top="0.75" bottom="0.75" header="0.3" footer="0.3"/>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B59AE-7808-4F50-8DE2-4929ADA2ECE6}">
  <sheetPr codeName="Sheet16"/>
  <dimension ref="A1:P360"/>
  <sheetViews>
    <sheetView rightToLeft="1" topLeftCell="D1" zoomScale="50" zoomScaleNormal="50" workbookViewId="0">
      <selection activeCell="K5" sqref="K5"/>
    </sheetView>
  </sheetViews>
  <sheetFormatPr defaultColWidth="12" defaultRowHeight="14.25"/>
  <cols>
    <col min="1" max="1" width="12.5" style="1" customWidth="1"/>
    <col min="2" max="2" width="11.375" style="22" customWidth="1"/>
    <col min="3" max="3" width="12" style="22" bestFit="1" customWidth="1"/>
    <col min="4" max="4" width="11.875" style="22" customWidth="1"/>
    <col min="5" max="5" width="21.625" style="22" customWidth="1"/>
    <col min="6" max="6" width="67.5" style="234" customWidth="1"/>
    <col min="7" max="7" width="18.5" style="22" customWidth="1"/>
    <col min="8" max="8" width="47.5" style="22" customWidth="1"/>
    <col min="9" max="9" width="59.625" style="22" customWidth="1"/>
    <col min="10" max="10" width="115.5" style="248" customWidth="1"/>
    <col min="11" max="12" width="40.375" style="248" customWidth="1"/>
    <col min="13" max="15" width="9.375" style="22" customWidth="1"/>
    <col min="16" max="16384" width="12" style="1"/>
  </cols>
  <sheetData>
    <row r="1" spans="1:16" ht="55.5" customHeight="1">
      <c r="A1" s="28"/>
      <c r="B1" s="209"/>
      <c r="C1" s="209"/>
      <c r="D1" s="209"/>
      <c r="E1" s="209"/>
      <c r="F1" s="233"/>
      <c r="G1" s="209"/>
      <c r="H1" s="209"/>
      <c r="I1" s="209"/>
      <c r="J1" s="247"/>
      <c r="K1" s="247"/>
      <c r="L1" s="247"/>
      <c r="M1" s="209"/>
      <c r="N1" s="209"/>
      <c r="O1" s="209"/>
      <c r="P1" s="28"/>
    </row>
    <row r="2" spans="1:16">
      <c r="A2" s="28"/>
      <c r="B2" s="209"/>
      <c r="C2" s="209"/>
      <c r="D2" s="209"/>
      <c r="E2" s="209"/>
      <c r="F2" s="233"/>
      <c r="G2" s="209"/>
      <c r="H2" s="209"/>
      <c r="I2" s="209"/>
      <c r="J2" s="247"/>
      <c r="K2" s="247"/>
      <c r="L2" s="247"/>
      <c r="M2" s="209"/>
      <c r="N2" s="209"/>
      <c r="O2" s="209"/>
      <c r="P2" s="28"/>
    </row>
    <row r="3" spans="1:16" s="252" customFormat="1" ht="90">
      <c r="A3" s="251"/>
      <c r="B3" s="249" t="str" cm="1">
        <f t="array" ref="B3:O360" ca="1">IF(
    AND('פרופיל בקרות דרוש (8)'!E4=חישובים!O2, 'פרופיל בקרות דרוש (8)'!E3=חישובים!N2),
    INDEX(AWS[], SMALL(IF((AWS[Column1]=חישובים!$Q$1)+(AWS[Column1]=חישובים!$Q$2), ROW(AWS[Column1])-MIN(ROW(AWS[Column1]))+1, ""), ROW(INDIRECT("1:"&amp;COUNTIF(AWS[Column1],חישובים!$Q$1)+COUNTIF(AWS[Column1],חישובים!$Q$2)))), {3,4,5,6,7,14,16,2,17,19,20,27,23,21}),
    IF(
        AND('פרופיל בקרות דרוש (8)'!E4=חישובים!O3, 'פרופיל בקרות דרוש (8)'!E3=חישובים!N2),
        INDEX(AWS_2[], SMALL(IF((AWS_2[Column1]=חישובים!$Q$1)+(AWS_2[Column1]=חישובים!$Q$2), ROW(AWS_2[Column1])-MIN(ROW(AWS_2[Column1]))+1, ""), ROW(INDIRECT("1:"&amp;COUNTIF(AWS_2[Column1],חישובים!$Q$1)+COUNTIF(AWS_2[Column1],חישובים!$Q$2)))), {3,4,5,6,7,14,16,2,17,19,20,27,23,21}),
        IF(
            AND('פרופיל בקרות דרוש (8)'!E4=חישובים!O2, 'פרופיל בקרות דרוש (8)'!E3=חישובים!N3),
            INDEX(GCP[], SMALL(IF((GCP[Column1]=חישובים!$Q$1)+(GCP[Column1]=חישובים!$Q$2), ROW(GCP[Column1])-MIN(ROW(GCP[Column1]))+1, ""), ROW(INDIRECT("1:"&amp;COUNTIF(GCP[Column1],חישובים!$Q$1)+COUNTIF(GCP[Column1],חישובים!$Q$2)))), {3,4,5,6,7,14,16,2,17,19,20,27,23,21}),
            IF(
                AND('פרופיל בקרות דרוש (8)'!E4=חישובים!O3, 'פרופיל בקרות דרוש (8)'!E3=חישובים!N3),
                INDEX(GCP_2[], SMALL(IF((GCP_2[Column1]=חישובים!$Q$1)+(GCP_2[Column1]=חישובים!$Q$2), ROW(GCP_2[Column1])-MIN(ROW(GCP_2[Column1]))+1, ""), ROW(INDIRECT("1:"&amp;COUNTIF(GCP_2[Column1],חישובים!$Q$1)+COUNTIF(GCP_2[Column1],חישובים!$Q$2)))), {3,4,5,6,7,14,16,2,17,19,20,27,23,21}),
                "Error"
            )
        )
    )
)</f>
        <v>מספר בקרה ב CIS</v>
      </c>
      <c r="C3" s="249" t="str">
        <f ca="1"/>
        <v>סוג הנכס</v>
      </c>
      <c r="D3" s="249" t="str">
        <f ca="1"/>
        <v>סוג בקרת אבטחה</v>
      </c>
      <c r="E3" s="249" t="str">
        <f ca="1"/>
        <v>תיאור</v>
      </c>
      <c r="F3" s="250" t="str">
        <f ca="1"/>
        <v xml:space="preserve"> תיאור מפורט</v>
      </c>
      <c r="G3" s="249" t="str">
        <f ca="1"/>
        <v>תיאור בקרת ספק</v>
      </c>
      <c r="H3" s="249" t="str">
        <f ca="1"/>
        <v>תיאור</v>
      </c>
      <c r="I3" s="271" t="str">
        <f ca="1"/>
        <v>מספר בקרה ספק ענן CIS</v>
      </c>
      <c r="J3" s="271" t="str">
        <f ca="1"/>
        <v>הסבר</v>
      </c>
      <c r="K3" s="271" t="str">
        <f ca="1"/>
        <v>אופן מימוש הבקרה</v>
      </c>
      <c r="L3" s="271" t="str">
        <f ca="1"/>
        <v>קישורים יישימים</v>
      </c>
      <c r="M3" s="114" t="str">
        <f ca="1"/>
        <v>בקרת ספק מומלצת</v>
      </c>
      <c r="N3" s="114" t="str">
        <f ca="1"/>
        <v>סוג הבקרה</v>
      </c>
      <c r="O3" s="114" t="str">
        <f ca="1"/>
        <v>מתקבל כברירת מחדל באזור הנחיתה הממשלתי</v>
      </c>
      <c r="P3" s="28"/>
    </row>
    <row r="4" spans="1:16" ht="105">
      <c r="A4" s="28"/>
      <c r="B4" s="192" t="str">
        <f ca="1"/>
        <v>-</v>
      </c>
      <c r="C4" s="192" t="str">
        <f ca="1"/>
        <v>-</v>
      </c>
      <c r="D4" s="192" t="str">
        <f ca="1"/>
        <v>-</v>
      </c>
      <c r="E4" s="192" t="str">
        <f ca="1"/>
        <v>מיפוי ובקרה על נכסים ארגוניים</v>
      </c>
      <c r="F4" s="232" t="str">
        <f ca="1"/>
        <v>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v>
      </c>
      <c r="G4" s="192" t="str">
        <f ca="1"/>
        <v>-</v>
      </c>
      <c r="H4" s="192" t="str">
        <f ca="1"/>
        <v>-</v>
      </c>
      <c r="I4" s="272" t="str">
        <f ca="1"/>
        <v>-</v>
      </c>
      <c r="J4" s="273" t="str">
        <f ca="1"/>
        <v>-</v>
      </c>
      <c r="K4" s="273" t="str">
        <f ca="1"/>
        <v>-</v>
      </c>
      <c r="L4" s="273" t="str">
        <f ca="1"/>
        <v>-</v>
      </c>
      <c r="M4" s="192" t="str">
        <f ca="1"/>
        <v>-</v>
      </c>
      <c r="N4" s="192" t="str">
        <f ca="1"/>
        <v>-</v>
      </c>
      <c r="O4" s="192" t="str">
        <f ca="1"/>
        <v>.</v>
      </c>
      <c r="P4" s="28"/>
    </row>
    <row r="5" spans="1:16" ht="228">
      <c r="A5" s="28"/>
      <c r="B5" s="192">
        <f ca="1"/>
        <v>1.1000000000000001</v>
      </c>
      <c r="C5" s="192" t="str">
        <f ca="1"/>
        <v>Devices</v>
      </c>
      <c r="D5" s="192" t="str">
        <f ca="1"/>
        <v>Identify</v>
      </c>
      <c r="E5" s="192" t="str">
        <f ca="1"/>
        <v>הקמה ותחזוקה של מיפוי נכסים ארגוניים מפורטים</v>
      </c>
      <c r="F5" s="232" t="str">
        <f ca="1"/>
        <v>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v>
      </c>
      <c r="G5" s="192" t="str">
        <f ca="1"/>
        <v>2.13 Ensure Cloud Asset Inventory Is Enabled (Automated)</v>
      </c>
      <c r="H5" s="192" t="str">
        <f ca="1"/>
        <v xml:space="preserve">GCP Cloud Asset Inventory is services that provides a historical view of GCP resources and IAM policies through a time-series database. The information recorded includes metadata on Google Cloud resources, metadata on policies set on Google Cloud projects or resources, and runtime information gathered within a Google Cloud resource.
</v>
      </c>
      <c r="I5" s="272" t="str">
        <f ca="1"/>
        <v>2.13</v>
      </c>
      <c r="J5" s="273" t="str">
        <f ca="1"/>
        <v>The GCP resources and IAM policies captured by GCP Cloud Asset Inventory enables security analysis, resource change tracking, and compliance auditing.
It is recommended GCP Cloud Asset Inventory be enabled for all GCP projects.</v>
      </c>
      <c r="K5" s="273" t="str">
        <f ca="1"/>
        <v>From Google Cloud Console Enable the Cloud Asset API:
1. Go to API &amp; Services/Library by visiting https://console.cloud.google.com/apis/library
2. Search for Cloud Asset API and select the result for Cloud Asset API
3. Click the ENABLE button.
Page 115
From Google Cloud CLI Enable the Cloud Asset API:
1. Enable the Cloud Asset API through the services interface: gcloud services enable cloudasset.googleapis.com
Default Value:
The Cloud Asset Inventory API is disabled by default in each project.</v>
      </c>
      <c r="L5" s="273" t="str">
        <f ca="1"/>
        <v>1. https://cloud.google.com/asset-inventory/docs</v>
      </c>
      <c r="M5" s="192" t="str">
        <f ca="1"/>
        <v>v</v>
      </c>
      <c r="N5" s="192" t="str">
        <f ca="1"/>
        <v>מערכת</v>
      </c>
      <c r="O5" s="192" t="str">
        <f ca="1"/>
        <v>-</v>
      </c>
      <c r="P5" s="28"/>
    </row>
    <row r="6" spans="1:16" ht="42.75">
      <c r="A6" s="28"/>
      <c r="B6" s="192">
        <f ca="1"/>
        <v>1.2</v>
      </c>
      <c r="C6" s="192" t="str">
        <f ca="1"/>
        <v>Devices</v>
      </c>
      <c r="D6" s="192" t="str">
        <f ca="1"/>
        <v>Respond</v>
      </c>
      <c r="E6" s="192" t="str">
        <f ca="1"/>
        <v>התייחס לנכסים לא מורשים</v>
      </c>
      <c r="F6" s="232" t="str">
        <f ca="1"/>
        <v>Ensure that a process exists to address unauthorized assets on a weekly basis. The enterprise may choose to remove the asset from the network, deny the asset from connecting remotely to the network, or quarantine the asset.</v>
      </c>
      <c r="G6" s="192" t="str">
        <f ca="1"/>
        <v>-</v>
      </c>
      <c r="H6" s="192" t="str">
        <f ca="1"/>
        <v>-</v>
      </c>
      <c r="I6" s="272" t="str">
        <f ca="1"/>
        <v>-</v>
      </c>
      <c r="J6" s="273" t="str">
        <f ca="1"/>
        <v>-</v>
      </c>
      <c r="K6" s="273" t="str">
        <f ca="1"/>
        <v>-</v>
      </c>
      <c r="L6" s="273" t="str">
        <f ca="1"/>
        <v>-</v>
      </c>
      <c r="M6" s="192" t="str">
        <f ca="1"/>
        <v/>
      </c>
      <c r="N6" s="192" t="str">
        <f ca="1"/>
        <v>ארגוני</v>
      </c>
      <c r="O6" s="192" t="str">
        <f ca="1"/>
        <v>-</v>
      </c>
      <c r="P6" s="28"/>
    </row>
    <row r="7" spans="1:16" ht="28.5">
      <c r="A7" s="28"/>
      <c r="B7" s="192">
        <f ca="1"/>
        <v>1.3</v>
      </c>
      <c r="C7" s="192" t="str">
        <f ca="1"/>
        <v>Devices</v>
      </c>
      <c r="D7" s="192" t="str">
        <f ca="1"/>
        <v>Detect</v>
      </c>
      <c r="E7" s="192" t="str">
        <f ca="1"/>
        <v>השתמשו בכלי גילוי אקטיביים</v>
      </c>
      <c r="F7" s="232" t="str">
        <f ca="1"/>
        <v>Utilize an active discovery tool to identify assets connected to the enterprise’s network. Configure the active discovery tool to execute daily, or more frequently.</v>
      </c>
      <c r="G7" s="192" t="str">
        <f ca="1"/>
        <v>-</v>
      </c>
      <c r="H7" s="192" t="str">
        <f ca="1"/>
        <v>-</v>
      </c>
      <c r="I7" s="272" t="str">
        <f ca="1"/>
        <v>-</v>
      </c>
      <c r="J7" s="273" t="str">
        <f ca="1"/>
        <v>-</v>
      </c>
      <c r="K7" s="273" t="str">
        <f ca="1"/>
        <v>-</v>
      </c>
      <c r="L7" s="273" t="str">
        <f ca="1"/>
        <v>-</v>
      </c>
      <c r="M7" s="192" t="str">
        <f ca="1"/>
        <v/>
      </c>
      <c r="N7" s="192" t="str">
        <f ca="1"/>
        <v>ארגוני</v>
      </c>
      <c r="O7" s="192" t="str">
        <f ca="1"/>
        <v>-</v>
      </c>
      <c r="P7" s="28"/>
    </row>
    <row r="8" spans="1:16" ht="71.25">
      <c r="A8" s="28"/>
      <c r="B8" s="192">
        <f ca="1"/>
        <v>1.4</v>
      </c>
      <c r="C8" s="192" t="str">
        <f ca="1"/>
        <v>Devices</v>
      </c>
      <c r="D8" s="192" t="str">
        <f ca="1"/>
        <v>Identify</v>
      </c>
      <c r="E8" s="192" t="str">
        <f ca="1"/>
        <v>השתמש ברישום-Dynamic Host Configuration Protocol (DHCP)  כדי לעדכן את מיפוי הנכסים הארגוניים</v>
      </c>
      <c r="F8" s="232" t="str">
        <f ca="1"/>
        <v>Use DHCP logging on all DHCP servers or Internet Protocol (IP) address management tools to update the enterprise’s asset inventory. Review and use logs to update the enterprise’s asset inventory weekly, or more frequently.</v>
      </c>
      <c r="G8" s="192" t="str">
        <f ca="1"/>
        <v>-</v>
      </c>
      <c r="H8" s="192" t="str">
        <f ca="1"/>
        <v>-</v>
      </c>
      <c r="I8" s="272" t="str">
        <f ca="1"/>
        <v>-</v>
      </c>
      <c r="J8" s="273" t="str">
        <f ca="1"/>
        <v>-</v>
      </c>
      <c r="K8" s="273" t="str">
        <f ca="1"/>
        <v>-</v>
      </c>
      <c r="L8" s="273" t="str">
        <f ca="1"/>
        <v>-</v>
      </c>
      <c r="M8" s="192" t="str">
        <f ca="1"/>
        <v/>
      </c>
      <c r="N8" s="192" t="str">
        <f ca="1"/>
        <v>ארגוני</v>
      </c>
      <c r="O8" s="192" t="str">
        <f ca="1"/>
        <v>-</v>
      </c>
      <c r="P8" s="28"/>
    </row>
    <row r="9" spans="1:16" ht="42.75">
      <c r="A9" s="28"/>
      <c r="B9" s="192">
        <f ca="1"/>
        <v>1.5</v>
      </c>
      <c r="C9" s="192" t="str">
        <f ca="1"/>
        <v>Devices</v>
      </c>
      <c r="D9" s="192" t="str">
        <f ca="1"/>
        <v>Detect</v>
      </c>
      <c r="E9" s="192" t="str">
        <f ca="1"/>
        <v>השתמש בכלי גילוי נכסים פסיבי</v>
      </c>
      <c r="F9" s="232" t="str">
        <f ca="1"/>
        <v>Use a passive discovery tool to identify assets connected to the enterprise’s network. Review and use scans to update the enterprise’s asset inventory at least weekly, or more frequently.</v>
      </c>
      <c r="G9" s="192" t="str">
        <f ca="1"/>
        <v>-</v>
      </c>
      <c r="H9" s="192" t="str">
        <f ca="1"/>
        <v>-</v>
      </c>
      <c r="I9" s="272" t="str">
        <f ca="1"/>
        <v>-</v>
      </c>
      <c r="J9" s="273" t="str">
        <f ca="1"/>
        <v>-</v>
      </c>
      <c r="K9" s="273" t="str">
        <f ca="1"/>
        <v>-</v>
      </c>
      <c r="L9" s="273" t="str">
        <f ca="1"/>
        <v>-</v>
      </c>
      <c r="M9" s="192" t="str">
        <f ca="1"/>
        <v/>
      </c>
      <c r="N9" s="192" t="str">
        <f ca="1"/>
        <v>ארגוני</v>
      </c>
      <c r="O9" s="192" t="str">
        <f ca="1"/>
        <v>-</v>
      </c>
      <c r="P9" s="28"/>
    </row>
    <row r="10" spans="1:16" ht="75">
      <c r="A10" s="28"/>
      <c r="B10" s="192" t="str">
        <f ca="1"/>
        <v>-</v>
      </c>
      <c r="C10" s="192" t="str">
        <f ca="1"/>
        <v>-</v>
      </c>
      <c r="D10" s="192" t="str">
        <f ca="1"/>
        <v>-</v>
      </c>
      <c r="E10" s="192" t="str">
        <f ca="1"/>
        <v>מיפוי ובקרת נכסי תוכנה</v>
      </c>
      <c r="F10" s="232" t="str">
        <f ca="1"/>
        <v>Actively manage (inventory, track, and correct) all software (operating systems and applications) on the network so that only authorized software is installed and can execute, and that unauthorized and unmanaged software is found and prevented from installation or execution.</v>
      </c>
      <c r="G10" s="192" t="str">
        <f ca="1"/>
        <v>-</v>
      </c>
      <c r="H10" s="192" t="str">
        <f ca="1"/>
        <v>-</v>
      </c>
      <c r="I10" s="272" t="str">
        <f ca="1"/>
        <v>-</v>
      </c>
      <c r="J10" s="273" t="str">
        <f ca="1"/>
        <v>-</v>
      </c>
      <c r="K10" s="273" t="str">
        <f ca="1"/>
        <v>-</v>
      </c>
      <c r="L10" s="273" t="str">
        <f ca="1"/>
        <v>-</v>
      </c>
      <c r="M10" s="192" t="str">
        <f ca="1"/>
        <v>-</v>
      </c>
      <c r="N10" s="192" t="str">
        <f ca="1"/>
        <v>-</v>
      </c>
      <c r="O10" s="192" t="str">
        <f ca="1"/>
        <v>-</v>
      </c>
      <c r="P10" s="28"/>
    </row>
    <row r="11" spans="1:16" ht="85.5">
      <c r="A11" s="28"/>
      <c r="B11" s="192">
        <f ca="1"/>
        <v>2.1</v>
      </c>
      <c r="C11" s="192" t="str">
        <f ca="1"/>
        <v>Applications</v>
      </c>
      <c r="D11" s="192" t="str">
        <f ca="1"/>
        <v>Identify</v>
      </c>
      <c r="E11" s="192" t="str">
        <f ca="1"/>
        <v>הקמה ותחזוקה של מיפוי תוכנה</v>
      </c>
      <c r="F11" s="232" t="str">
        <f ca="1"/>
        <v>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v>
      </c>
      <c r="G11" s="192" t="str">
        <f ca="1"/>
        <v>-</v>
      </c>
      <c r="H11" s="192" t="str">
        <f ca="1"/>
        <v>-</v>
      </c>
      <c r="I11" s="272" t="str">
        <f ca="1"/>
        <v>-</v>
      </c>
      <c r="J11" s="273" t="str">
        <f ca="1"/>
        <v>-</v>
      </c>
      <c r="K11" s="273" t="str">
        <f ca="1"/>
        <v>-</v>
      </c>
      <c r="L11" s="273" t="str">
        <f ca="1"/>
        <v>-</v>
      </c>
      <c r="M11" s="192" t="str">
        <f ca="1"/>
        <v/>
      </c>
      <c r="N11" s="192" t="str">
        <f ca="1"/>
        <v>ארגוני</v>
      </c>
      <c r="O11" s="192" t="str">
        <f ca="1"/>
        <v>-</v>
      </c>
      <c r="P11" s="28"/>
    </row>
    <row r="12" spans="1:16" ht="409.5">
      <c r="A12" s="28"/>
      <c r="B12" s="192">
        <f ca="1"/>
        <v>2.2000000000000002</v>
      </c>
      <c r="C12" s="192" t="str">
        <f ca="1"/>
        <v>Applications</v>
      </c>
      <c r="D12" s="192" t="str">
        <f ca="1"/>
        <v>Identify</v>
      </c>
      <c r="E12" s="192" t="str">
        <f ca="1"/>
        <v>ודא כי התוכנה המורשית בארגון נתמכת על ידי היצרן</v>
      </c>
      <c r="F12" s="232" t="str">
        <f ca="1"/>
        <v>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v>
      </c>
      <c r="G12" s="192" t="str">
        <f ca="1"/>
        <v>4.12 Ensure the Latest Operating System Updates Are Installed On Your Virtual Machines in All Projects (Manual)</v>
      </c>
      <c r="H12" s="192" t="str">
        <f ca="1"/>
        <v>Google Cloud Virtual Machines have the ability via an OS Config agent API to periodically (about every 10 minutes) report OS inventory data. A patch compliance API periodically reads this data, and cross references metadata to determine if the latest updates are installed.
This is not the only Patch Management solution available to your organization and you should weigh your needs before committing to using this method.</v>
      </c>
      <c r="I12" s="272" t="str">
        <f ca="1"/>
        <v>4.12</v>
      </c>
      <c r="J12" s="273" t="str">
        <f ca="1"/>
        <v>Keeping virtual machine operating systems up to date is a security best practice. Using this service will simplify this process.
Impact:
Most Operating Systems require a restart or changing critical resources to apply the updates. Using the Google Cloud VM manager for its OS Patch management will incur additional costs for each VM managed by it. Please view the VM manager pricing reference for further information.</v>
      </c>
      <c r="K12" s="273" t="str">
        <f ca="1"/>
        <v>From Google Cloud Console Enabling OS Patch Management on a Project by Project Basis Install OS Config API for the Project
1. Navigate into a project. In the expanded portal menu located at the top left of the screen hover over "APIs &amp; Services". Then in the menu right of that select "API Libraries"
2. Search for "VM Manager (OS Config API) or scroll down in the left hand column and select the filter labeled "Compute" where it is the last listed. Open this API.
3. Click the blue 'Enable' button.
Add MetaData Tags for OSConfig Parsing
1. From the main Google Cloud console, open the portal menu in the top left. Mouse over Computer Engine to expand the menu next to it.
2. Under the "Settings" heading, select "Metadata".
3. In this view there will be a list of the project wide metadata tags for VMs. Click edit and 'add item' in the key column type 'enable-osconfig' and in the value column set it to 'true'.
From Command Line
1. For project wide tagging, run the following command gcloud compute project-info add-metadata \ --project &lt;PROJECT_ID&gt;\ --metadata=enable-osconfig=TRUE
Please see the reference /compute/docs/troubleshooting/vm-manager/verify-setup#metadata-enabled at the bottom for more options like instance specific tagging. Note: Adding a new tag via commandline may overwrite existing tags. You will need to do this at a time of low usage for the least impact. Install and Start the Local OSConfig for Data Parsing There is no way to centrally manage or start the Local OSConfig agent. Please view the reference of manage-os#agent-install to view specific operating system commands. Setup a project wide Service Account Please view Recommendation 4.1 to view how to setup a service account. Rerun the audit procedure to test if it has taken effect. Enable NAT or Configure Private Google Access to allow Access to Public Update Hosting For the sake of brevity, please see the attached resources to enable NAT or Private Google Access. Rerun the audit procedure to test if it has taken effect. From Command Line: Install OS Config API for the Project
1. In each project you wish to audit run gcloud services enable osconfig.googleapis.com
Install and Start the Local OSConfig for Data Parsing Please view the reference of manage-os#agent-install to view specific operating system commands. Setup a project wide Service Account Please view Recommendation 4.1 to view how to setup a service account. Rerun the audit procedure to test if it has taken effect. Enable NAT or Configure Private Google Access to allow Access to Public Update Hosting For the sake of brevity, please see the attached resources to enable NAT or Private Google Access. Rerun the audit procedure to test if it has taken effect. Determine if Instances can connect to public update hosting Linux Debian Based Operating Systems sudo apt update
The output should have a numbered list of lines with Hit: URL of updates. Redhat Based Operating Systems yum check-update
The output should show a list of packages that have updates available. Windows ping http://windowsupdate.microsoft.com/
The ping should successfully be delivered and received.
Default Value:
By default most operating systems and programs do not update themselves. The Google Cloud VM Manager which is a dependency of the OS Patch management feature is installed on Google Built OS images with a build date of v20200114 or later. The VM manager is not enabled in a project by default and will need to be setup.</v>
      </c>
      <c r="L12" s="273" t="str">
        <f ca="1"/>
        <v>1. https://cloud.google.com/compute/docs/manage-os
2. https://cloud.google.com/compute/docs/os-patch-management
3. https://cloud.google.com/compute/docs/vm-manager
4. https://cloud.google.com/compute/docs/images/os-details#vm-manager
5. https://cloud.google.com/compute/docs/vm-manager#pricing
6. https://cloud.google.com/compute/docs/troubleshooting/vm-manager/verify-setup
7. https://cloud.google.com/compute/docs/instances/view-os-details#view-data-tools
8. https://cloud.google.com/compute/docs/os-patch-management/create-patch-job
9. https://cloud.google.com/nat/docs/set-up-network-address-translation
10. https://cloud.google.com/vpc/docs/configure-private-google-access
11. https://workbench.cisecurity.org/sections/811638/recommendations/1334335
12. https://cloud.google.com/compute/docs/manage-os#agent-install
13. https://cloud.google.com/compute/docs/troubleshooting/vm-manager/verify-setup#service-account-enabled
14. https://cloud.google.com/compute/docs/os-patch-management#use-dashboard
15. https://cloud.google.com/compute/docs/troubleshooting/vm-manager/verify-setup#metadata-enabled</v>
      </c>
      <c r="M12" s="192" t="str">
        <f ca="1"/>
        <v>v</v>
      </c>
      <c r="N12" s="192" t="str">
        <f ca="1"/>
        <v>מערכת</v>
      </c>
      <c r="O12" s="192" t="str">
        <f ca="1"/>
        <v>-</v>
      </c>
      <c r="P12" s="28"/>
    </row>
    <row r="13" spans="1:16" ht="42.75">
      <c r="A13" s="28"/>
      <c r="B13" s="192">
        <f ca="1"/>
        <v>2.2999999999999998</v>
      </c>
      <c r="C13" s="192" t="str">
        <f ca="1"/>
        <v>Applications</v>
      </c>
      <c r="D13" s="192" t="str">
        <f ca="1"/>
        <v>Respond</v>
      </c>
      <c r="E13" s="192" t="str">
        <f ca="1"/>
        <v>קיים תוכנית לטיפול ברכיבי תוכנה לא מאושרים</v>
      </c>
      <c r="F13" s="232" t="str">
        <f ca="1"/>
        <v>Ensure that unauthorized software is either removed from use on enterprise assets or receives a documented exception. Review monthly, or more frequently.</v>
      </c>
      <c r="G13" s="192" t="str">
        <f ca="1"/>
        <v>-</v>
      </c>
      <c r="H13" s="192" t="str">
        <f ca="1"/>
        <v>-</v>
      </c>
      <c r="I13" s="272" t="str">
        <f ca="1"/>
        <v>-</v>
      </c>
      <c r="J13" s="273" t="str">
        <f ca="1"/>
        <v>-</v>
      </c>
      <c r="K13" s="273" t="str">
        <f ca="1"/>
        <v>-</v>
      </c>
      <c r="L13" s="273" t="str">
        <f ca="1"/>
        <v>-</v>
      </c>
      <c r="M13" s="192" t="str">
        <f ca="1"/>
        <v/>
      </c>
      <c r="N13" s="192" t="str">
        <f ca="1"/>
        <v>ארגוני</v>
      </c>
      <c r="O13" s="192" t="str">
        <f ca="1"/>
        <v>-</v>
      </c>
      <c r="P13" s="28"/>
    </row>
    <row r="14" spans="1:16" ht="28.5">
      <c r="A14" s="28"/>
      <c r="B14" s="192">
        <f ca="1"/>
        <v>2.4</v>
      </c>
      <c r="C14" s="192" t="str">
        <f ca="1"/>
        <v>Applications</v>
      </c>
      <c r="D14" s="192" t="str">
        <f ca="1"/>
        <v>Detect</v>
      </c>
      <c r="E14" s="192" t="str">
        <f ca="1"/>
        <v>השתמש בכלי מיפוי תוכנה אוטומטיים</v>
      </c>
      <c r="F14" s="232" t="str">
        <f ca="1"/>
        <v xml:space="preserve">Utilize software inventory tools, when possible, throughout the enterprise to automate the discovery and documentation of installed software. </v>
      </c>
      <c r="G14" s="192" t="str">
        <f ca="1"/>
        <v>-</v>
      </c>
      <c r="H14" s="192" t="str">
        <f ca="1"/>
        <v>-</v>
      </c>
      <c r="I14" s="272" t="str">
        <f ca="1"/>
        <v>-</v>
      </c>
      <c r="J14" s="273" t="str">
        <f ca="1"/>
        <v>-</v>
      </c>
      <c r="K14" s="273" t="str">
        <f ca="1"/>
        <v>-</v>
      </c>
      <c r="L14" s="273" t="str">
        <f ca="1"/>
        <v>-</v>
      </c>
      <c r="M14" s="192" t="str">
        <f ca="1"/>
        <v/>
      </c>
      <c r="N14" s="192" t="str">
        <f ca="1"/>
        <v>ארגוני</v>
      </c>
      <c r="O14" s="192" t="str">
        <f ca="1"/>
        <v>-</v>
      </c>
      <c r="P14" s="28"/>
    </row>
    <row r="15" spans="1:16" ht="42.75">
      <c r="A15" s="28"/>
      <c r="B15" s="192">
        <f ca="1"/>
        <v>2.5</v>
      </c>
      <c r="C15" s="192" t="str">
        <f ca="1"/>
        <v>Applications</v>
      </c>
      <c r="D15" s="192" t="str">
        <f ca="1"/>
        <v>Protect</v>
      </c>
      <c r="E15" s="192" t="str">
        <f ca="1"/>
        <v>ניהול רשימת תוכנות מאושרות</v>
      </c>
      <c r="F15" s="232" t="str">
        <f ca="1"/>
        <v>Use technical controls, such as application allowlisting, to ensure that only authorized software can execute or be accessed. Reassess bi-annually, or more frequently.</v>
      </c>
      <c r="G15" s="192" t="str">
        <f ca="1"/>
        <v>-</v>
      </c>
      <c r="H15" s="192" t="str">
        <f ca="1"/>
        <v>-</v>
      </c>
      <c r="I15" s="272" t="str">
        <f ca="1"/>
        <v>-</v>
      </c>
      <c r="J15" s="273" t="str">
        <f ca="1"/>
        <v>-</v>
      </c>
      <c r="K15" s="273" t="str">
        <f ca="1"/>
        <v>-</v>
      </c>
      <c r="L15" s="273" t="str">
        <f ca="1"/>
        <v>-</v>
      </c>
      <c r="M15" s="192" t="str">
        <f ca="1"/>
        <v/>
      </c>
      <c r="N15" s="192" t="str">
        <f ca="1"/>
        <v>ארגוני</v>
      </c>
      <c r="O15" s="192" t="str">
        <f ca="1"/>
        <v>-</v>
      </c>
      <c r="P15" s="28"/>
    </row>
    <row r="16" spans="1:16" ht="57">
      <c r="A16" s="28"/>
      <c r="B16" s="192">
        <f ca="1"/>
        <v>2.6</v>
      </c>
      <c r="C16" s="192" t="str">
        <f ca="1"/>
        <v>Applications</v>
      </c>
      <c r="D16" s="192" t="str">
        <f ca="1"/>
        <v>Protect</v>
      </c>
      <c r="E16" s="192" t="str">
        <f ca="1"/>
        <v>ניהול רשימת  ספריות קוד מאושרות</v>
      </c>
      <c r="F16" s="232" t="str">
        <f ca="1"/>
        <v xml:space="preserve"> Use technical controls to ensure that only authorized software libraries, such as specific .dll, .ocx, .so, etc., files, are allowed to load into a system process. Block unauthorized libraries from loading into a system process. Reassess bi-annually, or more frequently.</v>
      </c>
      <c r="G16" s="192" t="str">
        <f ca="1"/>
        <v>-</v>
      </c>
      <c r="H16" s="192" t="str">
        <f ca="1"/>
        <v>-</v>
      </c>
      <c r="I16" s="272" t="str">
        <f ca="1"/>
        <v>-</v>
      </c>
      <c r="J16" s="273" t="str">
        <f ca="1"/>
        <v>-</v>
      </c>
      <c r="K16" s="273" t="str">
        <f ca="1"/>
        <v>-</v>
      </c>
      <c r="L16" s="273" t="str">
        <f ca="1"/>
        <v>-</v>
      </c>
      <c r="M16" s="192" t="str">
        <f ca="1"/>
        <v/>
      </c>
      <c r="N16" s="192" t="str">
        <f ca="1"/>
        <v>מערכת</v>
      </c>
      <c r="O16" s="192" t="str">
        <f ca="1"/>
        <v>-</v>
      </c>
      <c r="P16" s="28"/>
    </row>
    <row r="17" spans="1:16" ht="409.5">
      <c r="A17" s="28"/>
      <c r="B17" s="192">
        <f ca="1"/>
        <v>2.7</v>
      </c>
      <c r="C17" s="192" t="str">
        <f ca="1"/>
        <v>Applications</v>
      </c>
      <c r="D17" s="192" t="str">
        <f ca="1"/>
        <v>Protect</v>
      </c>
      <c r="E17" s="192" t="str">
        <f ca="1"/>
        <v>ניהול רשימת קטעי קוד וסקריפטים מאושרים</v>
      </c>
      <c r="F17" s="232" t="str">
        <f ca="1"/>
        <v>Use technical controls, such as digital signatures and version control, to ensure that only authorized scripts, such as specific .ps1, .py, etc., files, are allowed to execute. Block unauthorized scripts from executing. Reassess bi-annually, or more frequently.</v>
      </c>
      <c r="G17" s="192" t="str">
        <f ca="1"/>
        <v>6.3.1 Ensure 'external scripts enabled' database flag for Cloud SQL SQL Server instance is set to 'off' (Automated)</v>
      </c>
      <c r="H17" s="192" t="str">
        <f ca="1"/>
        <v>It is recommended to set external scripts enabled database flag for Cloud SQL SQL Server instance to off</v>
      </c>
      <c r="I17" s="272" t="str">
        <f ca="1"/>
        <v>6.3.1</v>
      </c>
      <c r="J17" s="273" t="str">
        <f ca="1"/>
        <v>external scripts enabled enable the execution of scripts with certain remote language extensions. This property is OFF by default. When Advanced Analytics Services is installed, setup can optionally set this property to true. As the External Scripts Enabled feature allows scripts external to SQL such as files located in an R library to be executed, which could adversely affect the security of the system, hence this should be disabled. This recommendation is applicable to SQL Server database instances.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17" s="273" t="str">
        <f ca="1"/>
        <v>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external scripts enabled from the drop-down menu, and set its value to off.
6. Click Save to save your changes.
7. Confirm your changes under Flags on the Overview page.
From Google Cloud CLI
1. Configure the external scripts enabled database flag for every Cloud SQL SQL Server database instance using the below command. gcloud sql instances patch &lt;INSTANCE_NAME&gt; --database-flags "external scripts enabled=off"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external scripts enabled is off</v>
      </c>
      <c r="L17" s="273" t="str">
        <f ca="1"/>
        <v>1. https://docs.microsoft.com/en-us/sql/database-engine/configure-windows/external-scripts-enabled-server-configuration-option?view=sql-server-ver15
2. https://cloud.google.com/sql/docs/sqlserver/flags
3. https://docs.microsoft.com/en-us/sql/advanced-analytics/concepts/security?view=sql-server-ver15
4. https://www.stigviewer.com/stig/ms_sql_server_2016_instance/2018-03-09/finding/V-79347</v>
      </c>
      <c r="M17" s="192" t="str">
        <f ca="1"/>
        <v>v</v>
      </c>
      <c r="N17" s="192" t="str">
        <f ca="1"/>
        <v>מערכת</v>
      </c>
      <c r="O17" s="192" t="str">
        <f ca="1"/>
        <v>-</v>
      </c>
      <c r="P17" s="28"/>
    </row>
    <row r="18" spans="1:16" ht="408" customHeight="1">
      <c r="A18" s="28" t="str" cm="1">
        <f t="array" ref="A18">IFERROR(INDEX(#REF!, MATCH("Yes",#REF!, 0),0),"")</f>
        <v/>
      </c>
      <c r="B18" s="192" t="str">
        <f ca="1"/>
        <v>-</v>
      </c>
      <c r="C18" s="192" t="str">
        <f ca="1"/>
        <v>-</v>
      </c>
      <c r="D18" s="192" t="str">
        <f ca="1"/>
        <v>-</v>
      </c>
      <c r="E18" s="192" t="str">
        <f ca="1"/>
        <v>הגנת מידע</v>
      </c>
      <c r="F18" s="232" t="str">
        <f ca="1"/>
        <v>Develop processes and technical controls to identify, classify, securely handle, retain, and dispose of data.</v>
      </c>
      <c r="G18" s="192" t="str">
        <f ca="1"/>
        <v>-</v>
      </c>
      <c r="H18" s="192" t="str">
        <f ca="1"/>
        <v>-</v>
      </c>
      <c r="I18" s="272" t="str">
        <f ca="1"/>
        <v>-</v>
      </c>
      <c r="J18" s="273" t="str">
        <f ca="1"/>
        <v>-</v>
      </c>
      <c r="K18" s="273" t="str">
        <f ca="1"/>
        <v>-</v>
      </c>
      <c r="L18" s="273" t="str">
        <f ca="1"/>
        <v>-</v>
      </c>
      <c r="M18" s="192" t="str">
        <f ca="1"/>
        <v>-</v>
      </c>
      <c r="N18" s="192" t="str">
        <f ca="1"/>
        <v>-</v>
      </c>
      <c r="O18" s="192" t="str">
        <f ca="1"/>
        <v>-</v>
      </c>
      <c r="P18" s="28"/>
    </row>
    <row r="19" spans="1:16" ht="71.25">
      <c r="A19" s="28" t="str" cm="1">
        <f t="array" ref="A19">IFERROR(INDEX(#REF!, MATCH("Yes",#REF!, 0),0),"")</f>
        <v/>
      </c>
      <c r="B19" s="192">
        <f ca="1"/>
        <v>3.1</v>
      </c>
      <c r="C19" s="192" t="str">
        <f ca="1"/>
        <v>Data</v>
      </c>
      <c r="D19" s="192" t="str">
        <f ca="1"/>
        <v>Identify</v>
      </c>
      <c r="E19" s="192" t="str">
        <f ca="1"/>
        <v>נדרש להקין ולתחזוק תהליך ניהול אבטחת מידע</v>
      </c>
      <c r="F19" s="232" t="str">
        <f ca="1"/>
        <v>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v>
      </c>
      <c r="G19" s="192" t="str">
        <f ca="1"/>
        <v>-</v>
      </c>
      <c r="H19" s="192" t="str">
        <f ca="1"/>
        <v>-</v>
      </c>
      <c r="I19" s="272" t="str">
        <f ca="1"/>
        <v>-</v>
      </c>
      <c r="J19" s="273" t="str">
        <f ca="1"/>
        <v>-</v>
      </c>
      <c r="K19" s="273" t="str">
        <f ca="1"/>
        <v>-</v>
      </c>
      <c r="L19" s="273" t="str">
        <f ca="1"/>
        <v>-</v>
      </c>
      <c r="M19" s="192" t="str">
        <f ca="1"/>
        <v/>
      </c>
      <c r="N19" s="192" t="str">
        <f ca="1"/>
        <v>מערכת</v>
      </c>
      <c r="O19" s="192" t="str">
        <f ca="1"/>
        <v>-</v>
      </c>
      <c r="P19" s="28"/>
    </row>
    <row r="20" spans="1:16" ht="42.75">
      <c r="A20" s="28"/>
      <c r="B20" s="192">
        <f ca="1"/>
        <v>3.2</v>
      </c>
      <c r="C20" s="192" t="str">
        <f ca="1"/>
        <v>Data</v>
      </c>
      <c r="D20" s="192" t="str">
        <f ca="1"/>
        <v>Identify</v>
      </c>
      <c r="E20" s="192" t="str">
        <f ca="1"/>
        <v>הקמה ותחזוקה של מיפוי נתונים</v>
      </c>
      <c r="F20" s="232" t="str">
        <f ca="1"/>
        <v>Establish and maintain a data inventory, based on the enterprise’s data management process. Inventory sensitive data, at a minimum. Review and update inventory annually, at a minimum, with a priority on sensitive data.</v>
      </c>
      <c r="G20" s="192" t="str">
        <f ca="1"/>
        <v>-</v>
      </c>
      <c r="H20" s="192" t="str">
        <f ca="1"/>
        <v>-</v>
      </c>
      <c r="I20" s="272" t="str">
        <f ca="1"/>
        <v>-</v>
      </c>
      <c r="J20" s="273" t="str">
        <f ca="1"/>
        <v>-</v>
      </c>
      <c r="K20" s="273" t="str">
        <f ca="1"/>
        <v>-</v>
      </c>
      <c r="L20" s="273" t="str">
        <f ca="1"/>
        <v>-</v>
      </c>
      <c r="M20" s="192" t="str">
        <f ca="1"/>
        <v/>
      </c>
      <c r="N20" s="192" t="str">
        <f ca="1"/>
        <v>ארגוני</v>
      </c>
      <c r="O20" s="192" t="str">
        <f ca="1"/>
        <v>-</v>
      </c>
      <c r="P20" s="28"/>
    </row>
    <row r="21" spans="1:16" ht="409.5">
      <c r="A21" s="28"/>
      <c r="B21" s="192">
        <f ca="1"/>
        <v>3.3</v>
      </c>
      <c r="C21" s="192" t="str">
        <f ca="1"/>
        <v>Data</v>
      </c>
      <c r="D21" s="192" t="str">
        <f ca="1"/>
        <v>Protect</v>
      </c>
      <c r="E21" s="192" t="str">
        <f ca="1"/>
        <v>הגדר בקרת גישה לנתונים</v>
      </c>
      <c r="F21" s="232" t="str">
        <f ca="1"/>
        <v>Configure data access control lists based on a user’s need to know. Apply data access control lists, also known as access permissions, to local and remote file systems, databases, and applications.</v>
      </c>
      <c r="G21" s="192" t="str">
        <f ca="1"/>
        <v>1.6 Ensure That IAM Users Are Not Assigned the Service Account User or Service Account Token Creator Roles at Project Level (Automated)</v>
      </c>
      <c r="H21" s="192" t="str">
        <f ca="1"/>
        <v>It is recommended to assign the Service Account User (iam.serviceAccountUser) and Service Account Token Creator (iam.serviceAccountTokenCreator) roles to a user for a specific service account rather than assigning the role to a user at project level.
After revoking Service Account User or Service Account Token Creator roles at the project level from all impacted user account(s), these roles should be assigned to a user(s) for specific service account(s) according to business needs.
By default, users do not have the Service Account User or Service Account Token Creator role assigned at project level.</v>
      </c>
      <c r="I21" s="272" t="str">
        <f ca="1"/>
        <v>1.6</v>
      </c>
      <c r="J21" s="273" t="str">
        <f ca="1"/>
        <v>A service account is a special Google account that belongs to an application or a virtual machine (VM), instead of to an individual end-user. Application/VM-Instance uses the service account to call the service's Google API so that users aren't directly involved. In addition to being an identity, a service account is a resource that has IAM policies attached to it. These policies determine who can use the service account.
Users with IAM roles to update the App Engine and Compute Engine instances (such as App Engine Deployer or Compute Instance Admin) can effectively run code as the service accounts used to run these instances, and indirectly gain access to all the resources for which the service accounts have access. Similarly, SSH access to a Compute Engine instance may also provide the ability to execute code as that instance/Service account.
Based on business needs, there could be multiple user-managed service accounts configured for a project. Granting the iam.serviceAccountUser or iam.serviceAccountTokenCreator roles to a user for a project gives the user access to all service accounts in the project, including service accounts that may be created in the future. This can result in elevation of privileges by using service accounts and corresponding Compute Engine instances.
In order to implement least privileges best practices, IAM users should not be assigned the Service Account User or Service Account Token Creator roles at the project level. Instead, these roles should be assigned to a user for a specific service account, giving that user access to the service account. The Service Account User allows a user to bind a service account to a long-running job service, whereas the Service Account Token Creator role allows a user to directly impersonate (or assert) the identity of a service account.</v>
      </c>
      <c r="K21" s="273" t="str">
        <f ca="1"/>
        <v>From Google Cloud Console
1. Go to the IAM page in the GCP Console by visiting: https://console.cloud.google.com/iam-admin/iam.
2. Click on the filter table text bar. Type Role: Service Account User
3. Click the Delete Bin icon in front of the role Service Account User for every user listed as a result of a filter.
4. Click on the filter table text bar. Type Role: Service Account Token Creator
5. Click the Delete Bin icon in front of the role Service Account Token Creator for every user listed as a result of a filter.
From Google Cloud CLI
1. Using a text editor, remove the bindings with the roles/iam.serviceAccountUser or roles/iam.serviceAccountTokenCreator.
For example, you can use the iam.json file shown below as follows: { "bindings": [ { "members": [ "serviceAccount:our-project-123@appspot.gserviceaccount.com", ], "role": "roles/appengine.appViewer" }, { "members": [ "user:email1@gmail.com" ], "role": "roles/owner" }, { "members": [ "serviceAccount:our-project-123@appspot.gserviceaccount.com", "serviceAccount:123456789012-compute@developer.gserviceaccount.com" ], "role": "roles/editor" } ], "etag": "BwUjMhCsNvY=" }
2. Update the project's IAM policy: gcloud projects set-iam-policy PROJECT_ID iam.json</v>
      </c>
      <c r="L21" s="273" t="str">
        <f ca="1"/>
        <v>1. https://cloud.google.com/iam/docs/service-accounts
2. https://cloud.google.com/iam/docs/granting-roles-to-service-accounts
3. https://cloud.google.com/iam/docs/understanding-roles
4. https://cloud.google.com/iam/docs/granting-changing-revoking-access
5. https://console.cloud.google.com/iam-admin/iam</v>
      </c>
      <c r="M21" s="192" t="str">
        <f ca="1"/>
        <v>v</v>
      </c>
      <c r="N21" s="192" t="str">
        <f ca="1"/>
        <v>ארגוני</v>
      </c>
      <c r="O21" s="192" t="str">
        <f ca="1"/>
        <v>v</v>
      </c>
      <c r="P21" s="28"/>
    </row>
    <row r="22" spans="1:16" ht="256.5">
      <c r="A22" s="28"/>
      <c r="B22" s="192">
        <f ca="1"/>
        <v>3.3</v>
      </c>
      <c r="C22" s="192" t="str">
        <f ca="1"/>
        <v>Data</v>
      </c>
      <c r="D22" s="192" t="str">
        <f ca="1"/>
        <v>Protect</v>
      </c>
      <c r="E22" s="192" t="str">
        <f ca="1"/>
        <v>הגדר בקרת גישה לנתונים</v>
      </c>
      <c r="F22" s="232" t="str">
        <f ca="1"/>
        <v>Configure data access control lists based on a user’s need to know. Apply data access control lists, also known as access permissions, to local and remote file systems, databases, and applications.</v>
      </c>
      <c r="G22" s="192" t="str">
        <f ca="1"/>
        <v>1.8 Ensure That Separation of Duties Is Enforced While Assigning Service Account Related Roles to Users (Automated)</v>
      </c>
      <c r="H22" s="192" t="str">
        <f ca="1"/>
        <v>It is recommended that the principle of 'Separation of Duties' is enforced while assigning service-account related roles to users.
Additional Information:
Users granted with Owner (roles/owner) and Editor (roles/editor) have privileges equivalent to Service Account Admin and Service Account User. To avoid the misuse, Owner and Editor roles should be granted to very limited users and Use of these primitive privileges should be minimal. These requirements are addressed in separate recommendations.</v>
      </c>
      <c r="I22" s="272" t="str">
        <f ca="1"/>
        <v>1.8</v>
      </c>
      <c r="J22" s="273" t="str">
        <f ca="1"/>
        <v>The built-in/predefined IAM role Service Account admin allows the user/identity to create, delete, and manage service account(s). The built-in/predefined IAM role Service Account User allows the user/identity (with adequate privileges on Compute and App Engine) to assign service account(s) to Apps/Compute Instances.
Separation of duties is the concept of ensuring that one individual does not have all necessary permissions to be able to complete a malicious action. In Cloud IAM - service accounts, this could be an action such as using a service account to access resources that user should not normally have access to.
Separation of duties is a business control typically used in larger organizations, meant to help avoid security or privacy incidents and errors. It is considered best practice.
No user should have Service Account Admin and Service Account User roles assigned at the same time.
Impact:
The removed role should be assigned to a different user based on business needs.</v>
      </c>
      <c r="K22" s="273" t="str">
        <f ca="1"/>
        <v>From Google Cloud Console
1. Go to IAM &amp; Admin/IAM using https://console.cloud.google.com/iam-admin/iam.
2. For any member having both Service Account Admin and Service account User roles granted/assigned, click the Delete Bin icon to remove either role from the member. Removal of a role should be done based on the business requirements.
References:
1. https://cloud.google.com/iam/docs/service-accounts
2. https://cloud.google.com/iam/docs/understanding-roles
3. https://cloud.google.com/iam/docs/granting-roles-to-service-accounts</v>
      </c>
      <c r="L22" s="273" t="str">
        <f ca="1"/>
        <v>References:
1. https://cloud.google.com/iam/docs/service-accounts
2. https://cloud.google.com/iam/docs/understanding-roles
3. https://cloud.google.com/iam/docs/granting-roles-to-service-accounts</v>
      </c>
      <c r="M22" s="192" t="str">
        <f ca="1"/>
        <v>v</v>
      </c>
      <c r="N22" s="192" t="str">
        <f ca="1"/>
        <v>מערכת</v>
      </c>
      <c r="O22" s="192" t="str">
        <f ca="1"/>
        <v>-</v>
      </c>
      <c r="P22" s="28"/>
    </row>
    <row r="23" spans="1:16" ht="409.5">
      <c r="A23" s="28"/>
      <c r="B23" s="192">
        <f ca="1"/>
        <v>3.3</v>
      </c>
      <c r="C23" s="192" t="str">
        <f ca="1"/>
        <v>Data</v>
      </c>
      <c r="D23" s="192" t="str">
        <f ca="1"/>
        <v>Protect</v>
      </c>
      <c r="E23" s="192" t="str">
        <f ca="1"/>
        <v>הגדר בקרת גישה לנתונים</v>
      </c>
      <c r="F23" s="232" t="str">
        <f ca="1"/>
        <v>Configure data access control lists based on a user’s need to know. Apply data access control lists, also known as access permissions, to local and remote file systems, databases, and applications.</v>
      </c>
      <c r="G23" s="192" t="str">
        <f ca="1"/>
        <v>1.9 Ensure That Cloud KMS Cryptokeys Are Not Anonymously or Publicly Accessible (Automated)</v>
      </c>
      <c r="H23" s="192" t="str">
        <f ca="1"/>
        <v>It is recommended that the IAM policy on Cloud KMS cryptokeys should restrict anonymous and/or public access.
[key_ring_name] : Is the resource ID of the key ring, which is the fully-qualified Key ring name. This value is case-sensitive and in the form: projects/PROJECT_ID/locations/LOCATION/keyRings/KEY_RING
You can retrieve the key ring resource ID using the Cloud Console:
1. Open the Cryptographic Keys page in the Cloud Console.
2. For the key ring whose resource ID you are retrieving, click the More icon (3 vertical dots).
3. Click Copy Resource ID. The resource ID for the key ring is copied to your clipboard.
[key_name] : Is the resource ID of the key, which is the fully-qualified CryptoKey name. This value is case-sensitive and in the form: projects/PROJECT_ID/locations/LOCATION/keyRings/KEY_RING/cryptoKeys/KEY
You can retrieve the key resource ID using the Cloud Console:
1. Open the Cryptographic Keys page in the Cloud Console.
2. Click the name of the key ring that contains the key.
3. For the key whose resource ID you are retrieving, click the More icon (3 vertical dots).
4. Click Copy Resource ID. The resource ID for the key is copied to your clipboard.
[role] : The role to remove the member from.</v>
      </c>
      <c r="I23" s="272" t="str">
        <f ca="1"/>
        <v>1.9</v>
      </c>
      <c r="J23" s="273" t="str">
        <f ca="1"/>
        <v>Granting permissions to allUsers or allAuthenticatedUsers allows anyone to access the dataset. Such access might not be desirable if sensitive data is stored at the location. In this case, ensure that anonymous and/or public access to a Cloud KMS cryptokey is not allowed.
Impact:
Removing the binding for allUsers and allAuthenticatedUsers members denies accessing cryptokeys to anonymous or public users.</v>
      </c>
      <c r="K23" s="273" t="str">
        <f ca="1"/>
        <v>Remediation:
From Google Cloud CLI
1. List all Cloud KMS Cryptokeys. gcloud kms keys list --keyring=[key_ring_name] --location=global --format=json | jq '.[].name'
2. Remove IAM policy binding for a KMS key to remove access to allUsers and allAuthenticatedUsers using the below command. gcloud kms keys remove-iam-policy-binding [key_name] --keyring=[key_ring_name] --location=global --member='allAuthenticatedUsers' --role='[role]' gcloud kms keys remove-iam-policy-binding [key_name] --keyring=[key_ring_name] --location=global --member='allUsers' --role='[role]'
Default Value:
By default Cloud KMS does not allow access to allUsers or allAuthenticatedUsers.</v>
      </c>
      <c r="L23" s="273" t="str">
        <f ca="1"/>
        <v>1. https://cloud.google.com/sdk/gcloud/reference/kms/keys/remove-iam-policy-binding
2. https://cloud.google.com/sdk/gcloud/reference/kms/keys/set-iam-policy
3. https://cloud.google.com/sdk/gcloud/reference/kms/keys/get-iam-policy
4. https://cloud.google.com/kms/docs/object-hierarchy#key_resource_id</v>
      </c>
      <c r="M23" s="192" t="str">
        <f ca="1"/>
        <v>v</v>
      </c>
      <c r="N23" s="192" t="str">
        <f ca="1"/>
        <v>מערכת</v>
      </c>
      <c r="O23" s="192" t="str">
        <f ca="1"/>
        <v>-</v>
      </c>
      <c r="P23" s="28"/>
    </row>
    <row r="24" spans="1:16" ht="199.5">
      <c r="A24" s="28"/>
      <c r="B24" s="192">
        <f ca="1"/>
        <v>3.3</v>
      </c>
      <c r="C24" s="192" t="str">
        <f ca="1"/>
        <v>Data</v>
      </c>
      <c r="D24" s="192" t="str">
        <f ca="1"/>
        <v>Protect</v>
      </c>
      <c r="E24" s="192" t="str">
        <f ca="1"/>
        <v>הגדר בקרת גישה לנתונים</v>
      </c>
      <c r="F24" s="232" t="str">
        <f ca="1"/>
        <v>Configure data access control lists based on a user’s need to know. Apply data access control lists, also known as access permissions, to local and remote file systems, databases, and applications.</v>
      </c>
      <c r="G24" s="192" t="str">
        <f ca="1"/>
        <v>1.11 Ensure That Separation of Duties Is Enforced While Assigning KMS Related Roles to Users (Automated)</v>
      </c>
      <c r="H24" s="192" t="str">
        <f ca="1"/>
        <v>It is recommended that the principle of 'Separation of Duties' is enforced while assigning KMS related roles to users.
Additional Information:
Users granted with Owner (roles/owner) and Editor (roles/editor) have privileges equivalent to Cloud KMS Admin and Cloud KMS CryptoKey Encrypter/Decrypter. To avoid misuse, Owner and Editor roles should be granted to a very limited group of users. Use of these primitive privileges should be minimal. These requirements are addressed in separate recommendations.</v>
      </c>
      <c r="I24" s="272" t="str">
        <f ca="1"/>
        <v>1.11</v>
      </c>
      <c r="J24" s="273" t="str">
        <f ca="1"/>
        <v>The built-in/predefined IAM role Cloud KMS Admin allows the user/identity to create, delete, and manage service account(s). The built-in/predefined IAM role Cloud KMS CryptoKey Encrypter/Decrypter allows the user/identity (with adequate privileges on concerned resources) to encrypt and decrypt data at rest using an encryption key(s).
The built-in/predefined IAM role Cloud KMS CryptoKey Encrypter allows the user/identity (with adequate privileges on concerned resources) to encrypt data at rest using an encryption key(s). The built-in/predefined IAM role Cloud KMS CryptoKey Decrypter allows the user/identity (with adequate privileges on concerned resources) to decrypt data at rest using an encryption key(s).
Separation of duties is the concept of ensuring that one individual does not have all necessary permissions to be able to complete a malicious action. In Cloud KMS, this could be an action such as using a key to access and decrypt data a user should not normally have access to. Separation of duties is a business control typically used in larger organizations, meant to help avoid security or privacy incidents and errors. It is considered best practice.
No user(s) should have Cloud KMS Admin and any of the Cloud KMS CryptoKey Encrypter/Decrypter, Cloud KMS CryptoKey Encrypter, Cloud KMS CryptoKey Decrypter roles assigned at the same time.
Impact:
Removed roles should be assigned to another user based on business needs.</v>
      </c>
      <c r="K24" s="273" t="str">
        <f ca="1"/>
        <v>From Google Cloud Console
1. Go to IAM &amp; Admin/IAM using https://console.cloud.google.com/iam-admin/iam
2. For any member having Cloud KMS Admin and any of the Cloud KMS CryptoKey Encrypter/Decrypter, Cloud KMS CryptoKey Encrypter, Cloud KMS CryptoKey Decrypter roles granted/assigned, click the Delete Bin icon to remove the role from the member.
Note: Removing a role should be done based on the business requirement.</v>
      </c>
      <c r="L24" s="273" t="str">
        <f ca="1"/>
        <v>1. https://cloud.google.com/kms/docs/separation-of-duties</v>
      </c>
      <c r="M24" s="192" t="str">
        <f ca="1"/>
        <v>v</v>
      </c>
      <c r="N24" s="192" t="str">
        <f ca="1"/>
        <v>מערכת</v>
      </c>
      <c r="O24" s="192" t="str">
        <f ca="1"/>
        <v>-</v>
      </c>
      <c r="P24" s="28"/>
    </row>
    <row r="25" spans="1:16" ht="409.5">
      <c r="A25" s="28"/>
      <c r="B25" s="192">
        <f ca="1"/>
        <v>3.3</v>
      </c>
      <c r="C25" s="192" t="str">
        <f ca="1"/>
        <v>Data</v>
      </c>
      <c r="D25" s="192" t="str">
        <f ca="1"/>
        <v>Protect</v>
      </c>
      <c r="E25" s="192" t="str">
        <f ca="1"/>
        <v>הגדר בקרת גישה לנתונים</v>
      </c>
      <c r="F25" s="232" t="str">
        <f ca="1"/>
        <v>Configure data access control lists based on a user’s need to know. Apply data access control lists, also known as access permissions, to local and remote file systems, databases, and applications.</v>
      </c>
      <c r="G25" s="192" t="str">
        <f ca="1"/>
        <v>2.3 Ensure That Retention Policies on Cloud Storage Buckets Used for Exporting Logs Are Configured Using Bucket Lock (Automated)</v>
      </c>
      <c r="H25" s="192" t="str">
        <f ca="1"/>
        <v>Enabling retention policies on log buckets will protect logs stored in cloud storage buckets from being overwritten or accidentally deleted. It is recommended to set up retention policies and configure Bucket Lock on all storage buckets that are used as log sinks.
Default Value:
By default, storage buckets used as log sinks do not have retention policies and Bucket Lock configured.</v>
      </c>
      <c r="I25" s="272" t="str">
        <f ca="1"/>
        <v>2.3</v>
      </c>
      <c r="J25" s="273" t="str">
        <f ca="1"/>
        <v>Logs can be exported by creating one or more sinks that include a log filter and a destination. As Cloud Logging receives new log entries, they are compared against each sink. If a log entry matches a sink's filter, then a copy of the log entry is written to the destination.
Sinks can be configured to export logs in storage buckets. It is recommended to configure a data retention policy for these cloud storage buckets and to lock the data retention policy; thus permanently preventing the policy from being reduced or removed. This way, if the system is ever compromised by an attacker or a malicious insider who wants to cover their tracks, the activity logs are definitely preserved for forensics and security investigations.
Impact:
Locking a bucket is an irreversible action. Once you lock a bucket, you cannot remove the retention policy from the bucket or decrease the retention period for the policy. You will then have to wait for the retention period for all items within the bucket before you can delete them, and then the bucket.</v>
      </c>
      <c r="K25" s="273" t="str">
        <f ca="1"/>
        <v>From Google Cloud Console
1. If sinks are not configured, first follow the instructions in the recommendation: Ensure that sinks are configured for all Log entries.
2. For each storage bucket configured as a sink, go to the Cloud Storage browser at https://console.cloud.google.com/storage/browser/&lt;BUCKET_NAME&gt;.
3. Select the Bucket Lock tab near the top of the page.
4. In the Retention policy entry, click the Add Duration link. The Set a retention policy dialog box appears.
5. Enter the desired length of time for the retention period and click Save policy.
6. Set the Lock status for this retention policy to Locked.
From Google Cloud CLI
1. To list all sinks destined to storage buckets: gcloud logging sinks list --folder=FOLDER_ID | --organization=ORGANIZATION_ID | --project=PROJECT_ID
2. For each storage bucket listed above, set a retention policy and lock it: gsutil retention set [TIME_DURATION] gs://[BUCKET_NAME] gsutil retention lock gs://[BUCKET_NAME]
For more information, visit https://cloud.google.com/storage/docs/using-bucket-lock#set-policy.</v>
      </c>
      <c r="L25" s="273" t="str">
        <f ca="1"/>
        <v>1. https://cloud.google.com/storage/docs/bucket-lock
2. https://cloud.google.com/storage/docs/using-bucket-lock
3. https://cloud.google.com/storage/docs/bucket-lock</v>
      </c>
      <c r="M25" s="192" t="str">
        <f ca="1"/>
        <v>v</v>
      </c>
      <c r="N25" s="192" t="str">
        <f ca="1"/>
        <v>מערכת</v>
      </c>
      <c r="O25" s="192" t="str">
        <f ca="1"/>
        <v>-</v>
      </c>
      <c r="P25" s="28"/>
    </row>
    <row r="26" spans="1:16" ht="409.5">
      <c r="A26" s="28"/>
      <c r="B26" s="192">
        <f ca="1"/>
        <v>3.3</v>
      </c>
      <c r="C26" s="192" t="str">
        <f ca="1"/>
        <v>Data</v>
      </c>
      <c r="D26" s="192" t="str">
        <f ca="1"/>
        <v>Protect</v>
      </c>
      <c r="E26" s="192" t="str">
        <f ca="1"/>
        <v>הגדר בקרת גישה לנתונים</v>
      </c>
      <c r="F26" s="232" t="str">
        <f ca="1"/>
        <v>Configure data access control lists based on a user’s need to know. Apply data access control lists, also known as access permissions, to local and remote file systems, databases, and applications.</v>
      </c>
      <c r="G26" s="192" t="str">
        <f ca="1"/>
        <v>2.15 Ensure 'Access Approval' is 'Enabled' (Automated)</v>
      </c>
      <c r="H26" s="192" t="str">
        <f ca="1"/>
        <v>GCP Access Approval enables you to require your organizations' explicit approval whenever Google support try to access your projects. You can then select users within your organization who can approve these requests through giving them a security role in IAM. All access requests display which Google Employee requested them in an email or Pub/Sub message that you can choose to Approve. This adds an additional control and logging of who in your organization approved/denied these requests.</v>
      </c>
      <c r="I26" s="272" t="str">
        <f ca="1"/>
        <v>2.15</v>
      </c>
      <c r="J26" s="273" t="str">
        <f ca="1"/>
        <v>Controlling access to your information is one of the foundations of information security. Google Employees do have access to your organizations' projects for support reasons. With Access Approval, organizations can then be certain that their information is accessed by only approved Google Personnel.
Impact:
To use Access Approval your organization will need have enabled Access Transparency and have at one of the following support level: Enhanced or Premium. There will be subscription costs associated with these support levels, as well as increased storage costs for storing the logs. You will also not be able to turn the Access Transparency which Access Approval depends on, off yourself. To do so you will need to submit a service request to Google Cloud Support. There will also be additional overhead in managing user permissions. There may also be a potential delay in support times as Google Personnel will have to wait for their access to be approved.</v>
      </c>
      <c r="K26" s="273" t="str">
        <f ca="1"/>
        <v>From Google Cloud Console
1. From the Google Cloud Home, within the project you wish to enable, click on the Navigation hamburger menu in the top left. Hover over the Security Menu. Select Access Approval in the middle of the column that opens.
2. The status will be displayed here. On this screen, there is an option to click Enroll. If it is greyed out and you see an error bar at the top of the screen that says Access Transparency is not enabled please view the corresponding reference within this section to enable it.
3. In the second screen click Enroll.
Grant an IAM Group or User the role with permissions to Add Users to be Access Approval message Recipients
1. From the Google Cloud Home, within the project you wish to enable, click on the Navigation hamburger menu in the top left. Hover over the IAM and Admin. Select IAM in the middle of the column that opens.
2. Click the blue button the says + ADD at the top of the screen.
3. In the principals field, select a user or group by typing in their associated email address.
4. Click on the role field to expand it. In the filter field enter Access Approval Approver and select it.
5. Click save.
Add a Group or User as an Approver for Access Approval Requests
1. As a user with the Access Approval Approver permission, within the project where you wish to add an email address to which request will be sent, click on the Navigation hamburger menu in the top left. Hover over the Security Menu. Select Access Approval in the middle of the column that opens.
2. Click Manage Settings
3. Under Set up approval notifications, enter the email address associated with a Google Cloud User or Group you wish to send Access Approval requests to. All future access approvals will be sent as emails to this address.
From Google Cloud CLI
1. To update all services in an entire project, run the following command from an account that has permissions as an 'Approver for Access Approval Requests' gcloud access-approval settings update --project=&lt;project name&gt; --enrolled_services=all --notification_emails='&lt;email recipient for access approval requests&gt;@&lt;domain name&gt;'
Default Value:
By default Access Approval and its dependency of Access Transparency are not enabled.</v>
      </c>
      <c r="L26" s="273" t="str">
        <f ca="1"/>
        <v>1. https://cloud.google.com/cloud-provider-access-management/access-approval/docs
2. https://cloud.google.com/cloud-provider-access-management/access-approval/docs/overview
3. https://cloud.google.com/cloud-provider-access-management/access-approval/docs/quickstart-custom-key
4. https://cloud.google.com/cloud-provider-access-management/access-approval/docs/supported-services
5. https://cloud.google.com/cloud-provider-access-management/access-approval/docs/view-historical-requests</v>
      </c>
      <c r="M26" s="192" t="str">
        <f ca="1"/>
        <v>v</v>
      </c>
      <c r="N26" s="192" t="str">
        <f ca="1"/>
        <v>מערכת</v>
      </c>
      <c r="O26" s="192" t="str">
        <f ca="1"/>
        <v>-</v>
      </c>
      <c r="P26" s="28"/>
    </row>
    <row r="27" spans="1:16" ht="409.5">
      <c r="A27" s="28"/>
      <c r="B27" s="192">
        <f ca="1"/>
        <v>3.3</v>
      </c>
      <c r="C27" s="192" t="str">
        <f ca="1"/>
        <v>Data</v>
      </c>
      <c r="D27" s="192" t="str">
        <f ca="1"/>
        <v>Protect</v>
      </c>
      <c r="E27" s="192" t="str">
        <f ca="1"/>
        <v>הגדר בקרת גישה לנתונים</v>
      </c>
      <c r="F27" s="232" t="str">
        <f ca="1"/>
        <v>Configure data access control lists based on a user’s need to know. Apply data access control lists, also known as access permissions, to local and remote file systems, databases, and applications.</v>
      </c>
      <c r="G27" s="192" t="str">
        <f ca="1"/>
        <v>4.9 Ensure That Compute Instances Do Not Have Public IP Addresses (Automated)</v>
      </c>
      <c r="H27" s="192" t="str">
        <f ca="1"/>
        <v>Compute instances should not be configured to have external IP addresses.</v>
      </c>
      <c r="I27" s="272" t="str">
        <f ca="1"/>
        <v>4.9</v>
      </c>
      <c r="J27" s="273" t="str">
        <f ca="1"/>
        <v>To reduce your attack surface, Compute instances should not have public IP addresses. Instead, instances should be configured behind load balancers, to minimize the instance's exposure to the internet.
Impact:
Removing the external IP address from your Compute instance may cause some applications to stop working.</v>
      </c>
      <c r="K27" s="273" t="str">
        <f ca="1"/>
        <v>Remediation:
From Google Cloud Console
1. Go to the VM instances page by visiting: https://console.cloud.google.com/compute/instances.
2. Click on the instance name to go the the Instance detail page.
3. Click Edit.
4. For each Network interface, ensure that External IP is set to None.
5. Click Done and then click Save.
From Google Cloud CLI
1. Describe the instance properties: gcloud compute instances describe &lt;INSTANCE_NAME&gt; --zone=&lt;ZONE&gt;
2. Identify the access config name that contains the external IP address. This access config appears in the following format: networkInterfaces: - accessConfigs: - kind: compute#accessConfig name: External NAT natIP: 130.211.181.55 type: ONE_TO_ONE_NAT
3. Delete the access config. gcloud compute instances delete-access-config &lt;INSTANCE_NAME&gt; --zone=&lt;ZONE&gt; --access-config-name &lt;ACCESS_CONFIG_NAME&gt;
In the above example, the ACCESS_CONFIG_NAME is External NAT. The name of your access config might be different. Prevention: You can configure the Define allowed external IPs for VM instances Organization Policy to prevent VMs from being configured with public IP addresses. Learn more at: https://console.cloud.google.com/orgpolicies/compute-vmExternalIpAccess
Default Value:
By default, Compute instances have a public IP address.</v>
      </c>
      <c r="L27" s="273" t="str">
        <f ca="1"/>
        <v>1. https://cloud.google.com/load-balancing/docs/backend-service#backends_and_external_ip_addresses
2. https://cloud.google.com/compute/docs/instances/connecting-advanced#sshbetweeninstances
3. https://cloud.google.com/compute/docs/instances/connecting-to-instance
4. https://cloud.google.com/compute/docs/ip-addresses/reserve-static-external-ip-address#unassign_ip
5. https://cloud.google.com/resource-manager/docs/organization-policy/org-policy-constraints</v>
      </c>
      <c r="M27" s="192" t="str">
        <f ca="1"/>
        <v>v</v>
      </c>
      <c r="N27" s="192" t="str">
        <f ca="1"/>
        <v>ארגוני</v>
      </c>
      <c r="O27" s="192" t="str">
        <f ca="1"/>
        <v>v</v>
      </c>
      <c r="P27" s="28"/>
    </row>
    <row r="28" spans="1:16" ht="327.75">
      <c r="A28" s="28"/>
      <c r="B28" s="192">
        <f ca="1"/>
        <v>3.3</v>
      </c>
      <c r="C28" s="192" t="str">
        <f ca="1"/>
        <v>Data</v>
      </c>
      <c r="D28" s="192" t="str">
        <f ca="1"/>
        <v>Protect</v>
      </c>
      <c r="E28" s="192" t="str">
        <f ca="1"/>
        <v>הגדר בקרת גישה לנתונים</v>
      </c>
      <c r="F28" s="232" t="str">
        <f ca="1"/>
        <v>Configure data access control lists based on a user’s need to know. Apply data access control lists, also known as access permissions, to local and remote file systems, databases, and applications.</v>
      </c>
      <c r="G28" s="192" t="str">
        <f ca="1"/>
        <v>5.1 Ensure That Cloud Storage Bucket Is Not Anonymously or Publicly Accessible (Automated)</v>
      </c>
      <c r="H28" s="192" t="str">
        <f ca="1"/>
        <v>It is recommended that IAM policy on Cloud Storage bucket does not allows anonymous or public access.
To implement Access restrictions on buckets, configuring Bucket IAM is preferred way than configuring Bucket ACL. On GCP console, "Edit Permissions" for bucket exposes IAM configurations only. Bucket ACLs are configured automatically as per need in order to implement/support User enforced Bucket IAM policy. In-case administrator changes bucket ACL using command-line(gsutils)/API bucket IAM also gets updated automatically.</v>
      </c>
      <c r="I28" s="272" t="str">
        <f ca="1"/>
        <v>5.1</v>
      </c>
      <c r="J28" s="273" t="str">
        <f ca="1"/>
        <v>Allowing anonymous or public access grants permissions to anyone to access bucket content. Such access might not be desired if you are storing any sensitive data. Hence, ensure that anonymous or public access to a bucket is not allowed.
Impact:
No storage buckets would be publicly accessible. You would have to explicitly administer bucket access.</v>
      </c>
      <c r="K28" s="273" t="str">
        <f ca="1"/>
        <v>From Google Cloud Console
1. Go to Storage browser by visiting https://console.cloud.google.com/storage/browser.
2. Click on the bucket name to go to its Bucket details page.
3. Click on the Permissions tab.
4. Click Delete button in front of allUsers and allAuthenticatedUsers to remove that particular role assignment.
From Google Cloud CLI Remove allUsers and allAuthenticatedUsers access. gsutil iam ch -d allUsers gs://BUCKET_NAME gsutil iam ch -d allAuthenticatedUsers gs://BUCKET_NAME
Prevention: You can prevent Storage buckets from becoming publicly accessible by setting up the Domain restricted sharing organization policy at: https://console.cloud.google.com/iam-admin/orgpolicies/iam-allowedPolicyMemberDomains .
Default Value:
By Default, Storage buckets are not publicly shared.</v>
      </c>
      <c r="L28" s="273" t="str">
        <f ca="1"/>
        <v>1. https://cloud.google.com/storage/docs/access-control/iam-reference
2. https://cloud.google.com/storage/docs/access-control/making-data-public
3. https://cloud.google.com/storage/docs/gsutil/commands/iam</v>
      </c>
      <c r="M28" s="192" t="str">
        <f ca="1"/>
        <v>v</v>
      </c>
      <c r="N28" s="192" t="str">
        <f ca="1"/>
        <v>ארגוני</v>
      </c>
      <c r="O28" s="192" t="str">
        <f ca="1"/>
        <v>v</v>
      </c>
      <c r="P28" s="28"/>
    </row>
    <row r="29" spans="1:16" ht="384.75">
      <c r="A29" s="28"/>
      <c r="B29" s="192">
        <f ca="1"/>
        <v>3.3</v>
      </c>
      <c r="C29" s="192" t="str">
        <f ca="1"/>
        <v>Data</v>
      </c>
      <c r="D29" s="192" t="str">
        <f ca="1"/>
        <v>Protect</v>
      </c>
      <c r="E29" s="192" t="str">
        <f ca="1"/>
        <v>הגדר בקרת גישה לנתונים</v>
      </c>
      <c r="F29" s="232" t="str">
        <f ca="1"/>
        <v>Configure data access control lists based on a user’s need to know. Apply data access control lists, also known as access permissions, to local and remote file systems, databases, and applications.</v>
      </c>
      <c r="G29" s="192" t="str">
        <f ca="1"/>
        <v>5.2 Ensure That Cloud Storage Buckets Have Uniform Bucket-Level Access Enabled (Automated)</v>
      </c>
      <c r="H29" s="192" t="str">
        <f ca="1"/>
        <v>It is recommended that uniform bucket-level access is enabled on Cloud Storage buckets.</v>
      </c>
      <c r="I29" s="272" t="str">
        <f ca="1"/>
        <v>5.2</v>
      </c>
      <c r="J29" s="273" t="str">
        <f ca="1"/>
        <v>It is recommended to use uniform bucket-level access to unify and simplify how you grant access to your Cloud Storage resources.
Cloud Storage offers two systems for granting users permission to access your buckets and objects: Cloud Identity and Access Management (Cloud IAM) and Access Control Lists (ACLs). These systems act in parallel - in order for a user to access a Cloud Storage resource, only one of the systems needs to grant the user permission. Cloud IAM is used throughout Google Cloud and allows you to grant a variety of permissions at the bucket and project levels. ACLs are used only by Cloud Storage and have limited permission options, but they allow you to grant permissions on a per-object basis.
In order to support a uniform permissioning system, Cloud Storage has uniform bucket-level access. Using this feature disables ACLs for all Cloud Storage resources: access to Cloud Storage resources then is granted exclusively through Cloud IAM. Enabling uniform bucket-level access guarantees that if a Storage bucket is not publicly accessible, no object in the bucket is publicly accessible either.
Impact:
If you enable uniform bucket-level access, you revoke access from users who gain their access solely through object ACLs.
Certain Google Cloud services, such as Stackdriver, Cloud Audit Logs, and Datastore, cannot export to Cloud Storage buckets that have uniform bucket-level access enabled.</v>
      </c>
      <c r="K29" s="273" t="str">
        <f ca="1"/>
        <v>From Google Cloud Console
1. Open the Cloud Storage browser in the Google Cloud Console by visiting: https://console.cloud.google.com/storage/browser
2. In the list of buckets, click on the name of the desired bucket.
3. Select the Permissions tab near the top of the page.
4. In the text box that starts with This bucket uses fine-grained access control..., click Edit.
5. In the pop-up menu that appears, select Uniform.
6. Click Save.
From Google Cloud CLI Use the on option in a uniformbucketlevelaccess set command: gsutil uniformbucketlevelaccess set on gs://BUCKET_NAME/
Prevention You can set up an Organization Policy to enforce that any new bucket has uniform bucket level access enabled. Learn more at: https://cloud.google.com/storage/docs/setting-org-policies#uniform-bucket
Default Value:
By default, Cloud Storage buckets do not have uniform bucket-level access enabled.</v>
      </c>
      <c r="L29" s="273" t="str">
        <f ca="1"/>
        <v>1. https://cloud.google.com/storage/docs/uniform-bucket-level-access
2. https://cloud.google.com/storage/docs/using-uniform-bucket-level-access
3. https://cloud.google.com/storage/docs/setting-org-policies#uniform-bucket</v>
      </c>
      <c r="M29" s="192" t="str">
        <f ca="1"/>
        <v>v</v>
      </c>
      <c r="N29" s="192" t="str">
        <f ca="1"/>
        <v>ארגוני</v>
      </c>
      <c r="O29" s="192" t="str">
        <f ca="1"/>
        <v>v</v>
      </c>
      <c r="P29" s="28"/>
    </row>
    <row r="30" spans="1:16" ht="409.5">
      <c r="A30" s="28"/>
      <c r="B30" s="192">
        <f ca="1"/>
        <v>3.3</v>
      </c>
      <c r="C30" s="192" t="str">
        <f ca="1"/>
        <v>Data</v>
      </c>
      <c r="D30" s="192" t="str">
        <f ca="1"/>
        <v>Protect</v>
      </c>
      <c r="E30" s="192" t="str">
        <f ca="1"/>
        <v>הגדר בקרת גישה לנתונים</v>
      </c>
      <c r="F30" s="232" t="str">
        <f ca="1"/>
        <v>Configure data access control lists based on a user’s need to know. Apply data access control lists, also known as access permissions, to local and remote file systems, databases, and applications.</v>
      </c>
      <c r="G30" s="192" t="str">
        <f ca="1"/>
        <v>6.1.2 Ensure ‘Skip_show_database’ Database Flag for Cloud SQL MySQL Instance Is Set to ‘On’ (Automated)</v>
      </c>
      <c r="H30" s="192" t="str">
        <f ca="1"/>
        <v>It is recommended to set skip_show_database database flag for Cloud SQL Mysql instance to on
Additional Information: "WARNING: This patch modifies database flag values, which may require your instance to be restarted. Check the list of supported flags - https://cloud.google.com/sql/docs/mysql/flags - to see if your instance will be restarted when this patch is submitted. Note: some database flag settings can affect instance availability or stability, and remove the instance from the Cloud SQL SLA. For information about these flags, see Operational Guidelines." Note: Configuring the above flag restarts the Cloud SQL instance.</v>
      </c>
      <c r="I30" s="272" t="str">
        <f ca="1"/>
        <v>6.1.2</v>
      </c>
      <c r="J30" s="273" t="str">
        <f ca="1"/>
        <v>skip_show_database' database flag prevents people from using the SHOW DATABASES statement if they do not have the SHOW DATABASES privilege. This can improve security if you have concerns about users being able to see databases belonging to other users. Its effect depends on the SHOW DATABASES privilege: If the variable value is ON, the SHOW DATABASES statement is permitted only to users who have the SHOW DATABASES privilege, and the statement displays all database names. If the value is OFF, SHOW DATABASES is permitted to all users, but displays the names of only those databases for which the user has the SHOW DATABASES or other privilege. This recommendation is applicable to Mysql database instances.</v>
      </c>
      <c r="K30" s="273" t="str">
        <f ca="1"/>
        <v>From Google Cloud Console
1. Go to the Cloud SQL Instances page in the Google Cloud Console by visiting https://console.cloud.google.com/sql/instances.
2. Select the Mysql instance for which you want to enable to database flag.
3. Click Edit.
4. Scroll down to the Flags section.
5. To set a flag that has not been set on the instance before, click Add item, choose the flag skip_show_database from the drop-down menu, and set its value to on.
6. Click Save to save your changes.
7. Confirm your changes under Flags on the Overview page.
From Google Cloud CLI
1. List all Cloud SQL database Instances gcloud sql instances list
2. Configure the skip_show_database database flag for every Cloud SQL Mysql database instance using the below command. gcloud sql instances patch INSTANCE_NAME --database-flags skip_show_database=on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v>
      </c>
      <c r="L30" s="273" t="str">
        <f ca="1"/>
        <v>1. https://cloud.google.com/sql/docs/mysql/flags
2. https://dev.mysql.com/doc/refman/5.7/en/server-system-variables.html#sysvar_skip_show_database</v>
      </c>
      <c r="M30" s="192" t="str">
        <f ca="1"/>
        <v>v</v>
      </c>
      <c r="N30" s="192" t="str">
        <f ca="1"/>
        <v>מערכת</v>
      </c>
      <c r="O30" s="192" t="str">
        <f ca="1"/>
        <v>-</v>
      </c>
      <c r="P30" s="28"/>
    </row>
    <row r="31" spans="1:16" ht="409.5">
      <c r="A31" s="28"/>
      <c r="B31" s="192">
        <f ca="1"/>
        <v>3.3</v>
      </c>
      <c r="C31" s="192" t="str">
        <f ca="1"/>
        <v>Data</v>
      </c>
      <c r="D31" s="192" t="str">
        <f ca="1"/>
        <v>Protect</v>
      </c>
      <c r="E31" s="192" t="str">
        <f ca="1"/>
        <v>הגדר בקרת גישה לנתונים</v>
      </c>
      <c r="F31" s="232" t="str">
        <f ca="1"/>
        <v>Configure data access control lists based on a user’s need to know. Apply data access control lists, also known as access permissions, to local and remote file systems, databases, and applications.</v>
      </c>
      <c r="G31" s="192" t="str">
        <f ca="1"/>
        <v>6.3.2 Ensure that the 'cross db ownership chaining' database flag for Cloud SQL SQL Server instance is set to 'off' (Automated)</v>
      </c>
      <c r="H31" s="192" t="str">
        <f ca="1"/>
        <v>It is recommended to set cross db ownership chaining database flag for Cloud SQL SQL Server instance to off.</v>
      </c>
      <c r="I31" s="272" t="str">
        <f ca="1"/>
        <v>6.3.2</v>
      </c>
      <c r="J31" s="273" t="str">
        <f ca="1"/>
        <v>Use the cross db ownership for chaining option to configure cross-database ownership chaining for an instance of Microsoft SQL Server. This server option allows you to control cross-database ownership chaining at the database level or to allow cross-database ownership chaining for all databases. Enabling cross db ownership is not recommended unless all of the databases hosted by the instance of SQL Server must participate in cross-database ownership chaining and you are aware of the security implications of this setting. This recommendation is applicable to SQL Server database instances.
Impact:
Updating flags may cause the database to restart. This may cause it to unavailable for a short amount of time, so this is best done at a time of low usage. You should also determine if the tables in your databases reference another table without using credentials for that database, as turning off cross database ownership will break this relationship.</v>
      </c>
      <c r="K31" s="273" t="str">
        <f ca="1"/>
        <v>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cross db ownership chaining from the drop-down menu, and set its value to off.
6. Click Save.
7. Confirm the changes under Flags on the Overview page.
From Google Cloud CLI
1. Configure the cross db ownership chaining database flag for every Cloud SQL SQL Server database instance using the below command: gcloud sql instances patch &lt;INSTANCE_NAME&gt; --database-flags "cross db ownership chaining=off"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
Default Value:
As you have to manually turn on this flag, the default value for this is 'On'. Though you would have had to design your database schema from the start to include this feature, it often is not enabled.</v>
      </c>
      <c r="L31" s="273" t="str">
        <f ca="1"/>
        <v>1. https://cloud.google.com/sql/docs/sqlserver/flags
2. https://docs.microsoft.com/en-us/sql/database-engine/configure-windows/cross-db-ownership-chaining-server-configuration-option?view=sql-server-ver15</v>
      </c>
      <c r="M31" s="192" t="str">
        <f ca="1"/>
        <v>v</v>
      </c>
      <c r="N31" s="192" t="str">
        <f ca="1"/>
        <v>מערכת</v>
      </c>
      <c r="O31" s="192" t="str">
        <f ca="1"/>
        <v>-</v>
      </c>
      <c r="P31" s="28"/>
    </row>
    <row r="32" spans="1:16" ht="409.5">
      <c r="A32" s="28"/>
      <c r="B32" s="192">
        <f ca="1"/>
        <v>3.3</v>
      </c>
      <c r="C32" s="192" t="str">
        <f ca="1"/>
        <v>Data</v>
      </c>
      <c r="D32" s="192" t="str">
        <f ca="1"/>
        <v>Protect</v>
      </c>
      <c r="E32" s="192" t="str">
        <f ca="1"/>
        <v>הגדר בקרת גישה לנתונים</v>
      </c>
      <c r="F32" s="232" t="str">
        <f ca="1"/>
        <v>Configure data access control lists based on a user’s need to know. Apply data access control lists, also known as access permissions, to local and remote file systems, databases, and applications.</v>
      </c>
      <c r="G32" s="192" t="str">
        <f ca="1"/>
        <v>6.3.7 Ensure that the 'contained database authentication' database flag for Cloud SQL on the SQL Server instance is set to 'off' (Automated)</v>
      </c>
      <c r="H32" s="192" t="str">
        <f ca="1"/>
        <v>It is recommended to set contained database authentication database flag for Cloud SQL on the SQL Server instance to off.</v>
      </c>
      <c r="I32" s="272" t="str">
        <f ca="1"/>
        <v>6.3.7</v>
      </c>
      <c r="J32" s="273" t="str">
        <f ca="1"/>
        <v>A contained database includes all database settings and metadata required to define the database and has no configuration dependencies on the instance of the Database Engine where the database is installed. Users can connect to the database without authenticating a login at the Database Engine level. Isolating the database from the Database Engine makes it possible to easily move the database to another instance of SQL Server. Contained databases have some unique threats that should be understood and mitigated by SQL Server Database Engine administrators. Most of the threats are related to the USER WITH PASSWORD authentication process, which moves the authentication boundary from the Database Engine level to the database level, hence this is recommended to disable this flag. This recommendation is applicable to SQL Server database instances.
Impact:
When contained database authentication is off (0) for the instance, contained databases cannot be created, or attached to the Database Engine. Turning on logging will increase the required storage over time. Mismanaged logs may cause your storage costs to increase.Setting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32" s="273" t="str">
        <f ca="1"/>
        <v>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contained database authentication from the drop-down menu, and set its value to off.
6. Click Save.
7. Confirm the changes under Flags on the Overview page.
From Google Cloud CLI
1. Configure the contained database authentication database flag for every Cloud SQL SQL Server database instance using the below command: gcloud sql instances patch &lt;INSTANCE_NAME&gt; --database-flags "contained database authentication=off"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v>
      </c>
      <c r="L32" s="273" t="str">
        <f ca="1"/>
        <v>1. https://cloud.google.com/sql/docs/sqlserver/flags
2. https://docs.microsoft.com/en-us/sql/database-engine/configure-windows/contained-database-authentication-server-configuration-option?view=sql-server-ver15
3. https://docs.microsoft.com/en-us/sql/relational-databases/databases/security-best-practices-with-contained-databases?view=sql-server-ver15</v>
      </c>
      <c r="M32" s="192" t="str">
        <f ca="1"/>
        <v>v</v>
      </c>
      <c r="N32" s="192" t="str">
        <f ca="1"/>
        <v>מערכת</v>
      </c>
      <c r="O32" s="192" t="str">
        <f ca="1"/>
        <v>-</v>
      </c>
      <c r="P32" s="28"/>
    </row>
    <row r="33" spans="1:16" ht="409.5">
      <c r="A33" s="28"/>
      <c r="B33" s="192">
        <f ca="1"/>
        <v>3.3</v>
      </c>
      <c r="C33" s="192" t="str">
        <f ca="1"/>
        <v>Data</v>
      </c>
      <c r="D33" s="192" t="str">
        <f ca="1"/>
        <v>Protect</v>
      </c>
      <c r="E33" s="192" t="str">
        <f ca="1"/>
        <v>הגדר בקרת גישה לנתונים</v>
      </c>
      <c r="F33" s="232" t="str">
        <f ca="1"/>
        <v>Configure data access control lists based on a user’s need to know. Apply data access control lists, also known as access permissions, to local and remote file systems, databases, and applications.</v>
      </c>
      <c r="G33" s="192" t="str">
        <f ca="1"/>
        <v>6.5 Ensure That Cloud SQL Database Instances Do Not Implicitly Whitelist All Public IP Addresses (Automated)</v>
      </c>
      <c r="H33" s="192" t="str">
        <f ca="1"/>
        <v>Database Server should accept connections only from trusted Network(s)/IP(s) and restrict access from public IP addresses.</v>
      </c>
      <c r="I33" s="272" t="str">
        <f ca="1"/>
        <v>6.5</v>
      </c>
      <c r="J33" s="273" t="str">
        <f ca="1"/>
        <v>To minimize attack surface on a Database server instance, only trusted/known and required IP(s) should be white-listed to connect to it.
An authorized network should not have IPs/networks configured to 0.0.0.0/0 which will allow access to the instance from anywhere in the world. Note that authorized networks apply only to instances with public IPs.
Impact:
The Cloud SQL database instance would not be available to public IP addresses.</v>
      </c>
      <c r="K33" s="273" t="str">
        <f ca="1"/>
        <v>From Google Cloud Console
1. Go to the Cloud SQL Instances page in the Google Cloud Console by visiting https://console.cloud.google.com/sql/instances.
2. Click the instance name to open its Instance details page.
3. Under the Configuration section click Edit configurations
4. Under Configuration options expand the Connectivity section.
5. Click the delete icon for the authorized network 0.0.0.0/0.
6. Click Save to update the instance.
From Google Cloud CLI Update the authorized network list by dropping off any addresses. gcloud sql instances patch &lt;INSTANCE_NAME&gt; --authorized-networks=IP_ADDR1,IP_ADDR2...
Prevention: To prevent new SQL instances from being configured to accept incoming connections from any IP addresses, set up a Restrict Authorized Networks on Cloud SQL instances Organization Policy at: https://console.cloud.google.com/iam-admin/orgpolicies/sql-restrictAuthorizedNetworks.
Default Value:
By default, authorized networks are not configured. Remote connection to Cloud SQL database instance is not possible unless authorized networks are configured.</v>
      </c>
      <c r="L33" s="273" t="str">
        <f ca="1"/>
        <v>1. https://cloud.google.com/sql/docs/mysql/configure-ip
2. https://console.cloud.google.com/iam-admin/orgpolicies/sql-restrictAuthorizedNetworks
3. https://cloud.google.com/resource-manager/docs/organization-policy/org-policy-constraints
4. https://cloud.google.com/sql/docs/mysql/connection-org-policy</v>
      </c>
      <c r="M33" s="192" t="str">
        <f ca="1"/>
        <v>v</v>
      </c>
      <c r="N33" s="192" t="str">
        <f ca="1"/>
        <v>מערכת</v>
      </c>
      <c r="O33" s="192" t="str">
        <f ca="1"/>
        <v>v</v>
      </c>
      <c r="P33" s="28"/>
    </row>
    <row r="34" spans="1:16" ht="384.75">
      <c r="A34" s="28"/>
      <c r="B34" s="192">
        <f ca="1"/>
        <v>3.3</v>
      </c>
      <c r="C34" s="192" t="str">
        <f ca="1"/>
        <v>Data</v>
      </c>
      <c r="D34" s="192" t="str">
        <f ca="1"/>
        <v>Protect</v>
      </c>
      <c r="E34" s="192" t="str">
        <f ca="1"/>
        <v>הגדר בקרת גישה לנתונים</v>
      </c>
      <c r="F34" s="232" t="str">
        <f ca="1"/>
        <v>Configure data access control lists based on a user’s need to know. Apply data access control lists, also known as access permissions, to local and remote file systems, databases, and applications.</v>
      </c>
      <c r="G34" s="192" t="str">
        <f ca="1"/>
        <v>6.6 Ensure That Cloud SQL Database Instances Do Not Have Public IPs (Automated)</v>
      </c>
      <c r="H34" s="192" t="str">
        <f ca="1"/>
        <v>It is recommended to configure Second Generation Sql instance to use private IPs instead of public IPs.</v>
      </c>
      <c r="I34" s="272" t="str">
        <f ca="1"/>
        <v>6.6</v>
      </c>
      <c r="J34" s="273" t="str">
        <f ca="1"/>
        <v>To lower the organization's attack surface, Cloud SQL databases should not have public IPs. Private IPs provide improved network security and lower latency for your application.
Impact:
Removing the public IP address on SQL instances may break some applications that relied on it for database connectivity.</v>
      </c>
      <c r="K34" s="273" t="str">
        <f ca="1"/>
        <v>From Google Cloud Console
1. Go to the Cloud SQL Instances page in the Google Cloud Console: https://console.cloud.google.com/sql/instances
2. Click the instance name to open its Instance details page.
3. Select the Connections tab.
4. Deselect the Public IP checkbox.
5. Click Save to update the instance.
From Google Cloud CLI
1. For every instance remove its public IP and assign a private IP instead: gcloud sql instances patch &lt;INSTANCE_NAME&gt; --network=&lt;VPC_NETWORK_NAME&gt; --no-assign-ip
2. Confirm the changes using the following command:: gcloud sql instances describe &lt;INSTANCE_NAME&gt;
Prevention: To prevent new SQL instances from getting configured with public IP addresses, set up a Restrict Public IP access on Cloud SQL instances Organization policy at: https://console.cloud.google.com/iam-admin/orgpolicies/sql-restrictPublicIp.
Default Value:
By default, Cloud Sql instances have a public IP.</v>
      </c>
      <c r="L34" s="273" t="str">
        <f ca="1"/>
        <v>1. https://cloud.google.com/sql/docs/mysql/configure-private-ip
2. https://cloud.google.com/sql/docs/mysql/private-ip
3. https://cloud.google.com/resource-manager/docs/organization-policy/org-policy-constraints
4. https://console.cloud.google.com/iam-admin/orgpolicies/sql-restrictPublicIp</v>
      </c>
      <c r="M34" s="192" t="str">
        <f ca="1"/>
        <v>v</v>
      </c>
      <c r="N34" s="192" t="str">
        <f ca="1"/>
        <v>מערכת</v>
      </c>
      <c r="O34" s="192" t="str">
        <f ca="1"/>
        <v>v</v>
      </c>
      <c r="P34" s="28"/>
    </row>
    <row r="35" spans="1:16" ht="409.5">
      <c r="A35" s="28"/>
      <c r="B35" s="192">
        <f ca="1"/>
        <v>3.3</v>
      </c>
      <c r="C35" s="192" t="str">
        <f ca="1"/>
        <v>Data</v>
      </c>
      <c r="D35" s="192" t="str">
        <f ca="1"/>
        <v>Protect</v>
      </c>
      <c r="E35" s="192" t="str">
        <f ca="1"/>
        <v>הגדר בקרת גישה לנתונים</v>
      </c>
      <c r="F35" s="232" t="str">
        <f ca="1"/>
        <v>Configure data access control lists based on a user’s need to know. Apply data access control lists, also known as access permissions, to local and remote file systems, databases, and applications.</v>
      </c>
      <c r="G35" s="192" t="str">
        <f ca="1"/>
        <v>7.1 Ensure That BigQuery Datasets Are Not Anonymously or Publicly Accessible (Automated)</v>
      </c>
      <c r="H35" s="192" t="str">
        <f ca="1"/>
        <v>It is recommended that the IAM policy on BigQuery datasets does not allow anonymous and/or public access.</v>
      </c>
      <c r="I35" s="272" t="str">
        <f ca="1"/>
        <v>7.1</v>
      </c>
      <c r="J35" s="273" t="str">
        <f ca="1"/>
        <v>Granting permissions to allUsers or allAuthenticatedUsers allows anyone to access the dataset. Such access might not be desirable if sensitive data is being stored in the dataset. Therefore, ensure that anonymous and/or public access to a dataset is not allowed.
Impact:
The dataset is not publicly accessible. Explicit modification of IAM privileges would be necessary to make them publicly accessible.</v>
      </c>
      <c r="K35" s="273" t="str">
        <f ca="1"/>
        <v>Remediation:
From Google Cloud Console
1. Go to BigQuery by visiting: https://console.cloud.google.com/bigquery.
2. Select the dataset from 'Resources'.
3. Click SHARING near the right side of the window and select Permissions.
4. Review each attached role.
5. Click the delete icon for each member allUsers or allAuthenticatedUsers. On the popup click Remove.
From Google Cloud CLI List the name of all datasets. bq ls
Retrieve the data set details: bq show --format=prettyjson PROJECT_ID:DATASET_NAME &gt; PATH_TO_FILE
In the access section of the JSON file, update the dataset information to remove all roles containing allUsers or allAuthenticatedUsers. Update the dataset: bq update --source PATH_TO_FILE PROJECT_ID:DATASET_NAME
Prevention: You can prevent Bigquery dataset from becoming publicly accessible by setting up the Domain restricted sharing organization policy at: https://console.cloud.google.com/iam-admin/orgpolicies/iam-allowedPolicyMemberDomains .
Default Value:
By default, BigQuery datasets are not publicly accessible.</v>
      </c>
      <c r="L35" s="273" t="str">
        <f ca="1"/>
        <v>1. https://cloud.google.com/bigquery/docs/dataset-access-controls</v>
      </c>
      <c r="M35" s="192" t="str">
        <f ca="1"/>
        <v>v</v>
      </c>
      <c r="N35" s="192" t="str">
        <f ca="1"/>
        <v>מערכת</v>
      </c>
      <c r="O35" s="192" t="str">
        <f ca="1"/>
        <v>v</v>
      </c>
      <c r="P35" s="28"/>
    </row>
    <row r="36" spans="1:16" ht="28.5">
      <c r="A36" s="28"/>
      <c r="B36" s="192">
        <f ca="1"/>
        <v>3.4</v>
      </c>
      <c r="C36" s="192" t="str">
        <f ca="1"/>
        <v>Data</v>
      </c>
      <c r="D36" s="192" t="str">
        <f ca="1"/>
        <v>Protect</v>
      </c>
      <c r="E36" s="192" t="str">
        <f ca="1"/>
        <v>יש להגדיר אכיפת Data Ritention</v>
      </c>
      <c r="F36" s="232" t="str">
        <f ca="1"/>
        <v>Retain data according to the enterprise’s data management process. Data retention must include both minimum and maximum timelines.</v>
      </c>
      <c r="G36" s="192" t="str">
        <f ca="1"/>
        <v>-</v>
      </c>
      <c r="H36" s="192" t="str">
        <f ca="1"/>
        <v>-</v>
      </c>
      <c r="I36" s="272" t="str">
        <f ca="1"/>
        <v>-</v>
      </c>
      <c r="J36" s="273" t="str">
        <f ca="1"/>
        <v>-</v>
      </c>
      <c r="K36" s="273" t="str">
        <f ca="1"/>
        <v>-</v>
      </c>
      <c r="L36" s="273" t="str">
        <f ca="1"/>
        <v>-</v>
      </c>
      <c r="M36" s="192" t="str">
        <f ca="1"/>
        <v/>
      </c>
      <c r="N36" s="192" t="str">
        <f ca="1"/>
        <v>ארגוני</v>
      </c>
      <c r="O36" s="192" t="str">
        <f ca="1"/>
        <v>-</v>
      </c>
      <c r="P36" s="28"/>
    </row>
    <row r="37" spans="1:16" ht="42.75">
      <c r="A37" s="28"/>
      <c r="B37" s="192">
        <f ca="1"/>
        <v>3.5</v>
      </c>
      <c r="C37" s="192" t="str">
        <f ca="1"/>
        <v>Data</v>
      </c>
      <c r="D37" s="192" t="str">
        <f ca="1"/>
        <v>Protect</v>
      </c>
      <c r="E37" s="192" t="str">
        <f ca="1"/>
        <v>יש לוודא השמדת מידע מאובטחת בסיום תקופת ה Ritention</v>
      </c>
      <c r="F37" s="232" t="str">
        <f ca="1"/>
        <v>Securely dispose of data as outlined in the enterprise’s data management process. Ensure the disposal process and method are commensurate with the data sensitivity.</v>
      </c>
      <c r="G37" s="192" t="str">
        <f ca="1"/>
        <v>-</v>
      </c>
      <c r="H37" s="192" t="str">
        <f ca="1"/>
        <v>-</v>
      </c>
      <c r="I37" s="272" t="str">
        <f ca="1"/>
        <v>-</v>
      </c>
      <c r="J37" s="273" t="str">
        <f ca="1"/>
        <v>-</v>
      </c>
      <c r="K37" s="273" t="str">
        <f ca="1"/>
        <v>-</v>
      </c>
      <c r="L37" s="273" t="str">
        <f ca="1"/>
        <v>-</v>
      </c>
      <c r="M37" s="192" t="str">
        <f ca="1"/>
        <v/>
      </c>
      <c r="N37" s="192" t="str">
        <f ca="1"/>
        <v>ארגוני</v>
      </c>
      <c r="O37" s="192" t="str">
        <f ca="1"/>
        <v>-</v>
      </c>
      <c r="P37" s="28"/>
    </row>
    <row r="38" spans="1:16" ht="71.25">
      <c r="A38" s="28"/>
      <c r="B38" s="192">
        <f ca="1"/>
        <v>3.7</v>
      </c>
      <c r="C38" s="192" t="str">
        <f ca="1"/>
        <v>Data</v>
      </c>
      <c r="D38" s="192" t="str">
        <f ca="1"/>
        <v>Identify</v>
      </c>
      <c r="E38" s="192" t="str">
        <f ca="1"/>
        <v>הקמה ותחזוקה של תוכנית סיווג נתונים</v>
      </c>
      <c r="F38" s="232" t="str">
        <f ca="1"/>
        <v>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v>
      </c>
      <c r="G38" s="192" t="str">
        <f ca="1"/>
        <v>-</v>
      </c>
      <c r="H38" s="192" t="str">
        <f ca="1"/>
        <v>-</v>
      </c>
      <c r="I38" s="272" t="str">
        <f ca="1"/>
        <v>-</v>
      </c>
      <c r="J38" s="273" t="str">
        <f ca="1"/>
        <v>-</v>
      </c>
      <c r="K38" s="273" t="str">
        <f ca="1"/>
        <v>-</v>
      </c>
      <c r="L38" s="273" t="str">
        <f ca="1"/>
        <v>-</v>
      </c>
      <c r="M38" s="192" t="str">
        <f ca="1"/>
        <v/>
      </c>
      <c r="N38" s="192" t="str">
        <f ca="1"/>
        <v>ארגוני</v>
      </c>
      <c r="O38" s="192" t="str">
        <f ca="1"/>
        <v>-</v>
      </c>
      <c r="P38" s="28"/>
    </row>
    <row r="39" spans="1:16" ht="57">
      <c r="A39" s="28"/>
      <c r="B39" s="192">
        <f ca="1"/>
        <v>3.8</v>
      </c>
      <c r="C39" s="192" t="str">
        <f ca="1"/>
        <v>Data</v>
      </c>
      <c r="D39" s="192" t="str">
        <f ca="1"/>
        <v>Identify</v>
      </c>
      <c r="E39" s="192" t="str">
        <f ca="1"/>
        <v>הגדרת אופן זרימת נתונים</v>
      </c>
      <c r="F39" s="232" t="str">
        <f ca="1"/>
        <v>Document data flows. Data flow documentation includes service provider data flows and should be based on the enterprise’s data management process. Review and update documentation annually, or when significant enterprise changes occur that could impact this Safeguard.</v>
      </c>
      <c r="G39" s="192" t="str">
        <f ca="1"/>
        <v>-</v>
      </c>
      <c r="H39" s="192" t="str">
        <f ca="1"/>
        <v>-</v>
      </c>
      <c r="I39" s="272" t="str">
        <f ca="1"/>
        <v>-</v>
      </c>
      <c r="J39" s="273" t="str">
        <f ca="1"/>
        <v>-</v>
      </c>
      <c r="K39" s="273" t="str">
        <f ca="1"/>
        <v>-</v>
      </c>
      <c r="L39" s="273" t="str">
        <f ca="1"/>
        <v>-</v>
      </c>
      <c r="M39" s="192" t="str">
        <f ca="1"/>
        <v/>
      </c>
      <c r="N39" s="192" t="str">
        <f ca="1"/>
        <v>ארגוני</v>
      </c>
      <c r="O39" s="192" t="str">
        <f ca="1"/>
        <v>-</v>
      </c>
      <c r="P39" s="28"/>
    </row>
    <row r="40" spans="1:16" ht="409.5">
      <c r="A40" s="28"/>
      <c r="B40" s="192">
        <f ca="1"/>
        <v>3.1</v>
      </c>
      <c r="C40" s="192" t="str">
        <f ca="1"/>
        <v>Data</v>
      </c>
      <c r="D40" s="192" t="str">
        <f ca="1"/>
        <v>Protect</v>
      </c>
      <c r="E40" s="192" t="str">
        <f ca="1"/>
        <v>הצפנת נתונים רגישים בתנועה</v>
      </c>
      <c r="F40" s="232" t="str">
        <f ca="1"/>
        <v>Encrypt sensitive data in transit. Example implementations can include: Transport Layer Security (TLS) and Open Secure Shell (OpenSSH).</v>
      </c>
      <c r="G40" s="192" t="str">
        <f ca="1"/>
        <v>3.9 Ensure No HTTPS or SSL Proxy Load Balancers Permit SSL Policies With Weak Cipher Suites (Manual)</v>
      </c>
      <c r="H40" s="192" t="str">
        <f ca="1"/>
        <v>Secure Sockets Layer (SSL) policies determine what port Transport Layer Security (TLS) features clients are permitted to use when connecting to load balancers. To prevent usage of insecure features, SSL policies should use (a) at least TLS 1.2 with the MODERN profile; or (b) the RESTRICTED profile, because it effectively requires clients to use TLS 1.2 regardless of the chosen minimum TLS version; or (3) a CUSTOM profile that does not support any of the following features: TLS_RSA_WITH_AES_128_GCM_SHA256 TLS_RSA_WITH_AES_256_GCM_SHA384 TLS_RSA_WITH_AES_128_CBC_SHA TLS_RSA_WITH_AES_256_CBC_SHA TLS_RSA_WITH_3DES_EDE_CBC_SHA</v>
      </c>
      <c r="I40" s="272" t="str">
        <f ca="1"/>
        <v>3.9</v>
      </c>
      <c r="J40" s="273" t="str">
        <f ca="1"/>
        <v>Load balancers are used to efficiently distribute traffic across multiple servers. Both SSL proxy and HTTPS load balancers are external load balancers, meaning they distribute traffic from the Internet to a GCP network. GCP customers can configure load balancer SSL policies with a minimum TLS version (1.0, 1.1, or 1.2) that clients can use to establish a connection, along with a profile (Compatible, Modern, Restricted, or Custom) that specifies permissible cipher suites. To comply with users using outdated protocols, GCP load balancers can be configured to permit insecure cipher suites. In fact, the GCP default SSL policy uses a minimum TLS version of 1.0 and a Compatible profile, which allows the widest range of insecure cipher suites. As a result, it is easy for customers to configure a load balancer without even knowing that they are permitting outdated cipher suites.
Impact:
Creating more secure SSL policies can prevent clients using older TLS versions from establishing a connection.</v>
      </c>
      <c r="K40" s="273" t="str">
        <f ca="1"/>
        <v>From Google Cloud Console If the TargetSSLProxy or TargetHttpsProxy does not have an SSL policy configured, create a new SSL policy. Otherwise, modify the existing insecure policy.
1. Navigate to the SSL Policies page by visiting: https://console.cloud.google.com/net-security/sslpolicies
2. Click on the name of the insecure policy to go to its SSL policy details page.
3. Click EDIT.
4. Set Minimum TLS version to TLS 1.2.
5. Set Profile to Modern or Restricted.
6. Alternatively, if teh user selects the profile Custom, make sure that the following features are disabled: TLS_RSA_WITH_AES_128_GCM_SHA256 TLS_RSA_WITH_AES_256_GCM_SHA384 TLS_RSA_WITH_AES_128_CBC_SHA TLS_RSA_WITH_AES_256_CBC_SHA TLS_RSA_WITH_3DES_EDE_CBC_SHA
From Google Cloud CLI
1. For each insecure SSL policy, update it to use secure cyphers: gcloud compute ssl-policies update NAME [--profile COMPATIBLE|MODERN|RESTRICTED|CUSTOM] --min-tls-version 1.2 [--custom-features FEATURES]
2. If the target proxy has a GCP default SSL policy, use the following command corresponding to the proxy type to update it. gcloud compute target-ssl-proxies update TARGET_SSL_PROXY_NAME --ssl-policy SSL_POLICY_NAME gcloud compute target-https-proxies update TARGET_HTTPS_POLICY_NAME --ssl-policy SSL_POLICY_NAME
Default Value:
The GCP default SSL policy is the least secure setting: Min TLS 1.0 and Compatible profile</v>
      </c>
      <c r="L40" s="273" t="str">
        <f ca="1"/>
        <v>1. https://cloud.google.com/load-balancing/docs/use-ssl-policies
2. https://nvlpubs.nist.gov/nistpubs/SpecialPublications/NIST.SP.800-52r2.pdf</v>
      </c>
      <c r="M40" s="192" t="str">
        <f ca="1"/>
        <v>v</v>
      </c>
      <c r="N40" s="192" t="str">
        <f ca="1"/>
        <v>ארגוני</v>
      </c>
      <c r="O40" s="192" t="str">
        <f ca="1"/>
        <v>v</v>
      </c>
      <c r="P40" s="28"/>
    </row>
    <row r="41" spans="1:16" ht="299.25">
      <c r="A41" s="28"/>
      <c r="B41" s="192">
        <f ca="1"/>
        <v>3.1</v>
      </c>
      <c r="C41" s="192" t="str">
        <f ca="1"/>
        <v>Data</v>
      </c>
      <c r="D41" s="192" t="str">
        <f ca="1"/>
        <v>Protect</v>
      </c>
      <c r="E41" s="192" t="str">
        <f ca="1"/>
        <v>הצפנת נתונים רגישים בתנועה</v>
      </c>
      <c r="F41" s="232" t="str">
        <f ca="1"/>
        <v>Encrypt sensitive data in transit. Example implementations can include: Transport Layer Security (TLS) and Open Secure Shell (OpenSSH).</v>
      </c>
      <c r="G41" s="192" t="str">
        <f ca="1"/>
        <v>4.3 Ensure “Block Project-Wide SSH Keys” Is Enabled for VM Instances (Automated)</v>
      </c>
      <c r="H41" s="192" t="str">
        <f ca="1"/>
        <v>It is recommended to use Instance specific SSH key(s) instead of using common/shared project-wide SSH key(s) to access Instances.</v>
      </c>
      <c r="I41" s="272" t="str">
        <f ca="1"/>
        <v>4.3</v>
      </c>
      <c r="J41" s="273" t="str">
        <f ca="1"/>
        <v>Project-wide SSH keys are stored in Compute/Project-meta-data. Project wide SSH keys can be used to login into all the instances within project. Using project-wide SSH keys eases the SSH key management but if compromised, poses the security risk which can impact all the instances within project. It is recommended to use Instance specific SSH keys which can limit the attack surface if the SSH keys are compromised.
Impact:
Users already having Project-wide ssh key pairs and using third party SSH clients will lose access to the impacted Instances. For Project users using gcloud or GCP Console based SSH option, no manual key creation and distribution is required and will be handled by GCE (Google Compute Engine) itself. To access Instance using third party SSH clients Instance specific SSH key pairs need to be created and distributed to the required users.</v>
      </c>
      <c r="K41" s="273" t="str">
        <f ca="1"/>
        <v>From Google Cloud Console
1. Go to the VM instances page by visiting: https://console.cloud.google.com/compute/instances. It will list all the instances in your project.
2. Click on the name of the Impacted instance
3. Click Edit in the toolbar
4. Under SSH Keys, go to the Block project-wide SSH keys checkbox
5. To block users with project-wide SSH keys from connecting to this instance, select Block project-wide SSH keys
6. Click Save at the bottom of the page
7. Repeat steps for every impacted Instance
From Google Cloud CLI To block project-wide public SSH keys, set the metadata value to TRUE: gcloud compute instances add-metadata &lt;INSTANCE_NAME&gt; --metadata block-project-ssh-keys=TRUE
Default Value:
By Default Block Project-wide SSH keys is not enabled.</v>
      </c>
      <c r="L41" s="273" t="str">
        <f ca="1"/>
        <v>1. https://cloud.google.com/compute/docs/instances/adding-removing-ssh-keys
2. https://cloud.google.com/sdk/gcloud/reference/topic/formats</v>
      </c>
      <c r="M41" s="192" t="str">
        <f ca="1"/>
        <v>v</v>
      </c>
      <c r="N41" s="192" t="str">
        <f ca="1"/>
        <v>מערכת</v>
      </c>
      <c r="O41" s="192" t="str">
        <f ca="1"/>
        <v>-</v>
      </c>
      <c r="P41" s="28"/>
    </row>
    <row r="42" spans="1:16" ht="128.25">
      <c r="A42" s="28"/>
      <c r="B42" s="192">
        <f ca="1"/>
        <v>3.1</v>
      </c>
      <c r="C42" s="192" t="str">
        <f ca="1"/>
        <v>Data</v>
      </c>
      <c r="D42" s="192" t="str">
        <f ca="1"/>
        <v>Protect</v>
      </c>
      <c r="E42" s="192" t="str">
        <f ca="1"/>
        <v>הצפנת נתונים רגישים בתנועה</v>
      </c>
      <c r="F42" s="232" t="str">
        <f ca="1"/>
        <v>Encrypt sensitive data in transit. Example implementations can include: Transport Layer Security (TLS) and Open Secure Shell (OpenSSH).</v>
      </c>
      <c r="G42" s="192" t="str">
        <f ca="1"/>
        <v>4.10 Ensure That App Engine Applications Enforce HTTPS Connections (Manual)</v>
      </c>
      <c r="H42" s="192" t="str">
        <f ca="1"/>
        <v>In order to maintain the highest level of security all connections to an application should be secure by default.</v>
      </c>
      <c r="I42" s="272" t="str">
        <f ca="1"/>
        <v>4.10</v>
      </c>
      <c r="J42" s="273" t="str">
        <f ca="1"/>
        <v>Insecure HTTP connections maybe subject to eavesdropping which can expose sensitive data.
Impact:
All connections to appengine will automatically be redirected to the HTTPS endpoint ensuring that all connections are secured by TLS.</v>
      </c>
      <c r="K42" s="273" t="str">
        <f ca="1"/>
        <v>Add a line to the app.yaml file controlling the application which enforces secure connections. For example handlers: - url: /.* **secure: always** redirect_http_response_code: 301 script: auto
[https://cloud.google.com/appengine/docs/standard/python3/config/appref]
Default Value:
By default both HTTP and HTTP are supported</v>
      </c>
      <c r="L42" s="273" t="str">
        <f ca="1"/>
        <v>1. https://cloud.google.com/appengine/docs/standard/python3/config/appref
2. https://cloud.google.com/appengine/docs/flexible/nodejs/configuring-your-app-with-app-yaml</v>
      </c>
      <c r="M42" s="192" t="str">
        <f ca="1"/>
        <v>v</v>
      </c>
      <c r="N42" s="192" t="str">
        <f ca="1"/>
        <v>מערכת</v>
      </c>
      <c r="O42" s="192" t="str">
        <f ca="1"/>
        <v>-</v>
      </c>
      <c r="P42" s="28"/>
    </row>
    <row r="43" spans="1:16" ht="356.25">
      <c r="A43" s="28"/>
      <c r="B43" s="192">
        <f ca="1"/>
        <v>3.1</v>
      </c>
      <c r="C43" s="192" t="str">
        <f ca="1"/>
        <v>Data</v>
      </c>
      <c r="D43" s="192" t="str">
        <f ca="1"/>
        <v>Protect</v>
      </c>
      <c r="E43" s="192" t="str">
        <f ca="1"/>
        <v>הצפנת נתונים רגישים בתנועה</v>
      </c>
      <c r="F43" s="232" t="str">
        <f ca="1"/>
        <v>Encrypt sensitive data in transit. Example implementations can include: Transport Layer Security (TLS) and Open Secure Shell (OpenSSH).</v>
      </c>
      <c r="G43" s="192" t="str">
        <f ca="1"/>
        <v>6.4 Ensure That the Cloud SQL Database Instance Requires All Incoming Connections To Use SSL (Automated)</v>
      </c>
      <c r="H43" s="192" t="str">
        <f ca="1"/>
        <v>It is recommended to enforce all incoming connections to SQL database instance to use SSL.</v>
      </c>
      <c r="I43" s="272" t="str">
        <f ca="1"/>
        <v>6.4</v>
      </c>
      <c r="J43" s="273" t="str">
        <f ca="1"/>
        <v>SQL database connections if successfully trapped (MITM); can reveal sensitive data like credentials, database queries, query outputs etc. For security, it is recommended to always use SSL encryption when connecting to your instance. This recommendation is applicable for Postgresql, MySql generation 1, MySql generation 2 and SQL Server 2017 instances.
Impact:
After enforcing SSL connection, existing client will not be able to communicate with SQL server unless configured with appropriate client-certificates to communicate to SQL database instance.</v>
      </c>
      <c r="K43" s="273" t="str">
        <f ca="1"/>
        <v>From Google Cloud Console
1. Go to https://console.cloud.google.com/sql/instances.
2. Click on an instance name to see its configuration overview.
3. In the left-side panel, select Connections.
4. In the SSL connections section, click Allow only SSL connections.
5. Under Configure SSL server certificates click Create new certificate.
6. Under Configure SSL client certificates click Create a client certificate.
7. Follow the instructions shown to learn how to connect to your instance.
From Google Cloud CLI To enforce SSL encryption for an instance run the command: gcloud sql instances patch &lt;INSTANCE_NAME&gt; --require-ssl
Note: RESTART is required for type MySQL Generation 1 Instances (backendType: FIRST_GEN) to get this configuration in effect.
Default Value:
By default parameter settings: ipConfiguration: requireSsl is not set which is equivalent to requireSsl:false.</v>
      </c>
      <c r="L43" s="273" t="str">
        <f ca="1"/>
        <v>1. https://cloud.google.com/sql/docs/postgres/configure-ssl-instance/</v>
      </c>
      <c r="M43" s="192" t="str">
        <f ca="1"/>
        <v>v</v>
      </c>
      <c r="N43" s="192" t="str">
        <f ca="1"/>
        <v>מערכת</v>
      </c>
      <c r="O43" s="192" t="str">
        <f ca="1"/>
        <v>-</v>
      </c>
      <c r="P43" s="28"/>
    </row>
    <row r="44" spans="1:16" ht="327.75">
      <c r="A44" s="28"/>
      <c r="B44" s="192">
        <f ca="1"/>
        <v>3.11</v>
      </c>
      <c r="C44" s="192" t="str">
        <f ca="1"/>
        <v>Data</v>
      </c>
      <c r="D44" s="192" t="str">
        <f ca="1"/>
        <v>Protect</v>
      </c>
      <c r="E44" s="192" t="str">
        <f ca="1"/>
        <v>הצפנת נתונים רגישים במנוחה</v>
      </c>
      <c r="F44"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44" s="192" t="str">
        <f ca="1"/>
        <v>1.10 Ensure KMS Encryption Keys Are Rotated Within a Period of 90 Days (Automated)</v>
      </c>
      <c r="H44" s="192" t="str">
        <f ca="1"/>
        <v>Google Cloud Key Management Service stores cryptographic keys in a hierarchical structure designed for useful and elegant access control management.
The format for the rotation schedule depends on the client library that is used. For the gcloud command-line tool, the next rotation time must be in ISO or RFC3339 format, and the rotation period must be in the form INTEGER[UNIT], where units can be one of seconds (s), minutes (m), hours (h) or days (d).
Additional Information:
• Key rotation does NOT re-encrypt already encrypted data with the newly generated key version. If you suspect unauthorized use of a key, you should re-encrypt the data protected by that key and then disable or schedule destruction of the prior key version.
• It is not recommended to rely solely on irregular rotation, but rather to use irregular rotation if needed in conjunction with a regular rotation schedule.</v>
      </c>
      <c r="I44" s="272" t="str">
        <f ca="1"/>
        <v>1.10</v>
      </c>
      <c r="J44" s="273" t="str">
        <f ca="1"/>
        <v>Set a key rotation period and starting time. A key can be created with a specified rotation period, which is the time between when new key versions are generated automatically. A key can also be created with a specified next rotation time. A key is a named object representing a cryptographic key used for a specific purpose. The key material, the actual bits used for encryption, can change over time as new key versions are created.
A key is used to protect some corpus of data. A collection of files could be encrypted with the same key and people with decrypt permissions on that key would be able to decrypt those files. Therefore, it's necessary to make sure the rotation period is set to a specific time.
Impact:
After a successful key rotation, the older key version is required in order to decrypt the data encrypted by that previous key version.</v>
      </c>
      <c r="K44" s="273" t="str">
        <f ca="1"/>
        <v>From Google Cloud Console
1. Go to Cryptographic Keys by visiting: https://console.cloud.google.com/security/kms.
2. Click on the specific key ring
3. From the list of keys, choose the specific key and Click on Right side pop up the blade (3 dots).
4. Click on Edit rotation period.
5. On the pop-up window, Select a new rotation period in days which should be less than 90 and then choose Starting on date (date from which the rotation period begins).
From Google Cloud CLI
1. Update and schedule rotation by ROTATION_PERIOD and NEXT_ROTATION_TIME for each key: gcloud kms keys update new --keyring=KEY_RING --location=LOCATION --next-rotation-time=NEXT_ROTATION_TIME --rotation-period=ROTATION_PERIOD
Default Value:
By default, KMS encryption keys are rotated every 90 days.</v>
      </c>
      <c r="L44" s="273" t="str">
        <f ca="1"/>
        <v>1. https://cloud.google.com/kms/docs/key-rotation#frequency_of_key_rotation
2. https://cloud.google.com/kms/docs/re-encrypt-data</v>
      </c>
      <c r="M44" s="192" t="str">
        <f ca="1"/>
        <v>v</v>
      </c>
      <c r="N44" s="192" t="str">
        <f ca="1"/>
        <v>מערכת</v>
      </c>
      <c r="O44" s="192" t="str">
        <f ca="1"/>
        <v>-</v>
      </c>
      <c r="P44" s="28"/>
    </row>
    <row r="45" spans="1:16" ht="409.5">
      <c r="A45" s="28"/>
      <c r="B45" s="192">
        <f ca="1"/>
        <v>3.11</v>
      </c>
      <c r="C45" s="192" t="str">
        <f ca="1"/>
        <v>Data</v>
      </c>
      <c r="D45" s="192" t="str">
        <f ca="1"/>
        <v>Protect</v>
      </c>
      <c r="E45" s="192" t="str">
        <f ca="1"/>
        <v>הצפנת נתונים רגישים במנוחה</v>
      </c>
      <c r="F45"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45" s="192" t="str">
        <f ca="1"/>
        <v>1.17 Ensure that Dataproc Cluster is encrypted using Customer-Managed Encryption Key (Automated)</v>
      </c>
      <c r="H45" s="192" t="str">
        <f ca="1"/>
        <v>When you use Dataproc, cluster and job data is stored on Persistent Disks (PDs) associated with the Compute Engine VMs in your cluster and in a Cloud Storage staging bucket. This PD and bucket data is encrypted using a Google-generated data encryption key (DEK) and key encryption key (KEK). The CMEK feature allows you to create, use, and revoke the key encryption key (KEK). Google still controls the data encryption key (DEK).</v>
      </c>
      <c r="I45" s="272" t="str">
        <f ca="1"/>
        <v>1.17</v>
      </c>
      <c r="J45" s="273" t="str">
        <f ca="1"/>
        <v>"Cloud services offer the ability to protect data related to those services using encryption keys managed by the customer within Cloud KMS. These encryption keys are called customer-managed encryption keys (CMEK). When you protect data in Google Cloud services with CMEK, the CMEK key is within your control.
Impact:
Using Customer Managed Keys involves additional overhead in maintenance by administrators.</v>
      </c>
      <c r="K45" s="273" t="str">
        <f ca="1"/>
        <v>From Google Cloud Console
1. Login to the GCP Console and navigate to the Dataproc Cluster page by visiting https://console.cloud.google.com/dataproc/clusters.
2. Select the project from the projects dropdown list.
3. On the Dataproc Cluster page, click on the Create Cluster to create a new cluster with Customer managed encryption keys.
4. On Create a cluster page, perform below steps:
• Inside Set up cluster section perform below steps: In the Name textbox, provide a name for your cluster.
o From Location select the location in which you want to deploy a cluster.
o Configure other configurations as per your requirements.
• Inside Configure Nodes and Customize cluster section configure the settings as per your requirements.
• Inside Manage security section, perform below steps:
o From Encryption, select Customer-managed key.
o Select a customer-managed key from dropdown list.
o Ensure that the selected KMS Key have Cloud KMS CryptoKey Encrypter/Decrypter role assign to Dataproc Cluster service account ("serviceAccount:service-&lt;project_number&gt;@compute-system.iam.gserviceaccount.com").
o Click on Create to create a cluster.
• Once the cluster is created migrate all your workloads from the older cluster to the new cluster and delete the old cluster by performing the below steps:
o On the Clusters page, select the old cluster and click on Delete cluster.
o On the Confirm deletion window, click on Confirm to delete the cluster.
o Repeat step above for other Dataproc clusters available in the selected project.
• Change the project from the project dropdown list and repeat the remediation procedure for other Dataproc clusters available in other projects.
From Google Cloud CLI Before creating cluster ensure that the selected KMS Key have Cloud KMS CryptoKey Encrypter/Decrypter role assign to Dataproc Cluster service account ("serviceAccount:service-&lt;project_number&gt;@compute-system.iam.gserviceaccount.com"). Run clusters create command to create new cluster with customer-managed key: gcloud dataproc clusters create &lt;cluster_name&gt; --region=us-central1 --gce-pd-kms-key=&lt;key_resource_name&gt;
The above command will create a new cluster in the selected region. Once the cluster is created migrate all your workloads from the older cluster to the new cluster and Run clusters delete command to delete cluster: gcloud dataproc clusters delete &lt;cluster_name&gt; --region=us-central1
Repeat step no. 1 to create a new Dataproc cluster. Change the project by running the below command and repeat the remediation procedure for other projects: gcloud config set project &lt;project_ID&gt;"</v>
      </c>
      <c r="L45" s="273" t="str">
        <f ca="1"/>
        <v>1. https://cloud.google.com/docs/security/encryption/default-encryption</v>
      </c>
      <c r="M45" s="192" t="str">
        <f ca="1"/>
        <v>v</v>
      </c>
      <c r="N45" s="192" t="str">
        <f ca="1"/>
        <v>מערכת</v>
      </c>
      <c r="O45" s="192" t="str">
        <f ca="1"/>
        <v>-</v>
      </c>
      <c r="P45" s="28"/>
    </row>
    <row r="46" spans="1:16" ht="409.5">
      <c r="A46" s="28"/>
      <c r="B46" s="192">
        <f ca="1"/>
        <v>3.11</v>
      </c>
      <c r="C46" s="192" t="str">
        <f ca="1"/>
        <v>Data</v>
      </c>
      <c r="D46" s="192" t="str">
        <f ca="1"/>
        <v>Protect</v>
      </c>
      <c r="E46" s="192" t="str">
        <f ca="1"/>
        <v>הצפנת נתונים רגישים במנוחה</v>
      </c>
      <c r="F46"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46" s="192" t="str">
        <f ca="1"/>
        <v>1.18 Ensure Secrets are Not Stored in Cloud Functions Environment Variables by Using Secret Manager (Manual)</v>
      </c>
      <c r="H46" s="192" t="str">
        <f ca="1"/>
        <v>Google Cloud Functions allow you to host serverless code that is executed when an event is triggered, without the requiring the management a host operating system. These functions can also store environment variables to be used by the code that may contain authentication or other information that needs to remain confidential.
Default Value:
By default Secret Manager is not enabled.
Additional Information:
There are slight additional costs to using the Secret Manager API. Review the documentation to determine your organizations' needs.</v>
      </c>
      <c r="I46" s="272" t="str">
        <f ca="1"/>
        <v>1.18</v>
      </c>
      <c r="J46" s="273" t="str">
        <f ca="1"/>
        <v>It is recommended to use the Secret Manager, because environment variables are stored unencrypted, and accessible for all users who have access to the code.
Impact:
There should be no impact on the Cloud Function. There are minor costs after 10,000 requests a month to the Secret Manager API as well for a high use of other functions. Modifying the Cloud Function to use the Secret Manager may prevent it running to completion.</v>
      </c>
      <c r="K46" s="273" t="str">
        <f ca="1"/>
        <v xml:space="preserve">Enable Secret Manager API for your Project From Google Cloud Console
1. Within the project you wish to enable, select the Navigation hamburger menu in the top left. Hover over 'APIs &amp; Services' to under the heading 'Serverless', then select 'Enabled APIs &amp; Services' in the menu that opens up.
2. Click the button '+ Enable APIS and Services'
3. In the Search bar, search for 'Secret Manager API' and select it.
4. Click the blue box that says 'Enable'.
From Google Cloud CLI
1. Within the project you wish to enable the API in, run the following command. gcloud services enable Secret Manager API
Reviewing Environment Variables That Should Be Migrated to Secret Manager From Google Cloud Console
1. Log in to the Google Cloud Web Portal (https://console.cloud.google.com/)
2. Go to Cloud Functions
3. Click on a function name from the list
4. Click on Edit and review the Runtime environment for variables that should be secrets. Leave this list open for the next step.
From Google Cloud CLI
1. To view a list of your cloud functions run gcloud functions list
2. For each cloud function run the following command. gcloud functions describe &lt;function_name&gt;
3. Review the settings of the buildEnvironmentVariables and environmentVariables. Keep this information for the next step.
Migrating Environment Variables to Secrets within the Secret Manager From Google Cloud Console
1. Go to the Secret Manager page in the Cloud Console.
2. On the Secret Manager page, click Create Secret.
3. On the Create secret page, under Name, enter the name of the Environment Variable you are replacing. This will then be the Secret Variable you will reference in your code.
4. You will also need to add a version. This is the actual value of the variable that will be referenced from the code. To add a secret version when creating the initial secret, in the Secret value field, enter the value from the Environment Variable you are replacing.
5. Leave the Regions section unchanged.
6. Click the Create secret button.
7. Repeat for all Environment Variables
From Google Cloud CLI
1. Run the following command with the Environment Variable name you are replacing in the &lt;secret-id&gt;. It is most secure to point this command to a file with the Environment Variable value located in it, as if you entered it via command line it would show up in your shell’s command history. gcloud secrets create &lt;secret-id&gt; --data-file="/path/to/file.txt"
Granting your Runtime's Service Account Access to Secrets From Google Cloud Console
1. Within the project containing your runtime login with account that has the 'roles/secretmanager.secretAccessor' permission.
2. Select the Navigation hamburger menu in the top left. Hover over 'Security' to under the then select 'Secret Manager' in the menu that opens up.
3. Click the name of a secret listed in this screen.
4. If it is not already open, click Show Info Panel in this screen to open the panel. 5.In the info panel, click Add principal. 6.In the New principals field, enter the service account your function uses for its identity. (If you need help locating or updating your runtime's service account, please see the 'docs/securing/function-identity#runtime_service_account' reference.)
5. In the Select a role dropdown, choose Secret Manager and then Secret Manager Secret Accessor.
From Google Cloud CLI As of the time of writing, using Google CLI to list Runtime variables is only in beta. Because this is likely to change we are not including it here.
Modifying the Code to use the Secrets in Secret Manager From Google Cloud Console This depends heavily on which language your runtime is in. For the sake of the brevity of this recommendation, please see the '/docs/creating-and-accessing-secrets#access' reference for language specific instructions.
From Google Cloud CLI This depends heavily on which language your runtime is in. For the sake of the brevity of this recommendation, please see the' /docs/creating-and-accessing-secrets#access' reference for language specific instructions.
Deleting the Insecure Environment Variables - Be certain to do this step last. Removing variables from code actively referencing them will prevent it from completing successfully.
From Google Cloud Console
1. Select the Navigation hamburger menu in the top left. Hover over 'Security' then select 'Secret Manager' in the menu that opens up.
2. Click the name of a function. Click Edit.
3. Click Runtime, build and connections settings to expand the advanced configuration options.
4. Click 'Security’. Hover over the secret you want to remove, then click 'Delete'.
5. Click Next. Click Deploy. The latest version of the runtime will now reference the secrets in Secret Manager.
From Google Cloud CLI gcloud functions deploy &lt;Function name&gt;--remove-env-vars &lt;env vars&gt;
If you need to find the env vars to remove, they are from the step where ‘gcloud functions describe &lt;function_name&gt;’ was run.
</v>
      </c>
      <c r="L46" s="273" t="str">
        <f ca="1"/>
        <v>1. https://cloud.google.com/functions/docs/configuring/env-var#managing_secrets
2. https://cloud.google.com/secret-manager/docs/overview</v>
      </c>
      <c r="M46" s="192" t="str">
        <f ca="1"/>
        <v>v</v>
      </c>
      <c r="N46" s="192" t="str">
        <f ca="1"/>
        <v>מערכת</v>
      </c>
      <c r="O46" s="192" t="str">
        <f ca="1"/>
        <v>-</v>
      </c>
      <c r="P46" s="28"/>
    </row>
    <row r="47" spans="1:16" ht="384.75">
      <c r="A47" s="28"/>
      <c r="B47" s="192">
        <f ca="1"/>
        <v>3.11</v>
      </c>
      <c r="C47" s="192" t="str">
        <f ca="1"/>
        <v>Data</v>
      </c>
      <c r="D47" s="192" t="str">
        <f ca="1"/>
        <v>Protect</v>
      </c>
      <c r="E47" s="192" t="str">
        <f ca="1"/>
        <v>הצפנת נתונים רגישים במנוחה</v>
      </c>
      <c r="F47"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47" s="192" t="str">
        <f ca="1"/>
        <v>4.7 Ensure VM Disks for Critical VMs Are Encrypted With Customer-Supplied Encryption Keys (CSEK) (Automated)</v>
      </c>
      <c r="H47" s="192" t="str">
        <f ca="1"/>
        <v>Customer-Supplied Encryption Keys (CSEK) are a feature in Google Cloud Storage and Google Compute Engine. If you supply your own encryption keys, Google uses your key to protect the Google-generated keys used to encrypt and decrypt your data. By default, Google Compute Engine encrypts all data at rest. Compute Engine handles and manages this encryption for you without any additional actions on your part. However, if you wanted to control and manage this encryption yourself, you can provide your own encryption keys.</v>
      </c>
      <c r="I47" s="272" t="str">
        <f ca="1"/>
        <v>4.7</v>
      </c>
      <c r="J47" s="273" t="str">
        <f ca="1"/>
        <v>By default, Google Compute Engine encrypts all data at rest. Compute Engine handles and manages this encryption for you without any additional actions on your part. However, if you wanted to control and manage this encryption yourself, you can provide your own encryption keys.
If you provide your own encryption keys, Compute Engine uses your key to protect the Google-generated keys used to encrypt and decrypt your data. Only users who can provide the correct key can use resources protected by a customer-supplied encryption key.
Google does not store your keys on its servers and cannot access your protected data unless you provide the key. This also means that if you forget or lose your key, there is no way for Google to recover the key or to recover any data encrypted with the lost key.
At least business critical VMs should have VM disks encrypted with CSEK.
Impact:
If you lose your encryption key, you will not be able to recover the data.</v>
      </c>
      <c r="K47" s="273" t="str">
        <f ca="1"/>
        <v>Currently there is no way to update the encryption of an existing disk. Therefore you should create a new disk with Encryption set to Customer supplied. From Google Cloud Console
1. Go to Compute Engine Disks by visiting: https://console.cloud.google.com/compute/disks.
2. Click CREATE DISK.
3. Set Encryption type to Customer supplied,
4. Provide the Key in the box.
5. Select Wrapped key.
6. Click Create.
From Google Cloud CLI In the gcloud compute tool, encrypt a disk using the --csek-key-file flag during instance creation. If you are using an RSA-wrapped key, use the gcloud beta component: gcloud compute instances create &lt;INSTANCE_NAME&gt; --csek-key-file &lt;example-file.json&gt;
To encrypt a standalone persistent disk: gcloud compute disks create &lt;DISK_NAME&gt; --csek-key-file &lt;example-file.json&gt;
Default Value:
By default, VM disks are encrypted with Google-managed keys. They are not encrypted with Customer-Supplied Encryption Keys.</v>
      </c>
      <c r="L47" s="273" t="str">
        <f ca="1"/>
        <v>1. https://cloud.google.com/compute/docs/disks/customer-supplied-encryption#encrypt_a_new_persistent_disk_with_your_own_keys
2. https://cloud.google.com/compute/docs/reference/rest/v1/disks/get
3. https://cloud.google.com/compute/docs/disks/customer-supplied-encryption#key_file</v>
      </c>
      <c r="M47" s="192" t="str">
        <f ca="1"/>
        <v>v</v>
      </c>
      <c r="N47" s="192" t="str">
        <f ca="1"/>
        <v>מערכת</v>
      </c>
      <c r="O47" s="192" t="str">
        <f ca="1"/>
        <v>-</v>
      </c>
      <c r="P47" s="28"/>
    </row>
    <row r="48" spans="1:16" ht="327.75">
      <c r="A48" s="28"/>
      <c r="B48" s="192">
        <f ca="1"/>
        <v>3.11</v>
      </c>
      <c r="C48" s="192" t="str">
        <f ca="1"/>
        <v>Data</v>
      </c>
      <c r="D48" s="192" t="str">
        <f ca="1"/>
        <v>Protect</v>
      </c>
      <c r="E48" s="192" t="str">
        <f ca="1"/>
        <v>הצפנת נתונים רגישים במנוחה</v>
      </c>
      <c r="F48"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48" s="192" t="str">
        <f ca="1"/>
        <v>4.11 Ensure That Compute Instances Have Confidential Computing Enabled (Automated)</v>
      </c>
      <c r="H48" s="192" t="str">
        <f ca="1"/>
        <v>Google Cloud encrypts data at-rest and in-transit, but customer data must be decrypted for processing. Confidential Computing is a breakthrough technology which encrypts data in-use—while it is being processed. Confidential Computing environments keep data encrypted in memory and elsewhere outside the central processing unit (CPU).
Confidential VMs leverage the Secure Encrypted Virtualization (SEV) feature of AMD EPYC™ CPUs. Customer data will stay encrypted while it is used, indexed, queried, or trained on. Encryption keys are generated in hardware, per VM, and not exportable. Thanks to built-in hardware optimizations of both performance and security, there is no significant performance penalty to Confidential Computing workloads.</v>
      </c>
      <c r="I48" s="272" t="str">
        <f ca="1"/>
        <v>4.11</v>
      </c>
      <c r="J48" s="273" t="str">
        <f ca="1"/>
        <v>Confidential Computing enables customers' sensitive code and other data encrypted in memory during processing. Google does not have access to the encryption keys. Confidential VM can help alleviate concerns about risk related to either dependency on Google infrastructure or Google insiders' access to customer data in the clear.
Impact:
• Confidential Computing for Compute instances does not support live migration. Unlike regular Compute instances, Confidential VMs experience disruptions during maintenance events like a software or hardware update.
• Additional charges may be incurred when enabling this security feature. See https://cloud.google.com/compute/confidential-vm/pricing for more info.</v>
      </c>
      <c r="K48" s="273" t="str">
        <f ca="1"/>
        <v>Confidential Computing can only be enabled when an instance is created. You must delete the current instance and create a new one. From Google Cloud Console
1. Go to the VM instances page by visiting: https://console.cloud.google.com/compute/instances.
2. Click CREATE INSTANCE.
3. Fill out the desired configuration for your instance.
4. Under the Confidential VM service section, check the option Enable the Confidential Computing service on this VM instance.
5. Click Create.
From Google Cloud CLI Create a new instance with Confidential Compute enabled. gcloud compute instances create &lt;INSTANCE_NAME&gt; --zone &lt;ZONE&gt; --confidential-compute --maintenance-policy=TERMINATE
Default Value:
By default, Confidential Computing is disabled for Compute instances.</v>
      </c>
      <c r="L48" s="273" t="str">
        <f ca="1"/>
        <v>1. https://cloud.google.com/compute/confidential-vm/docs/creating-cvm-instance
2. https://cloud.google.com/compute/confidential-vm/docs/about-cvm
3. https://cloud.google.com/confidential-computing
4. https://cloud.google.com/blog/products/identity-security/introducing-google-cloud-confidential-computing-with-confidential-vms</v>
      </c>
      <c r="M48" s="192" t="str">
        <f ca="1"/>
        <v>v</v>
      </c>
      <c r="N48" s="192" t="str">
        <f ca="1"/>
        <v>מערכת</v>
      </c>
      <c r="O48" s="192" t="str">
        <f ca="1"/>
        <v>-</v>
      </c>
      <c r="P48" s="28"/>
    </row>
    <row r="49" spans="1:16" ht="185.25">
      <c r="A49" s="28"/>
      <c r="B49" s="192">
        <f ca="1"/>
        <v>3.11</v>
      </c>
      <c r="C49" s="192" t="str">
        <f ca="1"/>
        <v>Data</v>
      </c>
      <c r="D49" s="192" t="str">
        <f ca="1"/>
        <v>Protect</v>
      </c>
      <c r="E49" s="192" t="str">
        <f ca="1"/>
        <v>הצפנת נתונים רגישים במנוחה</v>
      </c>
      <c r="F49"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49" s="192" t="str">
        <f ca="1"/>
        <v>7.2 Ensure That All BigQuery Tables Are Encrypted With Customer-Managed Encryption Key (CMEK) (Automated)</v>
      </c>
      <c r="H49" s="192" t="str">
        <f ca="1"/>
        <v>BigQuery by default encrypts the data as rest by employing Envelope Encryption using Google managed cryptographic keys. The data is encrypted using the data encryption keys and data encryption keys themselves are further encrypted using key encryption keys. This is seamless and do not require any additional input from the user. However, if you want to have greater control, Customer-managed encryption keys (CMEK) can be used as encryption key management solution for BigQuery Data Sets. If CMEK is used, the CMEK is used to encrypt the data encryption keys instead of using google-managed encryption keys.</v>
      </c>
      <c r="I49" s="272" t="str">
        <f ca="1"/>
        <v>7.2</v>
      </c>
      <c r="J49" s="273" t="str">
        <f ca="1"/>
        <v>BigQuery by default encrypts the data as rest by employing Envelope Encryption using Google managed cryptographic keys. This is seamless and does not require any additional input from the user.
For greater control over the encryption, customer-managed encryption keys (CMEK) can be used as encryption key management solution for BigQuery tables. The CMEK is used to encrypt the data encryption keys instead of using google-managed encryption keys. BigQuery stores the table and CMEK association and the encryption/decryption is done automatically.
Applying the Default Customer-managed keys on BigQuery data sets ensures that all the new tables created in the future will be encrypted using CMEK but existing tables need to be updated to use CMEK individually. Note: Google does not store your keys on its servers and cannot access your protected data unless you provide the key. This also means that if you forget or lose your key, there is no way for Google to recover the key or to recover any data encrypted with the lost key.
Impact:
Using Customer-managed encryption keys (CMEK) will incur additional labor-hour investment to create, protect, and manage the keys.</v>
      </c>
      <c r="K49" s="273" t="str">
        <f ca="1"/>
        <v>From Google Cloud CLI Use the following command to copy the data. The source and the destination needs to be same in case copying to the original table. bq cp --destination_kms_key &lt;customer_managed_key&gt; source_dataset.source_table destination_dataset.destination_table
Default Value:
Google Managed keys are used as key encryption keys.</v>
      </c>
      <c r="L49" s="273" t="str">
        <f ca="1"/>
        <v>1. https://cloud.google.com/bigquery/docs/customer-managed-encryption</v>
      </c>
      <c r="M49" s="192" t="str">
        <f ca="1"/>
        <v>v</v>
      </c>
      <c r="N49" s="192" t="str">
        <f ca="1"/>
        <v>מערכת</v>
      </c>
      <c r="O49" s="192" t="str">
        <f ca="1"/>
        <v>-</v>
      </c>
      <c r="P49" s="28"/>
    </row>
    <row r="50" spans="1:16" ht="142.5">
      <c r="A50" s="28"/>
      <c r="B50" s="192">
        <f ca="1"/>
        <v>3.11</v>
      </c>
      <c r="C50" s="192" t="str">
        <f ca="1"/>
        <v>Data</v>
      </c>
      <c r="D50" s="192" t="str">
        <f ca="1"/>
        <v>Protect</v>
      </c>
      <c r="E50" s="192" t="str">
        <f ca="1"/>
        <v>הצפנת נתונים רגישים במנוחה</v>
      </c>
      <c r="F50"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50" s="192" t="str">
        <f ca="1"/>
        <v>7.3 Ensure That a Default Customer-Managed Encryption Key (CMEK) Is Specified for All BigQuery Data Sets (Automated)</v>
      </c>
      <c r="H50" s="192" t="str">
        <f ca="1"/>
        <v>BigQuery by default encrypts the data as rest by employing Envelope Encryption using Google managed cryptographic keys. The data is encrypted using the data encryption keys and data encryption keys themselves are further encrypted using key encryption keys. This is seamless and do not require any additional input from the user. However, if you want to have greater control, Customer-managed encryption keys (CMEK) can be used as encryption key management solution for BigQuery Data Sets.</v>
      </c>
      <c r="I50" s="272" t="str">
        <f ca="1"/>
        <v>7.3</v>
      </c>
      <c r="J50" s="273" t="str">
        <f ca="1"/>
        <v>BigQuery by default encrypts the data as rest by employing Envelope Encryption using Google managed cryptographic keys. This is seamless and does not require any additional input from the user.
For greater control over the encryption, customer-managed encryption keys (CMEK) can be used as encryption key management solution for BigQuery Data Sets. Setting a Default Customer-managed encryption key (CMEK) for a data set ensure any tables created in future will use the specified CMEK if none other is provided. Note: Google does not store your keys on its servers and cannot access your protected data unless you provide the key. This also means that if you forget or lose your key, there is no way for Google to recover the key or to recover any data encrypted with the lost key.
Impact:
Using Customer-managed encryption keys (CMEK) will incur additional labor-hour investment to create, protect, and manage the keys.</v>
      </c>
      <c r="K50" s="273" t="str">
        <f ca="1"/>
        <v>From Google Cloud CLI The default CMEK for existing data sets can be updated by specifying the default key in the EncryptionConfiguration.kmsKeyName field when calling the datasets.insert or datasets.patch methods
Default Value:
Google Managed keys are used as key encryption keys.</v>
      </c>
      <c r="L50" s="273" t="str">
        <f ca="1"/>
        <v>1. https://cloud.google.com/bigquery/docs/customer-managed-encryption</v>
      </c>
      <c r="M50" s="192" t="str">
        <f ca="1"/>
        <v>v</v>
      </c>
      <c r="N50" s="192" t="str">
        <f ca="1"/>
        <v>מערכת</v>
      </c>
      <c r="O50" s="192" t="str">
        <f ca="1"/>
        <v>-</v>
      </c>
      <c r="P50" s="28"/>
    </row>
    <row r="51" spans="1:16" ht="409.5">
      <c r="A51" s="28"/>
      <c r="B51" s="192">
        <f ca="1"/>
        <v>3.11</v>
      </c>
      <c r="C51" s="192" t="str">
        <f ca="1"/>
        <v>Data</v>
      </c>
      <c r="D51" s="192" t="str">
        <f ca="1"/>
        <v>Protect</v>
      </c>
      <c r="E51" s="192" t="str">
        <f ca="1"/>
        <v>הצפנת נתונים רגישים במנוחה</v>
      </c>
      <c r="F51" s="232" t="str">
        <f ca="1"/>
        <v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v>
      </c>
      <c r="G51" s="192" t="str">
        <f ca="1"/>
        <v>1.7 Ensure User-Managed/External Keys for Service Accounts Are Rotated Every 90 Days or Fewer (Automated)</v>
      </c>
      <c r="H51" s="192" t="str">
        <f ca="1"/>
        <v>Service Account keys consist of a key ID (Private_key_Id) and Private key, which are used to sign programmatic requests users make to Google cloud services accessible to that particular service account. It is recommended that all Service Account keys are regularly rotated.
Additional Information:
For user-managed Service Account key(s), key management is entirely the user's responsibility.</v>
      </c>
      <c r="I51" s="272" t="str">
        <f ca="1"/>
        <v>1.7</v>
      </c>
      <c r="J51" s="273" t="str">
        <f ca="1"/>
        <v>Rotating Service Account keys will reduce the window of opportunity for an access key that is associated with a compromised or terminated account to be used. Service Account keys should be rotated to ensure that data cannot be accessed with an old key that might have been lost, cracked, or stolen.
Each service account is associated with a key pair managed by Google Cloud Platform (GCP). It is used for service-to-service authentication within GCP. Google rotates the keys daily.
GCP provides the option to create one or more user-managed (also called external key pairs) key pairs for use from outside GCP (for example, for use with Application Default Credentials). When a new key pair is created, the user is required to download the private key (which is not retained by Google). With external keys, users are responsible for keeping the private key secure and other management operations such as key rotation. External keys can be managed by the IAM API, gcloud command-line tool, or the Service Accounts page in the Google Cloud Platform Console. GCP facilitates up to 10 external service account keys per service account to facilitate key rotation.
Impact:
Rotating service account keys will break communication for dependent applications. Dependent applications need to be configured manually with the new key ID displayed in the Service account keys section and the private key downloaded by the user.</v>
      </c>
      <c r="K51" s="273" t="str">
        <f ca="1"/>
        <v>From Google Cloud Console Delete any external (user-managed) Service Account Key older than 90 days:
1. Go to APIs &amp; Services\Credentials using https://console.cloud.google.com/apis/credentials
2. In the Section Service Account Keys, for every external (user-managed) service account key where creation date is greater than or equal to the past 90 days, click Delete Bin Icon to Delete Service Account key
Create a new external (user-managed) Service Account Key for a Service Account:
1. Go to APIs &amp; Services\Credentials using https://console.cloud.google.com/apis/credentials
2. Click Create Credentials and Select Service Account Key.
3. Choose the service account in the drop-down list for which an External (user-managed) Service Account key needs to be created.
4. Select the desired key type format among JSON or P12.
5. Click Create. It will download the private key. Keep it safe.
6. Click Close if prompted.
7. The site will redirect to the APIs &amp; Services\Credentials page. Make a note of the new ID displayed in the Service account keys section.
Default Value:
GCP does not provide an automation option for External (user-managed) Service key rotation.</v>
      </c>
      <c r="L51" s="273" t="str">
        <f ca="1"/>
        <v>1. https://cloud.google.com/iam/docs/understanding-service-accounts#managing_service_account_keys
2. https://cloud.google.com/sdk/gcloud/reference/iam/service-accounts/keys/list
3. https://cloud.google.com/iam/docs/service-accounts</v>
      </c>
      <c r="M51" s="192" t="str">
        <f ca="1"/>
        <v>v</v>
      </c>
      <c r="N51" s="192" t="str">
        <f ca="1"/>
        <v>מערכת</v>
      </c>
      <c r="O51" s="192" t="str">
        <f ca="1"/>
        <v>-</v>
      </c>
      <c r="P51" s="28"/>
    </row>
    <row r="52" spans="1:16" ht="42.75">
      <c r="A52" s="28"/>
      <c r="B52" s="192">
        <f ca="1"/>
        <v>3.12</v>
      </c>
      <c r="C52" s="192" t="str">
        <f ca="1"/>
        <v>Network</v>
      </c>
      <c r="D52" s="192" t="str">
        <f ca="1"/>
        <v>Protect</v>
      </c>
      <c r="E52" s="192" t="str">
        <f ca="1"/>
        <v>פלח עיבוד נתונים ואחסון בהתבסס על רגישות המידע</v>
      </c>
      <c r="F52" s="232" t="str">
        <f ca="1"/>
        <v>Segment data processing and storage based on the sensitivity of the data. Do not process sensitive data on enterprise assets intended for lower sensitivity data.</v>
      </c>
      <c r="G52" s="192" t="str">
        <f ca="1"/>
        <v>-</v>
      </c>
      <c r="H52" s="192" t="str">
        <f ca="1"/>
        <v>-</v>
      </c>
      <c r="I52" s="272" t="str">
        <f ca="1"/>
        <v>-</v>
      </c>
      <c r="J52" s="273" t="str">
        <f ca="1"/>
        <v>-</v>
      </c>
      <c r="K52" s="273" t="str">
        <f ca="1"/>
        <v>-</v>
      </c>
      <c r="L52" s="273" t="str">
        <f ca="1"/>
        <v>-</v>
      </c>
      <c r="M52" s="192" t="str">
        <f ca="1"/>
        <v/>
      </c>
      <c r="N52" s="192" t="str">
        <f ca="1"/>
        <v>ארגוני</v>
      </c>
      <c r="O52" s="192" t="str">
        <f ca="1"/>
        <v>-</v>
      </c>
      <c r="P52" s="28"/>
    </row>
    <row r="53" spans="1:16" ht="60">
      <c r="A53" s="28"/>
      <c r="B53" s="192" t="str">
        <f ca="1"/>
        <v>-</v>
      </c>
      <c r="C53" s="192" t="str">
        <f ca="1"/>
        <v>-</v>
      </c>
      <c r="D53" s="192" t="str">
        <f ca="1"/>
        <v>-</v>
      </c>
      <c r="E53" s="192" t="str">
        <f ca="1"/>
        <v>תצורה מאובטחת של נכסים ותוכנה ארגוניים</v>
      </c>
      <c r="F53" s="232" t="str">
        <f ca="1"/>
        <v>Establish and maintain the secure configuration of enterprise assets (end-user devices, including portable and mobile; network devices; non-computing/IoT devices; and servers) and software (operating systems and applications).</v>
      </c>
      <c r="G53" s="192" t="str">
        <f ca="1"/>
        <v>-</v>
      </c>
      <c r="H53" s="192" t="str">
        <f ca="1"/>
        <v>-</v>
      </c>
      <c r="I53" s="272" t="str">
        <f ca="1"/>
        <v>-</v>
      </c>
      <c r="J53" s="273" t="str">
        <f ca="1"/>
        <v>-</v>
      </c>
      <c r="K53" s="273" t="str">
        <f ca="1"/>
        <v>-</v>
      </c>
      <c r="L53" s="273" t="str">
        <f ca="1"/>
        <v>-</v>
      </c>
      <c r="M53" s="192" t="str">
        <f ca="1"/>
        <v>-</v>
      </c>
      <c r="N53" s="192" t="str">
        <f ca="1"/>
        <v>-</v>
      </c>
      <c r="O53" s="192" t="str">
        <f ca="1"/>
        <v>-</v>
      </c>
      <c r="P53" s="28"/>
    </row>
    <row r="54" spans="1:16" ht="409.5">
      <c r="A54" s="28"/>
      <c r="B54" s="192">
        <f ca="1"/>
        <v>4.0999999999999996</v>
      </c>
      <c r="C54" s="192" t="str">
        <f ca="1"/>
        <v>Applications</v>
      </c>
      <c r="D54" s="192" t="str">
        <f ca="1"/>
        <v>Protect</v>
      </c>
      <c r="E54" s="192" t="str">
        <f ca="1"/>
        <v>הקמה ותחזוקה של תהליך תצורה מאובטח</v>
      </c>
      <c r="F54" s="232" t="str">
        <f ca="1"/>
        <v>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v>
      </c>
      <c r="G54" s="192" t="str">
        <f ca="1"/>
        <v>6.3.3 Ensure 'user Connections' Database Flag for Cloud Sql Sql Server Instance Is Set to a Non-limiting Value (Automated)</v>
      </c>
      <c r="H54" s="192" t="str">
        <f ca="1"/>
        <v>It is recommended to check the user connections for a Cloud SQL SQL Server instance to ensure that it is not artificially limiting connections.</v>
      </c>
      <c r="I54" s="272" t="str">
        <f ca="1"/>
        <v>6.3.3</v>
      </c>
      <c r="J54" s="273" t="str">
        <f ca="1"/>
        <v>The user connections option specifies the maximum number of simultaneous user connections that are allowed on an instance of SQL Server. The actual number of user connections allowed also depends on the version of SQL Server that you are using, and also the limits of your application or applications and hardware. SQL Server allows a maximum of 32,767 user connections. Because user connections is by default a self-configuring value, with SQL Server adjusting the maximum number of user connections automatically as needed, up to the maximum value allowable. For example, if only 10 users are logged in, 10 user connection objects are allocated. In most cases, you do not have to change the value for this option. The default is 0, which means that the maximum (32,767) user connections are allowed. However if there is a number defined here that limits connections, SQL Server will not allow anymore above this limit. If the connections are at the limit, any new requests will be dropped, potentially causing lost data or outages for those using the database.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54" s="273" t="str">
        <f ca="1"/>
        <v>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user connections from the drop-down menu, and set its value to your organization recommended value.
6. Click Save to save your changes.
7. Confirm your changes under Flags on the Overview page.
From Google Cloud CLI
1. Configure the user connections database flag for every Cloud SQL SQL Server database instance using the below command. gcloud sql instances patch &lt;INSTANCE_NAME&gt; --database-flags "user connections=[0-32,767]"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user connections is set to '0' which does not limit the number of connections, giving the server free reign to facilitate a max of 32,767 connections.</v>
      </c>
      <c r="L54" s="273" t="str">
        <f ca="1"/>
        <v>1. https://cloud.google.com/sql/docs/sqlserver/flags
2. https://docs.microsoft.com/en-us/sql/database-engine/configure-windows/configure-the-user-connections-server-configuration-option?view=sql-server-ver15
3. https://www.stigviewer.com/stig/ms_sql_server_2016_instance/2018-03-09/finding/V-79119</v>
      </c>
      <c r="M54" s="192" t="str">
        <f ca="1"/>
        <v>v</v>
      </c>
      <c r="N54" s="192" t="str">
        <f ca="1"/>
        <v>מערכת</v>
      </c>
      <c r="O54" s="192" t="str">
        <f ca="1"/>
        <v>-</v>
      </c>
      <c r="P54" s="28"/>
    </row>
    <row r="55" spans="1:16" ht="409.5">
      <c r="A55" s="28"/>
      <c r="B55" s="192">
        <f ca="1"/>
        <v>4.0999999999999996</v>
      </c>
      <c r="C55" s="192" t="str">
        <f ca="1"/>
        <v>Applications</v>
      </c>
      <c r="D55" s="192" t="str">
        <f ca="1"/>
        <v>Protect</v>
      </c>
      <c r="E55" s="192" t="str">
        <f ca="1"/>
        <v>הקמה ותחזוקה של תהליך תצורה מאובטח</v>
      </c>
      <c r="F55" s="232" t="str">
        <f ca="1"/>
        <v>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v>
      </c>
      <c r="G55" s="192" t="str">
        <f ca="1"/>
        <v>6.3.4 Ensure 'user options' database flag for Cloud SQL SQL Server instance is not configured (Automated)</v>
      </c>
      <c r="H55" s="192" t="str">
        <f ca="1"/>
        <v>It is recommended that, user options database flag for Cloud SQL SQL Server instance should not be configured.</v>
      </c>
      <c r="I55" s="272" t="str">
        <f ca="1"/>
        <v>6.3.4</v>
      </c>
      <c r="J55" s="273" t="str">
        <f ca="1"/>
        <v>The user options option specifies global defaults for all users. A list of default query processing options is established for the duration of a user's work session. The user options option allows you to change the default values of the SET options (if the server's default settings are not appropriate).
A user can override these defaults by using the SET statement. You can configure user options dynamically for new logins. After you change the setting of user options, new login sessions use the new setting; current login sessions are not affected. This recommendation is applicable to SQL Server database instances.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55" s="273" t="str">
        <f ca="1"/>
        <v>From Google Cloud Console
1. Go to the Cloud SQL Instances page in the Google Cloud Console by visiting https://console.cloud.google.com/sql/instances.
2. Select the SQL Server instance for which you want to enable to database flag.
3. Click Edit.
4. Scroll down to the Flags section.
5. Click the X next user options flag shown
6. Click Save to save your changes.
7. Confirm your changes under Flags on the Overview page.
From Google Cloud CLI
1. List all Cloud SQL database Instances gcloud sql instances list
2. Clear the user options database flag for every Cloud SQL SQL Server database instance using either of the below commands. 1.Clearing all flags to their default value gcloud sql instances patch &lt;INSTANCE_NAME&gt; --clear-database-flags OR 2. To clear only `user options` database flag, configure the database flag by overriding the `user options`. Exclude `user options` flag and its value, and keep all other flags you want to configure. gcloud sql instances patch &lt;INSTANCE_NAME&gt; --database-flags [FLAG1=VALUE1,FLAG2=VALUE2]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'user options' is not configured.</v>
      </c>
      <c r="L55" s="273" t="str">
        <f ca="1"/>
        <v>1. https://cloud.google.com/sql/docs/sqlserver/flags
2. https://docs.microsoft.com/en-us/sql/database-engine/configure-windows/configure-the-user-options-server-configuration-option?view=sql-server-ver15
3. https://www.stigviewer.com/stig/ms_sql_server_2016_instance/2018-03-09/finding/V-79335</v>
      </c>
      <c r="M55" s="192" t="str">
        <f ca="1"/>
        <v>v</v>
      </c>
      <c r="N55" s="192" t="str">
        <f ca="1"/>
        <v>מערכת</v>
      </c>
      <c r="O55" s="192" t="str">
        <f ca="1"/>
        <v>-</v>
      </c>
      <c r="P55" s="28"/>
    </row>
    <row r="56" spans="1:16" ht="409.5">
      <c r="A56" s="28"/>
      <c r="B56" s="192">
        <f ca="1"/>
        <v>4.0999999999999996</v>
      </c>
      <c r="C56" s="192" t="str">
        <f ca="1"/>
        <v>Applications</v>
      </c>
      <c r="D56" s="192" t="str">
        <f ca="1"/>
        <v>Protect</v>
      </c>
      <c r="E56" s="192" t="str">
        <f ca="1"/>
        <v>הקמה ותחזוקה של תהליך תצורה מאובטח</v>
      </c>
      <c r="F56" s="232" t="str">
        <f ca="1"/>
        <v>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v>
      </c>
      <c r="G56" s="192" t="str">
        <f ca="1"/>
        <v>6.3.6 Ensure '3625 (trace flag)' database flag for all Cloud SQL Server instances is set to 'on' (Automated)</v>
      </c>
      <c r="H56" s="192" t="str">
        <f ca="1"/>
        <v>It is recommended to set 3625 (trace flag) database flag for Cloud SQL SQL Server instance to on.</v>
      </c>
      <c r="I56" s="272" t="str">
        <f ca="1"/>
        <v>6.3.6</v>
      </c>
      <c r="J56" s="273" t="str">
        <f ca="1"/>
        <v>Microsoft SQL Trace Flags are frequently used to diagnose performance issues or to debug stored procedures or complex computer systems, but they may also be recommended by Microsoft Support to address behavior that is negatively impacting a specific workload. All documented trace flags and those recommended by Microsoft Support are fully supported in a production environment when used as directed. 3625(trace log) Limits the amount of information returned to users who are not members of the sysadmin fixed server role, by masking the parameters of some error messages using '******'. Setting this in a Google Cloud flag for the instance allows for security through obscurity and prevents the disclosure of sensitive information, hence this is recommended to set this flag globally to on to prevent the flag having been left off, or changed by bad actors. This recommendation is applicable to SQL Server database instances.
Impact:
Changing flags on a database may cause it to be restarted. The best time to do this is at a time where there is low usage.</v>
      </c>
      <c r="K56" s="273" t="str">
        <f ca="1"/>
        <v>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3625 from the drop-down menu, and set its value to on.
6. Click Save to save your changes.
7. Confirm your changes under Flags on the Overview page.
From Google Cloud CLI
1. Configure the 3625 database flag for every Cloud SQL SQL Server database instance using the below command. gcloud sql instances patch &lt;INSTANCE_NAME&gt; --database-flags "3625=on"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MySQL implementations by default have trace flags turned off, as they are used for logging purposes.</v>
      </c>
      <c r="L56" s="273" t="str">
        <f ca="1"/>
        <v>1. https://cloud.google.com/sql/docs/sqlserver/flags
2. https://docs.microsoft.com/en-us/sql/t-sql/database-console-commands/dbcc-traceon-trace-flags-transact-sql?view=sql-server-ver15#trace-flags
3. https://github.com/ktaranov/sqlserver-kit/blob/master/SQL%20Server%20Trace%20Flag.md</v>
      </c>
      <c r="M56" s="192" t="str">
        <f ca="1"/>
        <v>v</v>
      </c>
      <c r="N56" s="192" t="str">
        <f ca="1"/>
        <v>מערכת</v>
      </c>
      <c r="O56" s="192" t="str">
        <f ca="1"/>
        <v>-</v>
      </c>
      <c r="P56" s="28"/>
    </row>
    <row r="57" spans="1:16" ht="384.75">
      <c r="A57" s="28"/>
      <c r="B57" s="192">
        <f ca="1"/>
        <v>4.2</v>
      </c>
      <c r="C57" s="192" t="str">
        <f ca="1"/>
        <v>Network</v>
      </c>
      <c r="D57" s="192" t="str">
        <f ca="1"/>
        <v>Protect</v>
      </c>
      <c r="E57" s="192" t="str">
        <f ca="1"/>
        <v>הקמה ותחזוקה של תהליך תצורה מאובטח עבור תשתית רשת</v>
      </c>
      <c r="F57" s="232" t="str">
        <f ca="1"/>
        <v>Establish and maintain a secure configuration process for network devices. Review and update documentation annually, or when significant enterprise changes occur that could impact this Safeguard.</v>
      </c>
      <c r="G57" s="192" t="str">
        <f ca="1"/>
        <v>3.1 Ensure That the Default Network Does Not Exist in a Project (Automated)</v>
      </c>
      <c r="H57" s="192" t="str">
        <f ca="1"/>
        <v>To prevent use of default network, a project should not have a default network.</v>
      </c>
      <c r="I57" s="272" t="str">
        <f ca="1"/>
        <v>3.1</v>
      </c>
      <c r="J57" s="273" t="str">
        <f ca="1"/>
        <v>Rationale:
The default network has a preconfigured network configuration and automatically generates the following insecure firewall rules:
• default-allow-internal: Allows ingress connections for all protocols and ports among instances in the network.
• default-allow-ssh: Allows ingress connections on TCP port 22(SSH) from any source to any instance in the network.
• default-allow-rdp: Allows ingress connections on TCP port 3389(RDP) from any source to any instance in the network.
• default-allow-icmp: Allows ingress ICMP traffic from any source to any instance in the network.
These automatically created firewall rules do not get audit logged and cannot be configured to enable firewall rule logging.
Furthermore, the default network is an auto mode network, which means that its subnets use the same predefined range of IP addresses, and as a result, it's not possible to use Cloud VPN or VPC Network Peering with the default network.
Based on organization security and networking requirements, the organization should create a new network and delete the default network.
Impact:
When an organization deletes the default network, it may need to migrate or service onto a new network.</v>
      </c>
      <c r="K57" s="273" t="str">
        <f ca="1"/>
        <v>From Google Cloud Console
1. Go to the VPC networks page by visiting: https://console.cloud.google.com/networking/networks/list.
2. Click the network named default.
3. On the network detail page, click EDIT.
4. Click DELETE VPC NETWORK.
5. If needed, create a new network to replace the default network.
From Google Cloud CLI For each Google Cloud Platform project,
1. Delete the default network: gcloud compute networks delete default
2. If needed, create a new network to replace it: gcloud compute networks create NETWORK_NAME
Prevention: The user can prevent the default network and its insecure default firewall rules from being created by setting up an Organization Policy to Skip default network creation at https://console.cloud.google.com/iam-admin/orgpolicies/compute-skipDefaultNetworkCreation.
Default Value:
By default, for each project, a default network is created.</v>
      </c>
      <c r="L57" s="273" t="str">
        <f ca="1"/>
        <v>1. https://cloud.google.com/compute/docs/networking#firewall_rules
2. https://cloud.google.com/compute/docs/reference/latest/networks/insert
3. https://cloud.google.com/compute/docs/reference/latest/networks/delete
4. https://cloud.google.com/vpc/docs/firewall-rules-logging
5. https://cloud.google.com/vpc/docs/vpc#default-network
6. https://cloud.google.com/sdk/gcloud/reference/compute/networks/delete</v>
      </c>
      <c r="M57" s="192" t="str">
        <f ca="1"/>
        <v>v</v>
      </c>
      <c r="N57" s="192" t="str">
        <f ca="1"/>
        <v>ארגוני</v>
      </c>
      <c r="O57" s="192" t="str">
        <f ca="1"/>
        <v>v</v>
      </c>
      <c r="P57" s="28"/>
    </row>
    <row r="58" spans="1:16" ht="142.5">
      <c r="A58" s="28"/>
      <c r="B58" s="192">
        <f ca="1"/>
        <v>4.2</v>
      </c>
      <c r="C58" s="192" t="str">
        <f ca="1"/>
        <v>Network</v>
      </c>
      <c r="D58" s="192" t="str">
        <f ca="1"/>
        <v>Protect</v>
      </c>
      <c r="E58" s="192" t="str">
        <f ca="1"/>
        <v>הקמה ותחזוקה של תהליך תצורה מאובטח עבור תשתית רשת</v>
      </c>
      <c r="F58" s="232" t="str">
        <f ca="1"/>
        <v>Establish and maintain a secure configuration process for network devices. Review and update documentation annually, or when significant enterprise changes occur that could impact this Safeguard.</v>
      </c>
      <c r="G58" s="192" t="str">
        <f ca="1"/>
        <v>3.2 Ensure Legacy Networks Do Not Exist for Older Projects (Automated)</v>
      </c>
      <c r="H58" s="192" t="str">
        <f ca="1"/>
        <v>In order to prevent use of legacy networks, a project should not have a legacy network configured. As of now, Legacy Networks are gradually being phased out, and you can no longer create projects with them. This recommendation is to check older projects to ensure that they are not using Legacy Networks.</v>
      </c>
      <c r="I58" s="272" t="str">
        <f ca="1"/>
        <v>3.2</v>
      </c>
      <c r="J58" s="273" t="str">
        <f ca="1"/>
        <v>Legacy networks have a single network IPv4 prefix range and a single gateway IP address for the whole network. The network is global in scope and spans all cloud regions. Subnetworks cannot be created in a legacy network and are unable to switch from legacy to auto or custom subnet networks. Legacy networks can have an impact for high network traffic projects and are subject to a single point of contention or failure.
Impact:
None.</v>
      </c>
      <c r="K58" s="273" t="str">
        <f ca="1"/>
        <v>From Google Cloud CLI For each Google Cloud Platform project,
1. Follow the documentation and create a non-legacy network suitable for the organization's requirements.
2. Follow the documentation and delete the networks in the legacy mode.
Default Value:
By default, networks are not created in the legacy mode.</v>
      </c>
      <c r="L58" s="273" t="str">
        <f ca="1"/>
        <v>1. https://cloud.google.com/vpc/docs/using-legacy#creating_a_legacy_network
2. https://cloud.google.com/vpc/docs/using-legacy#deleting_a_legacy_network</v>
      </c>
      <c r="M58" s="192" t="str">
        <f ca="1"/>
        <v>v</v>
      </c>
      <c r="N58" s="192" t="str">
        <f ca="1"/>
        <v>מערכת</v>
      </c>
      <c r="O58" s="192" t="str">
        <f ca="1"/>
        <v>-</v>
      </c>
      <c r="P58" s="28"/>
    </row>
    <row r="59" spans="1:16" ht="171">
      <c r="A59" s="28"/>
      <c r="B59" s="192">
        <f ca="1"/>
        <v>4.2</v>
      </c>
      <c r="C59" s="192" t="str">
        <f ca="1"/>
        <v>Network</v>
      </c>
      <c r="D59" s="192" t="str">
        <f ca="1"/>
        <v>Protect</v>
      </c>
      <c r="E59" s="192" t="str">
        <f ca="1"/>
        <v>הקמה ותחזוקה של תהליך תצורה מאובטח עבור תשתית רשת</v>
      </c>
      <c r="F59" s="232" t="str">
        <f ca="1"/>
        <v>Establish and maintain a secure configuration process for network devices. Review and update documentation annually, or when significant enterprise changes occur that could impact this Safeguard.</v>
      </c>
      <c r="G59" s="192" t="str">
        <f ca="1"/>
        <v>3.3 Ensure That DNSSEC Is Enabled for Cloud DNS (Automated)</v>
      </c>
      <c r="H59" s="192" t="str">
        <f ca="1"/>
        <v>Cloud Domain Name System (DNS) is a fast, reliable and cost-effective domain name system that powers millions of domains on the internet. Domain Name System Security Extensions (DNSSEC) in Cloud DNS enables domain owners to take easy steps to protect their domains against DNS hijacking and man-in-the-middle and other attacks.</v>
      </c>
      <c r="I59" s="272" t="str">
        <f ca="1"/>
        <v>3.3</v>
      </c>
      <c r="J59" s="273" t="str">
        <f ca="1"/>
        <v>Domain Name System Security Extensions (DNSSEC) adds security to the DNS protocol by enabling DNS responses to be validated. Having a trustworthy DNS that translates a domain name like www.example.com into its associated IP address is an increasingly important building block of today’s web-based applications. Attackers can hijack this process of domain/IP lookup and redirect users to a malicious site through DNS hijacking and man-in-the-middle attacks. DNSSEC helps mitigate the risk of such attacks by cryptographically signing DNS records. As a result, it prevents attackers from issuing fake DNS responses that may misdirect browsers to nefarious websites.</v>
      </c>
      <c r="K59" s="273" t="str">
        <f ca="1"/>
        <v>From Google Cloud Console
1. Go to Cloud DNS by visiting https://console.cloud.google.com/net-services/dns/zones.
2. For each zone of Type Public, set DNSSEC to On.
From Google Cloud CLI Use the below command to enable DNSSEC for Cloud DNS Zone Name. gcloud dns managed-zones update ZONE_NAME --dnssec-state on
Default Value:
By default DNSSEC is not enabled.</v>
      </c>
      <c r="L59" s="273" t="str">
        <f ca="1"/>
        <v>1. https://cloudplatform.googleblog.com/2017/11/DNSSEC-now-available-in-Cloud-DNS.html
2. https://cloud.google.com/dns/dnssec-config#enabling
3. https://cloud.google.com/dns/dnssec</v>
      </c>
      <c r="M59" s="192" t="str">
        <f ca="1"/>
        <v>v</v>
      </c>
      <c r="N59" s="192" t="str">
        <f ca="1"/>
        <v>מערכת</v>
      </c>
      <c r="O59" s="192" t="str">
        <f ca="1"/>
        <v>-</v>
      </c>
      <c r="P59" s="28"/>
    </row>
    <row r="60" spans="1:16" ht="342">
      <c r="A60" s="28"/>
      <c r="B60" s="192">
        <f ca="1"/>
        <v>4.2</v>
      </c>
      <c r="C60" s="192" t="str">
        <f ca="1"/>
        <v>Network</v>
      </c>
      <c r="D60" s="192" t="str">
        <f ca="1"/>
        <v>Protect</v>
      </c>
      <c r="E60" s="192" t="str">
        <f ca="1"/>
        <v>הקמה ותחזוקה של תהליך תצורה מאובטח עבור תשתית רשת</v>
      </c>
      <c r="F60" s="232" t="str">
        <f ca="1"/>
        <v>Establish and maintain a secure configuration process for network devices. Review and update documentation annually, or when significant enterprise changes occur that could impact this Safeguard.</v>
      </c>
      <c r="G60" s="192" t="str">
        <f ca="1"/>
        <v>3.5 Ensure That RSASHA1 Is Not Used for the Zone-Signing Key in Cloud DNS DNSSEC (Automated)</v>
      </c>
      <c r="H60" s="192" t="str">
        <f ca="1"/>
        <v>NOTE: Currently, the SHA1 algorithm has been removed from general use by Google, and, if being used, needs to be whitelisted on a project basis by Google and will also, therefore, require a Google Cloud support contract.
DNSSEC algorithm numbers in this registry may be used in CERT RRs. Zone signing (DNSSEC) and transaction security mechanisms (SIG(0) and TSIG) make use of particular subsets of these algorithms. The algorithm used for key signing should be a recommended one and it should be strong.</v>
      </c>
      <c r="I60" s="272" t="str">
        <f ca="1"/>
        <v>3.5</v>
      </c>
      <c r="J60" s="273" t="str">
        <f ca="1"/>
        <v>DNSSEC algorithm numbers in this registry may be used in CERT RRs. Zone signing (DNSSEC) and transaction security mechanisms (SIG(0) and TSIG) make use of particular subsets of these algorithms.
The algorithm used for key signing should be a recommended one and it should be strong. When enabling DNSSEC for a managed zone, or creating a managed zone with DNSSEC, the DNSSEC signing algorithms and the denial-of-existence type can be selected. Changing the DNSSEC settings is only effective for a managed zone if DNSSEC is not already enabled. If the need exists to change the settings for a managed zone where it has been enabled, turn DNSSEC off and then re-enable it with different settings.</v>
      </c>
      <c r="K60" s="273" t="str">
        <f ca="1"/>
        <v>From Google Cloud CLI
1. If the need exists to change the settings for a managed zone where it has been enabled, DNSSEC must be turned off and then re-enabled with different settings. To turn off DNSSEC, run following command: gcloud dns managed-zones update ZONE_NAME --dnssec-state off
2. To update zone-signing for a reported managed DNS Zone, run the following command: gcloud dns managed-zones update ZONE_NAME --dnssec-state on --ksk-algorithm KSK_ALGORITHM --ksk-key-length KSK_KEY_LENGTH --zsk-algorithm ZSK_ALGORITHM --zsk-key-length ZSK_KEY_LENGTH --denial-of-existence DENIAL_OF_EXISTENCE
Supported algorithm options and key lengths are as follows. Algorithm KSK Length ZSK Length --------- ---------- ---------- RSASHA1 1024,2048 1024,2048 RSASHA256 1024,2048 1024,2048 RSASHA512 1024,2048 1024,2048 ECDSAP256SHA256 256 384 ECDSAP384SHA384 384 384</v>
      </c>
      <c r="L60" s="273" t="str">
        <f ca="1"/>
        <v>1. https://cloud.google.com/dns/dnssec-advanced#advanced_signing_options</v>
      </c>
      <c r="M60" s="192" t="str">
        <f ca="1"/>
        <v>v</v>
      </c>
      <c r="N60" s="192" t="str">
        <f ca="1"/>
        <v>מערכת</v>
      </c>
      <c r="O60" s="192" t="str">
        <f ca="1"/>
        <v>-</v>
      </c>
      <c r="P60" s="28"/>
    </row>
    <row r="61" spans="1:16" ht="327.75">
      <c r="A61" s="28"/>
      <c r="B61" s="192">
        <f ca="1"/>
        <v>4.2</v>
      </c>
      <c r="C61" s="192" t="str">
        <f ca="1"/>
        <v>Network</v>
      </c>
      <c r="D61" s="192" t="str">
        <f ca="1"/>
        <v>Protect</v>
      </c>
      <c r="E61" s="192" t="str">
        <f ca="1"/>
        <v>הקמה ותחזוקה של תהליך תצורה מאובטח עבור תשתית רשת</v>
      </c>
      <c r="F61" s="232" t="str">
        <f ca="1"/>
        <v>Establish and maintain a secure configuration process for network devices. Review and update documentation annually, or when significant enterprise changes occur that could impact this Safeguard.</v>
      </c>
      <c r="G61" s="192" t="str">
        <f ca="1"/>
        <v>3.4 Ensure That RSASHA1 Is Not Used for the Key-Signing Key in Cloud DNS DNSSEC (Automated)</v>
      </c>
      <c r="H61" s="192" t="str">
        <f ca="1"/>
        <v>NOTE: Currently, the SHA1 algorithm has been removed from general use by Google, and, if being used, needs to be whitelisted on a project basis by Google and will also, therefore, require a Google Cloud support contract.
DNSSEC algorithm numbers in this registry may be used in CERT RRs. Zone signing (DNSSEC) and transaction security mechanisms (SIG(0) and TSIG) make use of particular subsets of these algorithms. The algorithm used for key signing should be a recommended one and it should be strong.</v>
      </c>
      <c r="I61" s="272" t="str">
        <f ca="1"/>
        <v>3.4</v>
      </c>
      <c r="J61" s="273" t="str">
        <f ca="1"/>
        <v>Domain Name System Security Extensions (DNSSEC) algorithm numbers in this registry may be used in CERT RRs. Zonesigning (DNSSEC) and transaction security mechanisms (SIG(0) and TSIG) make use of particular subsets of these algorithms.
The algorithm used for key signing should be a recommended one and it should be strong. When enabling DNSSEC for a managed zone, or creating a managed zone with DNSSEC, the user can select the DNSSEC signing algorithms and the denial-of-existence type. Changing the DNSSEC settings is only effective for a managed zone if DNSSEC is not already enabled. If there is a need to change the settings for a managed zone where it has been enabled, turn DNSSEC off and then re-enable it with different settings.</v>
      </c>
      <c r="K61" s="273" t="str">
        <f ca="1"/>
        <v>1. If it is necessary to change the settings for a managed zone where it has been enabled, NSSEC must be turned off and re-enabled with different settings. To turn off DNSSEC, run the following command:
gcloud dns managed-zones update ZONE_NAME --dnssec-state off
2. To update key-signing for a reported managed DNS Zone, run the following command: gcloud dns managed-zones update ZONE_NAME --dnssec-state on --ksk-algorithm KSK_ALGORITHM --ksk-key-length KSK_KEY_LENGTH --zsk-algorithm ZSK_ALGORITHM --zsk-key-length ZSK_KEY_LENGTH --denial-of-existence DENIAL_OF_EXISTENCE
Supported algorithm options and key lengths are as follows. Algorithm KSK Length ZSK Length --------- ---------- ---------- RSASHA1 1024,2048 1024,2048 RSASHA256 1024,2048 1024,2048 RSASHA512 1024,2048 1024,2048 ECDSAP256SHA256 256 256 ECDSAP384SHA384 384 384</v>
      </c>
      <c r="L61" s="273" t="str">
        <f ca="1"/>
        <v>1. https://cloud.google.com/dns/dnssec-advanced#advanced_signing_options</v>
      </c>
      <c r="M61" s="192" t="str">
        <f ca="1"/>
        <v>v</v>
      </c>
      <c r="N61" s="192" t="str">
        <f ca="1"/>
        <v>מערכת</v>
      </c>
      <c r="O61" s="192" t="str">
        <f ca="1"/>
        <v>-</v>
      </c>
      <c r="P61" s="28"/>
    </row>
    <row r="62" spans="1:16" ht="57">
      <c r="A62" s="28"/>
      <c r="B62" s="192">
        <f ca="1"/>
        <v>4.3</v>
      </c>
      <c r="C62" s="192" t="str">
        <f ca="1"/>
        <v>Users</v>
      </c>
      <c r="D62" s="192" t="str">
        <f ca="1"/>
        <v>Protect</v>
      </c>
      <c r="E62" s="192" t="str">
        <f ca="1"/>
        <v>הגדר נעילת  אוטומטית בהתחברות לנכסים ארגוניים</v>
      </c>
      <c r="F62" s="232" t="str">
        <f ca="1"/>
        <v>Configure automatic session locking on enterprise assets after a defined period of inactivity. For general purpose operating systems, the period must not exceed 15 minutes. For mobile end-user devices, the period must not exceed 2 minutes.</v>
      </c>
      <c r="G62" s="192" t="str">
        <f ca="1"/>
        <v>-</v>
      </c>
      <c r="H62" s="192" t="str">
        <f ca="1"/>
        <v>-</v>
      </c>
      <c r="I62" s="272" t="str">
        <f ca="1"/>
        <v>-</v>
      </c>
      <c r="J62" s="273" t="str">
        <f ca="1"/>
        <v>-</v>
      </c>
      <c r="K62" s="273" t="str">
        <f ca="1"/>
        <v>-</v>
      </c>
      <c r="L62" s="273" t="str">
        <f ca="1"/>
        <v>-</v>
      </c>
      <c r="M62" s="192" t="str">
        <f ca="1"/>
        <v/>
      </c>
      <c r="N62" s="192" t="str">
        <f ca="1"/>
        <v>מערכת</v>
      </c>
      <c r="O62" s="192" t="str">
        <f ca="1"/>
        <v>-</v>
      </c>
      <c r="P62" s="28"/>
    </row>
    <row r="63" spans="1:16" ht="213.75">
      <c r="A63" s="28"/>
      <c r="B63" s="192">
        <f ca="1"/>
        <v>4.4000000000000004</v>
      </c>
      <c r="C63" s="192" t="str">
        <f ca="1"/>
        <v>Devices</v>
      </c>
      <c r="D63" s="192" t="str">
        <f ca="1"/>
        <v>Protect</v>
      </c>
      <c r="E63" s="192" t="str">
        <f ca="1"/>
        <v>יש להתמיע מערכת חומת אש ולנהל אותה</v>
      </c>
      <c r="F63" s="232" t="str">
        <f ca="1"/>
        <v>Implement and manage a firewall on servers, where supported. Example implementations include a virtual firewall, operating system firewall, or a third-party firewall agent.</v>
      </c>
      <c r="G63" s="192" t="str">
        <f ca="1"/>
        <v>3.6 Ensure That SSH Access Is Restricted From the Internet (Automated)</v>
      </c>
      <c r="H63" s="192" t="str">
        <f ca="1"/>
        <v>GCP Firewall Rules are specific to a VPC Network. Each rule either allows or denies traffic when its conditions are met. Its conditions allow the user to specify the type of traffic, such as ports and protocols, and the source or destination of the traffic, including IP addresses, subnets, and instances.
Firewall rules are defined at the VPC network level and are specific to the network in which they are defined. The rules themselves cannot be shared among networks. Firewall rules only support IPv4 traffic. When specifying a source for an ingress rule or a destination for an egress rule by address, only an IPv4 address or IPv4 block in CIDR notation can be used. Generic (0.0.0.0/0) incoming traffic from the internet to VPC or VM instance using SSH on Port 22 can be avoided.</v>
      </c>
      <c r="I63" s="272" t="str">
        <f ca="1"/>
        <v>3.6</v>
      </c>
      <c r="J63" s="273" t="str">
        <f ca="1"/>
        <v>GCP Firewall Rules within a VPC Network apply to outgoing (egress) traffic from instances and incoming (ingress) traffic to instances in the network. Egress and ingress traffic flows are controlled even if the traffic stays within the network (for example, instance-to-instance communication). For an instance to have outgoing Internet access, the network must have a valid Internet gateway route or custom route whose destination IP is specified. This route simply defines the path to the Internet, to avoid the most general (0.0.0.0/0) destination IP Range specified from the Internet through SSH with the default Port 22. Generic access from the Internet to a specific IP Range needs to be restricted.
Impact:
All Secure Shell (SSH) connections from outside of the network to the concerned VPC(s) will be blocked. There could be a business need where SSH access is required from outside of the network to access resources associated with the VPC. In that case, specific source IP(s) should be mentioned in firewall rules to white-list access to SSH port for the concerned VPC(s).</v>
      </c>
      <c r="K63" s="273" t="str">
        <f ca="1"/>
        <v>From Google Cloud Console
1. Go to VPC Network.
2. Go to the Firewall Rules.
3. Click the Firewall Rule you want to modify.
4. Click Edit.
5. Modify Source IP ranges to specific IP.
6. Click Save.
From Google Cloud CLI 1.Update the Firewall rule with the new SOURCE_RANGE from the below command: gcloud compute firewall-rules update FirewallName --allow=[PROTOCOL[:PORT[-PORT]],...] --source-ranges=[CIDR_RANGE,...]</v>
      </c>
      <c r="L63" s="273" t="str">
        <f ca="1"/>
        <v>1. https://cloud.google.com/vpc/docs/firewalls#blockedtraffic
2. https://cloud.google.com/blog/products/identity-security/cloud-iap-enables-context-aware-access-to-vms-via-ssh-and-rdp-without-bastion-hosts</v>
      </c>
      <c r="M63" s="192" t="str">
        <f ca="1"/>
        <v>v</v>
      </c>
      <c r="N63" s="192" t="str">
        <f ca="1"/>
        <v>מערכת</v>
      </c>
      <c r="O63" s="192" t="str">
        <f ca="1"/>
        <v>v</v>
      </c>
      <c r="P63" s="28"/>
    </row>
    <row r="64" spans="1:16" ht="213.75">
      <c r="A64" s="28"/>
      <c r="B64" s="192">
        <f ca="1"/>
        <v>4.4000000000000004</v>
      </c>
      <c r="C64" s="192" t="str">
        <f ca="1"/>
        <v>Devices</v>
      </c>
      <c r="D64" s="192" t="str">
        <f ca="1"/>
        <v>Protect</v>
      </c>
      <c r="E64" s="192" t="str">
        <f ca="1"/>
        <v>יש להתמיע מערכת חומת אש ולנהל אותה</v>
      </c>
      <c r="F64" s="232" t="str">
        <f ca="1"/>
        <v>Implement and manage a firewall on servers, where supported. Example implementations include a virtual firewall, operating system firewall, or a third-party firewall agent.</v>
      </c>
      <c r="G64" s="192" t="str">
        <f ca="1"/>
        <v>3.7 Ensure That RDP Access Is Restricted From the Internet (Automated)</v>
      </c>
      <c r="H64" s="192" t="str">
        <f ca="1"/>
        <v>GCP Firewall Rules are specific to a VPC Network. Each rule either allows or denies traffic when its conditions are met. Its conditions allow users to specify the type of traffic, such as ports and protocols, and the source or destination of the traffic, including IP addresses, subnets, and instances.
Firewall rules are defined at the VPC network level and are specific to the network in which they are defined. The rules themselves cannot be shared among networks. Firewall rules only support IPv4 traffic. When specifying a source for an ingress rule or a destination for an egress rule by address, an IPv4 address or IPv4 block in CIDR notation can be used. Generic (0.0.0.0/0) incoming traffic from the Internet to a VPC or VM instance using RDP on Port 3389 can be avoided.</v>
      </c>
      <c r="I64" s="272" t="str">
        <f ca="1"/>
        <v>3.7</v>
      </c>
      <c r="J64" s="273" t="str">
        <f ca="1"/>
        <v>GCP Firewall Rules within a VPC Network. These rules apply to outgoing (egress) traffic from instances and incoming (ingress) traffic to instances in the network. Egress and ingress traffic flows are controlled even if the traffic stays within the network (for example, instance-to-instance communication). For an instance to have outgoing Internet access, the network must have a valid Internet gateway route or custom route whose destination IP is specified. This route simply defines the path to the Internet, to avoid the most general (0.0.0.0/0) destination IP Range specified from the Internet through RDP with the default Port 3389. Generic access from the Internet to a specific IP Range should be restricted.
Impact:
All Remote Desktop Protocol (RDP) connections from outside of the network to the concerned VPC(s) will be blocked. There could be a business need where secure shell access is required from outside of the network to access resources associated with the VPC. In that case, specific source IP(s) should be mentioned in firewall rules to white-list access to RDP port for the concerned VPC(s).</v>
      </c>
      <c r="K64" s="273" t="str">
        <f ca="1"/>
        <v>From Google Cloud Console
1. Go to VPC Network.
2. Go to the Firewall Rules.
3. Click the Firewall Rule to be modified.
4. Click Edit.
5. Modify Source IP ranges to specific IP.
6. Click Save.
From Google Cloud CLI 1.Update RDP Firewall rule with new SOURCE_RANGE from the below command: gcloud compute firewall-rules update FirewallName --allow=[PROTOCOL[:PORT[-PORT]],...] --source-ranges=[CIDR_RANGE,...]</v>
      </c>
      <c r="L64" s="273" t="str">
        <f ca="1"/>
        <v>1. https://cloud.google.com/vpc/docs/firewalls#blockedtraffic
2. https://cloud.google.com/blog/products/identity-security/cloud-iap-enables-context-aware-access-to-vms-via-ssh-and-rdp-without-bastion-hosts</v>
      </c>
      <c r="M64" s="192" t="str">
        <f ca="1"/>
        <v>v</v>
      </c>
      <c r="N64" s="192" t="str">
        <f ca="1"/>
        <v>ארגוני</v>
      </c>
      <c r="O64" s="192" t="str">
        <f ca="1"/>
        <v>v</v>
      </c>
      <c r="P64" s="28"/>
    </row>
    <row r="65" spans="1:16" ht="356.25">
      <c r="A65" s="28"/>
      <c r="B65" s="192">
        <f ca="1"/>
        <v>4.4000000000000004</v>
      </c>
      <c r="C65" s="192" t="str">
        <f ca="1"/>
        <v>Devices</v>
      </c>
      <c r="D65" s="192" t="str">
        <f ca="1"/>
        <v>Protect</v>
      </c>
      <c r="E65" s="192" t="str">
        <f ca="1"/>
        <v>יש להתמיע מערכת חומת אש ולנהל אותה</v>
      </c>
      <c r="F65" s="232" t="str">
        <f ca="1"/>
        <v>Implement and manage a firewall on servers, where supported. Example implementations include a virtual firewall, operating system firewall, or a third-party firewall agent.</v>
      </c>
      <c r="G65" s="192" t="str">
        <f ca="1"/>
        <v>4.6 Ensure That IP Forwarding Is Not Enabled on Instances (Automated)</v>
      </c>
      <c r="H65" s="192" t="str">
        <f ca="1"/>
        <v>Compute Engine instance cannot forward a packet unless the source IP address of the packet matches the IP address of the instance. Similarly, GCP won't deliver a packet whose destination IP address is different than the IP address of the instance receiving the packet. However, both capabilities are required if you want to use instances to help route packets.
Forwarding of data packets should be disabled to prevent data loss or information disclosure.</v>
      </c>
      <c r="I65" s="272" t="str">
        <f ca="1"/>
        <v>4.6</v>
      </c>
      <c r="J65" s="273" t="str">
        <f ca="1"/>
        <v>Compute Engine instance cannot forward a packet unless the source IP address of the packet matches the IP address of the instance. Similarly, GCP won't deliver a packet whose destination IP address is different than the IP address of the instance receiving the packet. However, both capabilities are required if you want to use instances to help route packets. To enable this source and destination IP check, disable the canIpForward field, which allows an instance to send and receive packets with non-matching destination or source IPs.
Impact:
Deleting instance(s) acting as routers/packet forwarders may break the network connectivity.</v>
      </c>
      <c r="K65" s="273" t="str">
        <f ca="1"/>
        <v>You only edit the canIpForward setting at instance creation time. Therefore, you need to delete the instance and create a new one where canIpForward is set to false. From Google Cloud Console
1. Go to the VM Instances page by visiting: https://console.cloud.google.com/compute/instances.
2. Select the VM Instance you want to remediate.
3. Click the Delete button.
4. On the 'VM Instances' page, click `CREATE INSTANCE'.
5. Create a new instance with the desired configuration. By default, the instance is configured to not allow IP forwarding.
From Google Cloud CLI
1. Delete the instance: gcloud compute instances delete INSTANCE_NAME
2. Create a new instance to replace it, with IP forwarding set to Off gcloud compute instances create
Default Value:
By default, instances are not configured to allow IP forwarding.</v>
      </c>
      <c r="L65" s="273" t="str">
        <f ca="1"/>
        <v>1. https://cloud.google.com/vpc/docs/using-routes#canipforward</v>
      </c>
      <c r="M65" s="192" t="str">
        <f ca="1"/>
        <v>v</v>
      </c>
      <c r="N65" s="192" t="str">
        <f ca="1"/>
        <v>מערכת</v>
      </c>
      <c r="O65" s="192" t="str">
        <f ca="1"/>
        <v>-</v>
      </c>
      <c r="P65" s="28"/>
    </row>
    <row r="66" spans="1:16" ht="213.75">
      <c r="A66" s="28"/>
      <c r="B66" s="192">
        <f ca="1"/>
        <v>4.5</v>
      </c>
      <c r="C66" s="192" t="str">
        <f ca="1"/>
        <v>Devices</v>
      </c>
      <c r="D66" s="192" t="str">
        <f ca="1"/>
        <v>Protect</v>
      </c>
      <c r="E66" s="192" t="str">
        <f ca="1"/>
        <v>יישום וניהול חומת אש עבור שרתים ומשתמש קצה</v>
      </c>
      <c r="F66" s="232" t="str">
        <f ca="1"/>
        <v>Implement and manage a host-based firewall or port-filtering tool on end-user devices, with a default-deny rule that drops all traffic except those services and ports that are explicitly allowed.</v>
      </c>
      <c r="G66" s="192" t="str">
        <f ca="1"/>
        <v>3.6 Ensure That SSH Access Is Restricted From the Internet (Automated)</v>
      </c>
      <c r="H66" s="192" t="str">
        <f ca="1"/>
        <v>GCP Firewall Rules are specific to a VPC Network. Each rule either allows or denies traffic when its conditions are met. Its conditions allow the user to specify the type of traffic, such as ports and protocols, and the source or destination of the traffic, including IP addresses, subnets, and instances.
Firewall rules are defined at the VPC network level and are specific to the network in which they are defined. The rules themselves cannot be shared among networks. Firewall rules only support IPv4 traffic. When specifying a source for an ingress rule or a destination for an egress rule by address, only an IPv4 address or IPv4 block in CIDR notation can be used. Generic (0.0.0.0/0) incoming traffic from the internet to VPC or VM instance using SSH on Port 22 can be avoided.</v>
      </c>
      <c r="I66" s="272" t="str">
        <f ca="1"/>
        <v>3.6</v>
      </c>
      <c r="J66" s="273" t="str">
        <f ca="1"/>
        <v>GCP Firewall Rules within a VPC Network apply to outgoing (egress) traffic from instances and incoming (ingress) traffic to instances in the network. Egress and ingress traffic flows are controlled even if the traffic stays within the network (for example, instance-to-instance communication). For an instance to have outgoing Internet access, the network must have a valid Internet gateway route or custom route whose destination IP is specified. This route simply defines the path to the Internet, to avoid the most general (0.0.0.0/0) destination IP Range specified from the Internet through SSH with the default Port 22. Generic access from the Internet to a specific IP Range needs to be restricted.
Impact:
All Secure Shell (SSH) connections from outside of the network to the concerned VPC(s) will be blocked. There could be a business need where SSH access is required from outside of the network to access resources associated with the VPC. In that case, specific source IP(s) should be mentioned in firewall rules to white-list access to SSH port for the concerned VPC(s).</v>
      </c>
      <c r="K66" s="273" t="str">
        <f ca="1"/>
        <v>From Google Cloud Console
1. Go to VPC Network.
2. Go to the Firewall Rules.
3. Click the Firewall Rule you want to modify.
4. Click Edit.
5. Modify Source IP ranges to specific IP.
6. Click Save.
From Google Cloud CLI 1.Update the Firewall rule with the new SOURCE_RANGE from the below command: gcloud compute firewall-rules update FirewallName --allow=[PROTOCOL[:PORT[-PORT]],...] --source-ranges=[CIDR_RANGE,...]</v>
      </c>
      <c r="L66" s="273" t="str">
        <f ca="1"/>
        <v>1. https://cloud.google.com/vpc/docs/firewalls#blockedtraffic
2. https://cloud.google.com/blog/products/identity-security/cloud-iap-enables-context-aware-access-to-vms-via-ssh-and-rdp-without-bastion-hosts</v>
      </c>
      <c r="M66" s="192" t="str">
        <f ca="1"/>
        <v>v</v>
      </c>
      <c r="N66" s="192" t="str">
        <f ca="1"/>
        <v>ארגוני</v>
      </c>
      <c r="O66" s="192" t="str">
        <f ca="1"/>
        <v>-</v>
      </c>
      <c r="P66" s="28"/>
    </row>
    <row r="67" spans="1:16" ht="213.75">
      <c r="A67" s="28"/>
      <c r="B67" s="192">
        <f ca="1"/>
        <v>4.5</v>
      </c>
      <c r="C67" s="192" t="str">
        <f ca="1"/>
        <v>Devices</v>
      </c>
      <c r="D67" s="192" t="str">
        <f ca="1"/>
        <v>Protect</v>
      </c>
      <c r="E67" s="192" t="str">
        <f ca="1"/>
        <v>יישום וניהול חומת אש עבור שרתים ומשתמש קצה</v>
      </c>
      <c r="F67" s="232" t="str">
        <f ca="1"/>
        <v>Implement and manage a host-based firewall or port-filtering tool on end-user devices, with a default-deny rule that drops all traffic except those services and ports that are explicitly allowed.</v>
      </c>
      <c r="G67" s="192" t="str">
        <f ca="1"/>
        <v>3.7 Ensure That RDP Access Is Restricted From the Internet (Automated)</v>
      </c>
      <c r="H67" s="192" t="str">
        <f ca="1"/>
        <v>GCP Firewall Rules are specific to a VPC Network. Each rule either allows or denies traffic when its conditions are met. Its conditions allow users to specify the type of traffic, such as ports and protocols, and the source or destination of the traffic, including IP addresses, subnets, and instances.
Firewall rules are defined at the VPC network level and are specific to the network in which they are defined. The rules themselves cannot be shared among networks. Firewall rules only support IPv4 traffic. When specifying a source for an ingress rule or a destination for an egress rule by address, an IPv4 address or IPv4 block in CIDR notation can be used. Generic (0.0.0.0/0) incoming traffic from the Internet to a VPC or VM instance using RDP on Port 3389 can be avoided.</v>
      </c>
      <c r="I67" s="272" t="str">
        <f ca="1"/>
        <v>3.7</v>
      </c>
      <c r="J67" s="273" t="str">
        <f ca="1"/>
        <v>GCP Firewall Rules within a VPC Network. These rules apply to outgoing (egress) traffic from instances and incoming (ingress) traffic to instances in the network. Egress and ingress traffic flows are controlled even if the traffic stays within the network (for example, instance-to-instance communication). For an instance to have outgoing Internet access, the network must have a valid Internet gateway route or custom route whose destination IP is specified. This route simply defines the path to the Internet, to avoid the most general (0.0.0.0/0) destination IP Range specified from the Internet through RDP with the default Port 3389. Generic access from the Internet to a specific IP Range should be restricted.
Impact:
All Remote Desktop Protocol (RDP) connections from outside of the network to the concerned VPC(s) will be blocked. There could be a business need where secure shell access is required from outside of the network to access resources associated with the VPC. In that case, specific source IP(s) should be mentioned in firewall rules to white-list access to RDP port for the concerned VPC(s).</v>
      </c>
      <c r="K67" s="273" t="str">
        <f ca="1"/>
        <v>From Google Cloud Console
1. Go to VPC Network.
2. Go to the Firewall Rules.
3. Click the Firewall Rule to be modified.
4. Click Edit.
5. Modify Source IP ranges to specific IP.
6. Click Save.
From Google Cloud CLI 1.Update RDP Firewall rule with new SOURCE_RANGE from the below command: gcloud compute firewall-rules update FirewallName --allow=[PROTOCOL[:PORT[-PORT]],...] --source-ranges=[CIDR_RANGE,...]</v>
      </c>
      <c r="L67" s="273" t="str">
        <f ca="1"/>
        <v>1. https://cloud.google.com/vpc/docs/firewalls#blockedtraffic
2. https://cloud.google.com/blog/products/identity-security/cloud-iap-enables-context-aware-access-to-vms-via-ssh-and-rdp-without-bastion-hosts</v>
      </c>
      <c r="M67" s="192" t="str">
        <f ca="1"/>
        <v>v</v>
      </c>
      <c r="N67" s="192" t="str">
        <f ca="1"/>
        <v>ארגוני</v>
      </c>
      <c r="O67" s="192" t="str">
        <f ca="1"/>
        <v>-</v>
      </c>
      <c r="P67" s="28"/>
    </row>
    <row r="68" spans="1:16" ht="356.25">
      <c r="A68" s="28"/>
      <c r="B68" s="192">
        <f ca="1"/>
        <v>4.5</v>
      </c>
      <c r="C68" s="192" t="str">
        <f ca="1"/>
        <v>Devices</v>
      </c>
      <c r="D68" s="192" t="str">
        <f ca="1"/>
        <v>Protect</v>
      </c>
      <c r="E68" s="192" t="str">
        <f ca="1"/>
        <v>יישום וניהול חומת אש עבור שרתים ומשתמש קצה</v>
      </c>
      <c r="F68" s="232" t="str">
        <f ca="1"/>
        <v>Implement and manage a host-based firewall or port-filtering tool on end-user devices, with a default-deny rule that drops all traffic except those services and ports that are explicitly allowed.</v>
      </c>
      <c r="G68" s="192" t="str">
        <f ca="1"/>
        <v>4.6 Ensure That IP Forwarding Is Not Enabled on Instances (Automated)</v>
      </c>
      <c r="H68" s="192" t="str">
        <f ca="1"/>
        <v>Compute Engine instance cannot forward a packet unless the source IP address of the packet matches the IP address of the instance. Similarly, GCP won't deliver a packet whose destination IP address is different than the IP address of the instance receiving the packet. However, both capabilities are required if you want to use instances to help route packets.
Forwarding of data packets should be disabled to prevent data loss or information disclosure.</v>
      </c>
      <c r="I68" s="272" t="str">
        <f ca="1"/>
        <v>4.6</v>
      </c>
      <c r="J68" s="273" t="str">
        <f ca="1"/>
        <v>Compute Engine instance cannot forward a packet unless the source IP address of the packet matches the IP address of the instance. Similarly, GCP won't deliver a packet whose destination IP address is different than the IP address of the instance receiving the packet. However, both capabilities are required if you want to use instances to help route packets. To enable this source and destination IP check, disable the canIpForward field, which allows an instance to send and receive packets with non-matching destination or source IPs.
Impact:
Deleting instance(s) acting as routers/packet forwarders may break the network connectivity.</v>
      </c>
      <c r="K68" s="273" t="str">
        <f ca="1"/>
        <v>You only edit the canIpForward setting at instance creation time. Therefore, you need to delete the instance and create a new one where canIpForward is set to false. From Google Cloud Console
1. Go to the VM Instances page by visiting: https://console.cloud.google.com/compute/instances.
2. Select the VM Instance you want to remediate.
3. Click the Delete button.
4. On the 'VM Instances' page, click `CREATE INSTANCE'.
5. Create a new instance with the desired configuration. By default, the instance is configured to not allow IP forwarding.
From Google Cloud CLI
1. Delete the instance: gcloud compute instances delete INSTANCE_NAME
2. Create a new instance to replace it, with IP forwarding set to Off gcloud compute instances create
Default Value:
By default, instances are not configured to allow IP forwarding.</v>
      </c>
      <c r="L68" s="273" t="str">
        <f ca="1"/>
        <v>1. https://cloud.google.com/vpc/docs/using-routes#canipforward</v>
      </c>
      <c r="M68" s="192" t="str">
        <f ca="1"/>
        <v>v</v>
      </c>
      <c r="N68" s="192" t="str">
        <f ca="1"/>
        <v>מערכת</v>
      </c>
      <c r="O68" s="192" t="str">
        <f ca="1"/>
        <v>-</v>
      </c>
      <c r="P68" s="28"/>
    </row>
    <row r="69" spans="1:16" ht="409.5">
      <c r="A69" s="28"/>
      <c r="B69" s="192">
        <f ca="1"/>
        <v>4.5999999999999996</v>
      </c>
      <c r="C69" s="192" t="str">
        <f ca="1"/>
        <v>Network</v>
      </c>
      <c r="D69" s="192" t="str">
        <f ca="1"/>
        <v>Protect</v>
      </c>
      <c r="E69" s="192" t="str">
        <f ca="1"/>
        <v>ניהול מאובטח של נכסים ותוכנה ארגוניים</v>
      </c>
      <c r="F69" s="232" t="str">
        <f ca="1"/>
        <v>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v>
      </c>
      <c r="G69" s="192" t="str">
        <f ca="1"/>
        <v>6.2.9 Ensure Instance IP assignment is set to private (Automated)</v>
      </c>
      <c r="H69" s="192" t="str">
        <f ca="1"/>
        <v>Instance addresses can be public IP or private IP. Public IP means that the instance is accessible through the public internet. In contrast, instances using only private IP are not accessible through the public internet, but are accessible through a Virtual Private Cloud (VPC).
Limiting network access to your database will limit potential attacks.</v>
      </c>
      <c r="I69" s="272" t="str">
        <f ca="1"/>
        <v>6.2.9</v>
      </c>
      <c r="J69" s="273" t="str">
        <f ca="1"/>
        <v>Setting databases access only to private will reduce attack surface.
Impact:
If you set a database IP to private, only host from the same network will have the ability to connect your database.
Configuring an existing Cloud SQL instance to use private IP causes the instance to restart.</v>
      </c>
      <c r="K69" s="273" t="str">
        <f ca="1"/>
        <v>From Google Cloud Console
1. In the Google Cloud console, go to the Cloud SQL Instances page.
2. Open the Overview page of an instance by clicking the instance name.
3. Select Connections from the SQL navigation menu.
4. Check the Private IP checkbox. A drop-down list shows the available networks in your project.
5. Select the VPC network you want to use: If you see Private service connection required:
1. Click Set up connection.
2. In the Allocate an IP range section, choose one of the following options:
3. Select one or more existing IP ranges or create a new one from the dropdown. The dropdown includes previously allocated ranges, if there are any, or you can select Allocate a new IP range and enter a new range and name.
4. Use an automatically allocated IP range in your network. Note: You can specify an address range only for a primary instance, not for a read replica or clone.
3. Click Continue.
4. Click Create connection.
5. Verify that you see the Private service connection for network VPC_NETWORK_NAME has been successfully created status.
2. [Optional step for Private Services Access - review reference links to VPC documents for additional detail] If you want to allow other Google Cloud services such as BigQuery to access data in Cloud SQL and make queries against this data over a private IP connection, then select the Private path for Google Cloud services check box.
3. Click Save
From Google Cloud CLI
1. List cloud SQL instances gcloud sql instances list --format="json" | jq '.[] | .connectionName,.ipAddresses'
Note the project name of the instance you want to set to a private IP, this will be &lt;PROJECT_ID&gt; Note the instance name of the instance you want to set to a private IP, this will be &lt;INSTANCE_ID&gt; Example public instance output: "my-project-123456:us-central1:my-instance" [ { "ipAddress": "0.0.0.0", "type": "PRIMARY" }, { "ipAddress": "0.0.0.0", "type": "OUTGOING" }
2. run the following command to list the available VPCs gcloud compute networks list --format="json" | jq '.[].name'
Note the name of the VPC to use for the instance private IP, this will be &lt;VPC_NETWORK_NAME&gt;
3. run the following to set instance to a private IP gcloud beta sql instances patch &lt;INSTANCE_ID&gt; \ --project=&lt;PROJECT_ID&gt; \ --network=projects/&lt;PROJECT_ID&gt;/global/networks/&lt;VPC_NETWORK_NAME&gt; \ --no-assign-ip
Default Value:
Public IP</v>
      </c>
      <c r="L69" s="273" t="str">
        <f ca="1"/>
        <v>1. https://cloud.google.com/sql/docs/postgres/configure-private-ip
2. https://cloud.google.com/vpc/docs/configure-private-services-access#procedure
3. https://cloud.google.com/vpc/docs/configure-private-services-access#creating-connection</v>
      </c>
      <c r="M69" s="192" t="str">
        <f ca="1"/>
        <v>v</v>
      </c>
      <c r="N69" s="192" t="str">
        <f ca="1"/>
        <v>מערכת</v>
      </c>
      <c r="O69" s="192" t="str">
        <f ca="1"/>
        <v>v</v>
      </c>
      <c r="P69" s="28"/>
    </row>
    <row r="70" spans="1:16" ht="370.5">
      <c r="A70" s="28"/>
      <c r="B70" s="192">
        <f ca="1"/>
        <v>4.7</v>
      </c>
      <c r="C70" s="192" t="str">
        <f ca="1"/>
        <v>Users</v>
      </c>
      <c r="D70" s="192" t="str">
        <f ca="1"/>
        <v>Protect</v>
      </c>
      <c r="E70" s="192" t="str">
        <f ca="1"/>
        <v>נהל חשבונות ברירת מחדל בנכסים ותוכנה ארגוניים</v>
      </c>
      <c r="F70" s="232" t="str">
        <f ca="1"/>
        <v>Manage default accounts on enterprise assets and software, such as root, administrator, and other pre-configured vendor accounts. Example implementations can include: disabling default accounts or making them unusable.</v>
      </c>
      <c r="G70" s="192" t="str">
        <f ca="1"/>
        <v>4.1 Ensure That Instances Are Not Configured To Use the Default Service Account (Automated)</v>
      </c>
      <c r="H70" s="192" t="str">
        <f ca="1"/>
        <v>It is recommended to configure your instance to not use the default Compute Engine service account because it has the Editor role on the project.</v>
      </c>
      <c r="I70" s="272" t="str">
        <f ca="1"/>
        <v>4.1</v>
      </c>
      <c r="J70" s="273" t="str">
        <f ca="1"/>
        <v>The default Compute Engine service account has the Editor role on the project, which allows read and write access to most Google Cloud Services. To defend against privilege escalations if your VM is compromised and prevent an attacker from gaining access to all of your project, it is recommended to not use the default Compute Engine service account. Instead, you should create a new service account and assigning only the permissions needed by your instance.
The default Compute Engine service account is named [PROJECT_NUMBER]-compute@developer.gserviceaccount.com.</v>
      </c>
      <c r="K70" s="273" t="str">
        <f ca="1"/>
        <v>From Google Cloud Console
1. Go to the VM instances page by visiting: https://console.cloud.google.com/compute/instances.
2. Click on the instance name to go to its VM instance details page.
3. Click STOP and then click EDIT.
4. Under the section API and identity management, select a service account other than the default Compute Engine service account. You may first need to create a new service account.
5. Click Save and then click START.
From Google Cloud CLI
1. Stop the instance: gcloud compute instances stop &lt;INSTANCE_NAME&gt;
2. Update the instance: gcloud compute instances set-service-account &lt;INSTANCE_NAME&gt; --service-account=&lt;SERVICE_ACCOUNT&gt;
3. Restart the instance: gcloud compute instances start &lt;INSTANCE_NAME&gt;
Default Value:
By default, Compute instances are configured to use the default Compute Engine service account.</v>
      </c>
      <c r="L70" s="273" t="str">
        <f ca="1"/>
        <v>1. https://cloud.google.com/compute/docs/access/service-accounts
2. https://cloud.google.com/compute/docs/access/create-enable-service-accounts-for-instances
3. https://cloud.</v>
      </c>
      <c r="M70" s="192" t="str">
        <f ca="1"/>
        <v>v</v>
      </c>
      <c r="N70" s="192" t="str">
        <f ca="1"/>
        <v>מערכת</v>
      </c>
      <c r="O70" s="192" t="str">
        <f ca="1"/>
        <v>v</v>
      </c>
      <c r="P70" s="28"/>
    </row>
    <row r="71" spans="1:16" ht="409.5">
      <c r="A71" s="28"/>
      <c r="B71" s="192">
        <f ca="1"/>
        <v>4.7</v>
      </c>
      <c r="C71" s="192" t="str">
        <f ca="1"/>
        <v>Users</v>
      </c>
      <c r="D71" s="192" t="str">
        <f ca="1"/>
        <v>Protect</v>
      </c>
      <c r="E71" s="192" t="str">
        <f ca="1"/>
        <v>נהל חשבונות ברירת מחדל בנכסים ותוכנה ארגוניים</v>
      </c>
      <c r="F71" s="232" t="str">
        <f ca="1"/>
        <v>Manage default accounts on enterprise assets and software, such as root, administrator, and other pre-configured vendor accounts. Example implementations can include: disabling default accounts or making them unusable.</v>
      </c>
      <c r="G71" s="192" t="str">
        <f ca="1"/>
        <v>4.2 Ensure That Instances Are Not Configured To Use the Default Service Account With Full Access to All Cloud APIs (Automated)</v>
      </c>
      <c r="H71" s="192" t="str">
        <f ca="1"/>
        <v>To support principle of least privileges and prevent potential privilege escalation it is recommended that instances are not assigned to default service account Compute Engine default service account with Scope Allow full access to all Cloud APIs.</v>
      </c>
      <c r="I71" s="272" t="str">
        <f ca="1"/>
        <v>4.2</v>
      </c>
      <c r="J71" s="273" t="str">
        <f ca="1"/>
        <v>Along with ability to optionally create, manage and use user managed custom service accounts, Google Compute Engine provides default service account Compute Engine default service account for an instances to access necessary cloud services. Project Editor role is assigned to Compute Engine default service account hence, This service account has almost all capabilities over all cloud services except billing. However, when Compute Engine default service account assigned to an instance it can operate in 3 scopes. 1. Allow default access: Allows only minimum access required to run an Instance (Least Privileges) 2. Allow full access to all Cloud APIs: Allow full access to all the cloud APIs/Services (Too much access) 3. Set access for each API: Allows Instance administrator to choose only those APIs that are needed to perform specific business functionality expected by instance
When an instance is configured with Compute Engine default service account with Scope Allow full access to all Cloud APIs, based on IAM roles assigned to the user(s) accessing Instance, it may allow user to perform cloud operations/API calls that user is not supposed to perform leading to successful privilege escalation.
Impact:
In order to change service account or scope for an instance, it needs to be stopped.</v>
      </c>
      <c r="K71" s="273" t="str">
        <f ca="1"/>
        <v>From Google Cloud Console
1. Go to the VM instances page by visiting: https://console.cloud.google.com/compute/instances.
2. Click on the impacted VM instance.
3. If the instance is not stopped, click the Stop button. Wait for the instance to be stopped.
4. Next, click the Edit button.
5. Scroll down to the Service Account section.
6. Select a different service account or ensure that Allow full access to all Cloud APIs is not selected.
7. Click the Save button to save your changes and then click START.
From Google Cloud CLI
1. Stop the instance: gcloud compute instances stop &lt;INSTANCE_NAME&gt;
2. Update the instance: gcloud compute instances set-service-account &lt;INSTANCE_NAME&gt; --service-account=&lt;SERVICE_ACCOUNT&gt; --scopes [SCOPE1, SCOPE2...]
3. Restart the instance:
gcloud compute instances start &lt;INSTANCE_NAME&gt;
Default Value:
While creating an VM instance, default service account is used with scope Allow default access.</v>
      </c>
      <c r="L71" s="273" t="str">
        <f ca="1"/>
        <v>1. https://cloud.google.com/compute/docs/access/create-enable-service-accounts-for-instances
2. https://cloud.google.com/compute/docs/access/service-accounts</v>
      </c>
      <c r="M71" s="192" t="str">
        <f ca="1"/>
        <v>v</v>
      </c>
      <c r="N71" s="192" t="str">
        <f ca="1"/>
        <v>מערכת</v>
      </c>
      <c r="O71" s="192" t="str">
        <f ca="1"/>
        <v>v</v>
      </c>
      <c r="P71" s="28"/>
    </row>
    <row r="72" spans="1:16" ht="370.5">
      <c r="A72" s="28"/>
      <c r="B72" s="192">
        <f ca="1"/>
        <v>4.7</v>
      </c>
      <c r="C72" s="192" t="str">
        <f ca="1"/>
        <v>Users</v>
      </c>
      <c r="D72" s="192" t="str">
        <f ca="1"/>
        <v>Protect</v>
      </c>
      <c r="E72" s="192" t="str">
        <f ca="1"/>
        <v>נהל חשבונות ברירת מחדל בנכסים ותוכנה ארגוניים</v>
      </c>
      <c r="F72" s="232" t="str">
        <f ca="1"/>
        <v>Manage default accounts on enterprise assets and software, such as root, administrator, and other pre-configured vendor accounts. Example implementations can include: disabling default accounts or making them unusable.</v>
      </c>
      <c r="G72" s="192" t="str">
        <f ca="1"/>
        <v>6.1.1 Ensure That a MySQL Database Instance Does Not Allow Anyone To Connect With Administrative Privileges (Manual)</v>
      </c>
      <c r="H72" s="192" t="str">
        <f ca="1"/>
        <v>It is recommended to set a password for the administrative user (root by default) to prevent unauthorized access to the SQL database instances.
This recommendation is applicable only for MySQL Instances. PostgreSQL does not offer any setting for No Password from the cloud console.</v>
      </c>
      <c r="I72" s="272" t="str">
        <f ca="1"/>
        <v>6.1.1</v>
      </c>
      <c r="J72" s="273" t="str">
        <f ca="1"/>
        <v>At the time of MySQL Instance creation, not providing an administrative password allows anyone to connect to the SQL database instance with administrative privileges. The root password should be set to ensure only authorized users have these privileges.
Impact:
Connection strings for administrative clients need to be reconfigured to use a password.</v>
      </c>
      <c r="K72" s="273" t="str">
        <f ca="1"/>
        <v>From Google Cloud Console
1. Go to the Cloud SQL Instances page in the Google Cloud Platform Console using https://console.cloud.google.com/sql/
2. Select the instance to open its Overview page.
3. Select Access Control &gt; Users.
4. Click the More actions icon for the user to be updated.
5. Select Change password, specify a New password, and click OK.
From Google Cloud CLI
1. Set a password to a MySql instance: gcloud sql users set-password root --host=&lt;host&gt; --instance=&lt;instance_name&gt; --prompt-for-password
2. A prompt will appear, requiring the user to enter a password: Instance Password:
3. With a successful password configured, the following message should be seen: Updating Cloud SQL user...done.
Default Value:
From the Google Cloud Platform Console, the Create Instance workflow enforces the rule to enter the root password unless the option No Password is selected explicitly.</v>
      </c>
      <c r="L72" s="273" t="str">
        <f ca="1"/>
        <v>1. https://cloud.google.com/sql/docs/mysql/create-manage-users
2. https://cloud.google.com/sql/docs/mysql/create-instance</v>
      </c>
      <c r="M72" s="192" t="str">
        <f ca="1"/>
        <v>v</v>
      </c>
      <c r="N72" s="192" t="str">
        <f ca="1"/>
        <v>מערכת</v>
      </c>
      <c r="O72" s="192" t="str">
        <f ca="1"/>
        <v>-</v>
      </c>
      <c r="P72" s="28"/>
    </row>
    <row r="73" spans="1:16" ht="370.5">
      <c r="A73" s="28"/>
      <c r="B73" s="192">
        <f ca="1"/>
        <v>4.8</v>
      </c>
      <c r="C73" s="192" t="str">
        <f ca="1"/>
        <v>Devices</v>
      </c>
      <c r="D73" s="192" t="str">
        <f ca="1"/>
        <v>Protect</v>
      </c>
      <c r="E73" s="192" t="str">
        <f ca="1"/>
        <v>הסר או השבת שירותים מיותרים בנכסים ותוכנות ארגוניות</v>
      </c>
      <c r="F73" s="232" t="str">
        <f ca="1"/>
        <v>Uninstall or disable unnecessary services on enterprise assets and software, such as an unused file sharing service, web application module, or service function.</v>
      </c>
      <c r="G73" s="192" t="str">
        <f ca="1"/>
        <v>4.5 Ensure ‘Enable Connecting to Serial Ports’ Is Not Enabled for VM Instance (Automated)</v>
      </c>
      <c r="H73" s="192" t="str">
        <f ca="1"/>
        <v>Interacting with a serial port is often referred to as the serial console, which is similar to using a terminal window, in that input and output is entirely in text mode and there is no graphical interface or mouse support.
If you enable the interactive serial console on an instance, clients can attempt to connect to that instance from any IP address. Therefore interactive serial console support should be disabled.</v>
      </c>
      <c r="I73" s="272" t="str">
        <f ca="1"/>
        <v>4.5</v>
      </c>
      <c r="J73" s="273" t="str">
        <f ca="1"/>
        <v>A virtual machine instance has four virtual serial ports. Interacting with a serial port is similar to using a terminal window, in that input and output is entirely in text mode and there is no graphical interface or mouse support. The instance's operating system, BIOS, and other system-level entities often write output to the serial ports, and can accept input such as commands or answers to prompts. Typically, these system-level entities use the first serial port (port 1) and serial port 1 is often referred to as the serial console.
The interactive serial console does not support IP-based access restrictions such as IP whitelists. If you enable the interactive serial console on an instance, clients can attempt to connect to that instance from any IP address. This allows anybody to connect to that instance if they know the correct SSH key, username, project ID, zone, and instance name.
Therefore interactive serial console support should be disabled.</v>
      </c>
      <c r="K73" s="273" t="str">
        <f ca="1"/>
        <v>From Google Cloud CLI
1. Login to Google Cloud console
2. Go to Computer Engine
3. Go to VM instances
4. Click on the Specific VM
5. Click EDIT
6. Unselect Enable connecting to serial ports below Remote access block.
7. Click Save
From Google Cloud Console Use the below command to disable gcloud compute instances add-metadata &lt;INSTANCE_NAME&gt; --zone=&lt;ZONE&gt; --metadata=serial-port-enable=false
or gcloud compute instances add-metadata &lt;INSTANCE_NAME&gt; --zone=&lt;ZONE&gt; --metadata=serial-port-enable=0
Prevention: You can prevent VMs from having serial port access enable by Disable VM serial port access organization policy: https://console.cloud.google.com/iam-admin/orgpolicies/compute-disableSerialPortAccess.
Default Value:
By default, connecting to serial ports is not enabled.</v>
      </c>
      <c r="L73" s="273" t="str">
        <f ca="1"/>
        <v>1. https://cloud.google.com/compute/docs/instances/interacting-with-serial-console</v>
      </c>
      <c r="M73" s="192" t="str">
        <f ca="1"/>
        <v>v</v>
      </c>
      <c r="N73" s="192" t="str">
        <f ca="1"/>
        <v>מערכת</v>
      </c>
      <c r="O73" s="192" t="str">
        <f ca="1"/>
        <v>v</v>
      </c>
      <c r="P73" s="28"/>
    </row>
    <row r="74" spans="1:16" ht="409.5">
      <c r="A74" s="28"/>
      <c r="B74" s="192">
        <f ca="1"/>
        <v>4.8</v>
      </c>
      <c r="C74" s="192" t="str">
        <f ca="1"/>
        <v>Devices</v>
      </c>
      <c r="D74" s="192" t="str">
        <f ca="1"/>
        <v>Protect</v>
      </c>
      <c r="E74" s="192" t="str">
        <f ca="1"/>
        <v>הסר או השבת שירותים מיותרים בנכסים ותוכנות ארגוניות</v>
      </c>
      <c r="F74" s="232" t="str">
        <f ca="1"/>
        <v>Uninstall or disable unnecessary services on enterprise assets and software, such as an unused file sharing service, web application module, or service function.</v>
      </c>
      <c r="G74" s="192" t="str">
        <f ca="1"/>
        <v>6.3.5 Ensure 'remote access' database flag for Cloud SQL SQL Server instance is set to 'off' (Automated)</v>
      </c>
      <c r="H74" s="192" t="str">
        <f ca="1"/>
        <v>It is recommended to set remote access database flag for Cloud SQL SQL Server instance to off.</v>
      </c>
      <c r="I74" s="272" t="str">
        <f ca="1"/>
        <v>6.3.5</v>
      </c>
      <c r="J74" s="273" t="str">
        <f ca="1"/>
        <v>The remote access option controls the execution of stored procedures from local or remote servers on which instances of SQL Server are running. This default value for this option is 1. This grants permission to run local stored procedures from remote servers or remote stored procedures from the local server. To prevent local stored procedures from being run from a remote server or remote stored procedures from being run on the local server, this must be disabled. The Remote Access option controls the execution of local stored procedures on remote servers or remote stored procedures on local server. 'Remote access' functionality can be abused to launch a Denial-of-Service (DoS) attack on remote servers by off-loading query processing to a target, hence this should be disabled. This recommendation is applicable to SQL Server database instances.
Impact: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74" s="273" t="str">
        <f ca="1"/>
        <v>From Google Cloud Console
1. Go to the Cloud SQL Instances page in the Google Cloud Console by visiting https://console.cloud.google.com/sql/instances.
2. Select the SQL Server instance for which you want to enable to database flag.
3. Click Edit.
4. Scroll down to the Flags section.
5. To set a flag that has not been set on the instance before, click Add item, choose the flag remote access from the drop-down menu, and set its value to off.
6. Click Save to save your changes.
7. Confirm your changes under Flags on the Overview page.
From Google Cloud CLI
1. Configure the remote access database flag for every Cloud SQL SQL Server database instance using the below command gcloud sql instances patch &lt;INSTANCE_NAME&gt; --database-flags "remote access=off" Note :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'remote access' is 'on'.</v>
      </c>
      <c r="L74" s="273" t="str">
        <f ca="1"/>
        <v>1. https://cloud.google.com/sql/docs/sqlserver/flags
2. https://docs.microsoft.com/en-us/sql/database-engine/configure-windows/configure-the-remote-access-server-configuration-option?view=sql-server-ver15
3. https://www.stigviewer.com/stig/ms_sql_server_2016_instance/2018-03-09/finding/V-79337</v>
      </c>
      <c r="M74" s="192" t="str">
        <f ca="1"/>
        <v>v</v>
      </c>
      <c r="N74" s="192" t="str">
        <f ca="1"/>
        <v>מערכת</v>
      </c>
      <c r="O74" s="192" t="str">
        <f ca="1"/>
        <v>-</v>
      </c>
      <c r="P74" s="28"/>
    </row>
    <row r="75" spans="1:16" ht="42.75">
      <c r="A75" s="28"/>
      <c r="B75" s="192">
        <f ca="1"/>
        <v>4.9000000000000004</v>
      </c>
      <c r="C75" s="192" t="str">
        <f ca="1"/>
        <v>Devices</v>
      </c>
      <c r="D75" s="192" t="str">
        <f ca="1"/>
        <v>Protect</v>
      </c>
      <c r="E75" s="192" t="str">
        <f ca="1"/>
        <v>הגדר שרתי DNS מהימנים בנכסי ארגונים</v>
      </c>
      <c r="F75" s="232" t="str">
        <f ca="1"/>
        <v xml:space="preserve">Configure trusted DNS servers on enterprise assets. Example implementations include: configuring assets to use enterprise-controlled DNS servers and/or reputable externally accessible DNS servers. </v>
      </c>
      <c r="G75" s="192" t="str">
        <f ca="1"/>
        <v>-</v>
      </c>
      <c r="H75" s="192" t="str">
        <f ca="1"/>
        <v>-</v>
      </c>
      <c r="I75" s="272" t="str">
        <f ca="1"/>
        <v>-</v>
      </c>
      <c r="J75" s="273" t="str">
        <f ca="1"/>
        <v>-</v>
      </c>
      <c r="K75" s="273" t="str">
        <f ca="1"/>
        <v>-</v>
      </c>
      <c r="L75" s="273" t="str">
        <f ca="1"/>
        <v>-</v>
      </c>
      <c r="M75" s="192" t="str">
        <f ca="1"/>
        <v/>
      </c>
      <c r="N75" s="192" t="str">
        <f ca="1"/>
        <v>מערכת</v>
      </c>
      <c r="O75" s="192" t="str">
        <f ca="1"/>
        <v>-</v>
      </c>
      <c r="P75" s="28"/>
    </row>
    <row r="76" spans="1:16" ht="85.5">
      <c r="A76" s="28"/>
      <c r="B76" s="192">
        <f ca="1"/>
        <v>4.0999999999999996</v>
      </c>
      <c r="C76" s="192" t="str">
        <f ca="1"/>
        <v>Devices</v>
      </c>
      <c r="D76" s="192" t="str">
        <f ca="1"/>
        <v>Respond</v>
      </c>
      <c r="E76" s="192" t="str">
        <f ca="1"/>
        <v>יש להגדיר אכיפה של נעילת מכשיר אוטומטית על מכשירי משתמש קצה ניידים</v>
      </c>
      <c r="F76" s="232" t="str">
        <f ca="1"/>
        <v>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v>
      </c>
      <c r="G76" s="192" t="str">
        <f ca="1"/>
        <v>-</v>
      </c>
      <c r="H76" s="192" t="str">
        <f ca="1"/>
        <v>-</v>
      </c>
      <c r="I76" s="272" t="str">
        <f ca="1"/>
        <v>-</v>
      </c>
      <c r="J76" s="273" t="str">
        <f ca="1"/>
        <v>-</v>
      </c>
      <c r="K76" s="273" t="str">
        <f ca="1"/>
        <v>-</v>
      </c>
      <c r="L76" s="273" t="str">
        <f ca="1"/>
        <v>-</v>
      </c>
      <c r="M76" s="192" t="str">
        <f ca="1"/>
        <v/>
      </c>
      <c r="N76" s="192" t="str">
        <f ca="1"/>
        <v>מערכת</v>
      </c>
      <c r="O76" s="192" t="str">
        <f ca="1"/>
        <v>-</v>
      </c>
      <c r="P76" s="28"/>
    </row>
    <row r="77" spans="1:16" ht="42.75">
      <c r="A77" s="28"/>
      <c r="B77" s="192">
        <f ca="1"/>
        <v>4.1100000000000003</v>
      </c>
      <c r="C77" s="192" t="str">
        <f ca="1"/>
        <v>Devices</v>
      </c>
      <c r="D77" s="192" t="str">
        <f ca="1"/>
        <v>Protect</v>
      </c>
      <c r="E77" s="192" t="str">
        <f ca="1"/>
        <v>אכיפת יכולת מחיקה מרחוק במכשירי משתמש קצה ניידים</v>
      </c>
      <c r="F77" s="232" t="str">
        <f ca="1"/>
        <v>Remotely wipe enterprise data from enterprise-owned portable end-user devices when deemed appropriate such as lost or stolen devices, or when an individual no longer supports the enterprise.</v>
      </c>
      <c r="G77" s="192" t="str">
        <f ca="1"/>
        <v>-</v>
      </c>
      <c r="H77" s="192" t="str">
        <f ca="1"/>
        <v>-</v>
      </c>
      <c r="I77" s="272" t="str">
        <f ca="1"/>
        <v>-</v>
      </c>
      <c r="J77" s="273" t="str">
        <f ca="1"/>
        <v>-</v>
      </c>
      <c r="K77" s="273" t="str">
        <f ca="1"/>
        <v>-</v>
      </c>
      <c r="L77" s="273" t="str">
        <f ca="1"/>
        <v>-</v>
      </c>
      <c r="M77" s="192" t="str">
        <f ca="1"/>
        <v/>
      </c>
      <c r="N77" s="192" t="str">
        <f ca="1"/>
        <v>מערכת</v>
      </c>
      <c r="O77" s="192" t="str">
        <f ca="1"/>
        <v>-</v>
      </c>
      <c r="P77" s="28"/>
    </row>
    <row r="78" spans="1:16" ht="57">
      <c r="A78" s="28"/>
      <c r="B78" s="192">
        <f ca="1"/>
        <v>4.12</v>
      </c>
      <c r="C78" s="192" t="str">
        <f ca="1"/>
        <v>Devices</v>
      </c>
      <c r="D78" s="192" t="str">
        <f ca="1"/>
        <v>Protect</v>
      </c>
      <c r="E78" s="192" t="str">
        <f ca="1"/>
        <v>הפרד סביבות עבודה ארגוניות במכשירי משתמש קצה ניידים</v>
      </c>
      <c r="F78" s="232" t="str">
        <f ca="1"/>
        <v>Ensure separate enterprise workspaces are used on mobile end-user devices, where supported. Example implementations include using an Apple® Configuration Profile or Android™ Work Profile to separate enterprise applications and data from personal applications and data.</v>
      </c>
      <c r="G78" s="192" t="str">
        <f ca="1"/>
        <v>-</v>
      </c>
      <c r="H78" s="192" t="str">
        <f ca="1"/>
        <v>-</v>
      </c>
      <c r="I78" s="272" t="str">
        <f ca="1"/>
        <v>-</v>
      </c>
      <c r="J78" s="273" t="str">
        <f ca="1"/>
        <v>-</v>
      </c>
      <c r="K78" s="273" t="str">
        <f ca="1"/>
        <v>-</v>
      </c>
      <c r="L78" s="273" t="str">
        <f ca="1"/>
        <v>-</v>
      </c>
      <c r="M78" s="192" t="str">
        <f ca="1"/>
        <v/>
      </c>
      <c r="N78" s="192" t="str">
        <f ca="1"/>
        <v>מערכת</v>
      </c>
      <c r="O78" s="192" t="str">
        <f ca="1"/>
        <v>-</v>
      </c>
      <c r="P78" s="28"/>
    </row>
    <row r="79" spans="1:16" ht="45">
      <c r="A79" s="28"/>
      <c r="B79" s="192" t="str">
        <f ca="1"/>
        <v>-</v>
      </c>
      <c r="C79" s="192" t="str">
        <f ca="1"/>
        <v>-</v>
      </c>
      <c r="D79" s="192" t="str">
        <f ca="1"/>
        <v>-</v>
      </c>
      <c r="E79" s="192" t="str">
        <f ca="1"/>
        <v>ניהול חשבון</v>
      </c>
      <c r="F79" s="232" t="str">
        <f ca="1"/>
        <v>Use processes and tools to assign and manage authorization to credentials for user accounts, including administrator accounts, as well as service accounts, to enterprise assets and software.</v>
      </c>
      <c r="G79" s="192" t="str">
        <f ca="1"/>
        <v>-</v>
      </c>
      <c r="H79" s="192" t="str">
        <f ca="1"/>
        <v>-</v>
      </c>
      <c r="I79" s="272" t="str">
        <f ca="1"/>
        <v>-</v>
      </c>
      <c r="J79" s="273" t="str">
        <f ca="1"/>
        <v>-</v>
      </c>
      <c r="K79" s="273" t="str">
        <f ca="1"/>
        <v>-</v>
      </c>
      <c r="L79" s="273" t="str">
        <f ca="1"/>
        <v>-</v>
      </c>
      <c r="M79" s="192" t="str">
        <f ca="1"/>
        <v>-</v>
      </c>
      <c r="N79" s="192" t="str">
        <f ca="1"/>
        <v>-</v>
      </c>
      <c r="O79" s="192" t="str">
        <f ca="1"/>
        <v>-</v>
      </c>
      <c r="P79" s="28"/>
    </row>
    <row r="80" spans="1:16" ht="71.25">
      <c r="A80" s="28"/>
      <c r="B80" s="192">
        <f ca="1"/>
        <v>5.0999999999999996</v>
      </c>
      <c r="C80" s="192" t="str">
        <f ca="1"/>
        <v>Users</v>
      </c>
      <c r="D80" s="192" t="str">
        <f ca="1"/>
        <v>Identify</v>
      </c>
      <c r="E80" s="192" t="str">
        <f ca="1"/>
        <v>הקמה ותחזוקה של מיפוי חשבונות וזהויות</v>
      </c>
      <c r="F80" s="232" t="str">
        <f ca="1"/>
        <v>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v>
      </c>
      <c r="G80" s="192" t="str">
        <f ca="1"/>
        <v>-</v>
      </c>
      <c r="H80" s="192" t="str">
        <f ca="1"/>
        <v>-</v>
      </c>
      <c r="I80" s="272" t="str">
        <f ca="1"/>
        <v>-</v>
      </c>
      <c r="J80" s="273" t="str">
        <f ca="1"/>
        <v>-</v>
      </c>
      <c r="K80" s="273" t="str">
        <f ca="1"/>
        <v>-</v>
      </c>
      <c r="L80" s="273" t="str">
        <f ca="1"/>
        <v>-</v>
      </c>
      <c r="M80" s="192" t="str">
        <f ca="1"/>
        <v/>
      </c>
      <c r="N80" s="192" t="str">
        <f ca="1"/>
        <v>ארגוני</v>
      </c>
      <c r="O80" s="192" t="str">
        <f ca="1"/>
        <v>-</v>
      </c>
      <c r="P80" s="28"/>
    </row>
    <row r="81" spans="1:16" ht="299.25">
      <c r="A81" s="28"/>
      <c r="B81" s="192">
        <f ca="1"/>
        <v>5.2</v>
      </c>
      <c r="C81" s="192" t="str">
        <f ca="1"/>
        <v>Users</v>
      </c>
      <c r="D81" s="192" t="str">
        <f ca="1"/>
        <v>Protect</v>
      </c>
      <c r="E81" s="192" t="str">
        <f ca="1"/>
        <v>השתמש בסיסמאות ייחודיות</v>
      </c>
      <c r="F81" s="232" t="str">
        <f ca="1"/>
        <v xml:space="preserve">Use unique passwords for all enterprise assets. Best practice implementation includes, at a minimum, an 8-character password for accounts using MFA and a 14-character password for accounts not using MFA. </v>
      </c>
      <c r="G81" s="192" t="str">
        <f ca="1"/>
        <v>4.3 Ensure “Block Project-Wide SSH Keys” Is Enabled for VM Instances (Automated)</v>
      </c>
      <c r="H81" s="192" t="str">
        <f ca="1"/>
        <v>It is recommended to use Instance specific SSH key(s) instead of using common/shared project-wide SSH key(s) to access Instances.</v>
      </c>
      <c r="I81" s="272" t="str">
        <f ca="1"/>
        <v>4.3</v>
      </c>
      <c r="J81" s="273" t="str">
        <f ca="1"/>
        <v>Project-wide SSH keys are stored in Compute/Project-meta-data. Project wide SSH keys can be used to login into all the instances within project. Using project-wide SSH keys eases the SSH key management but if compromised, poses the security risk which can impact all the instances within project. It is recommended to use Instance specific SSH keys which can limit the attack surface if the SSH keys are compromised.
Impact:
Users already having Project-wide ssh key pairs and using third party SSH clients will lose access to the impacted Instances. For Project users using gcloud or GCP Console based SSH option, no manual key creation and distribution is required and will be handled by GCE (Google Compute Engine) itself. To access Instance using third party SSH clients Instance specific SSH key pairs need to be created and distributed to the required users.</v>
      </c>
      <c r="K81" s="273" t="str">
        <f ca="1"/>
        <v>From Google Cloud Console
1. Go to the VM instances page by visiting: https://console.cloud.google.com/compute/instances. It will list all the instances in your project.
2. Click on the name of the Impacted instance
3. Click Edit in the toolbar
4. Under SSH Keys, go to the Block project-wide SSH keys checkbox
5. To block users with project-wide SSH keys from connecting to this instance, select Block project-wide SSH keys
6. Click Save at the bottom of the page
7. Repeat steps for every impacted Instance
From Google Cloud CLI To block project-wide public SSH keys, set the metadata value to TRUE: gcloud compute instances add-metadata &lt;INSTANCE_NAME&gt; --metadata block-project-ssh-keys=TRUE
Default Value:
By Default Block Project-wide SSH keys is not enabled.</v>
      </c>
      <c r="L81" s="273" t="str">
        <f ca="1"/>
        <v>1. https://cloud.google.com/compute/docs/instances/adding-removing-ssh-keys
2. https://cloud.google.com/sdk/gcloud/reference/topic/formats</v>
      </c>
      <c r="M81" s="192" t="str">
        <f ca="1"/>
        <v>v</v>
      </c>
      <c r="N81" s="192" t="str">
        <f ca="1"/>
        <v>ארגוני</v>
      </c>
      <c r="O81" s="192" t="str">
        <f ca="1"/>
        <v>-</v>
      </c>
      <c r="P81" s="28"/>
    </row>
    <row r="82" spans="1:16" ht="28.5">
      <c r="A82" s="28"/>
      <c r="B82" s="192">
        <f ca="1"/>
        <v>5.3</v>
      </c>
      <c r="C82" s="192" t="str">
        <f ca="1"/>
        <v>Users</v>
      </c>
      <c r="D82" s="192" t="str">
        <f ca="1"/>
        <v>Respond</v>
      </c>
      <c r="E82" s="192" t="str">
        <f ca="1"/>
        <v>השבת חשבונות רדומים</v>
      </c>
      <c r="F82" s="232" t="str">
        <f ca="1"/>
        <v>Delete or disable any dormant accounts after a period of 45 days of inactivity, where supported.</v>
      </c>
      <c r="G82" s="192" t="str">
        <f ca="1"/>
        <v>-</v>
      </c>
      <c r="H82" s="192" t="str">
        <f ca="1"/>
        <v>-</v>
      </c>
      <c r="I82" s="272" t="str">
        <f ca="1"/>
        <v>-</v>
      </c>
      <c r="J82" s="273" t="str">
        <f ca="1"/>
        <v>-</v>
      </c>
      <c r="K82" s="273" t="str">
        <f ca="1"/>
        <v>-</v>
      </c>
      <c r="L82" s="273" t="str">
        <f ca="1"/>
        <v>-</v>
      </c>
      <c r="M82" s="192" t="str">
        <f ca="1"/>
        <v/>
      </c>
      <c r="N82" s="192" t="str">
        <f ca="1"/>
        <v>ארגוני</v>
      </c>
      <c r="O82" s="192" t="str">
        <f ca="1"/>
        <v>-</v>
      </c>
      <c r="P82" s="28"/>
    </row>
    <row r="83" spans="1:16" ht="409.5">
      <c r="A83" s="28"/>
      <c r="B83" s="192">
        <f ca="1"/>
        <v>5.4</v>
      </c>
      <c r="C83" s="192" t="str">
        <f ca="1"/>
        <v>Users</v>
      </c>
      <c r="D83" s="192" t="str">
        <f ca="1"/>
        <v>Protect</v>
      </c>
      <c r="E83" s="192" t="str">
        <f ca="1"/>
        <v>הגבל את הרשאות מנהל לחשבונות מנהל ייעודיים</v>
      </c>
      <c r="F83" s="232" t="str">
        <f ca="1"/>
        <v>Restrict administrator privileges to dedicated administrator accounts on enterprise assets. Conduct general computing activities, such as internet browsing, email, and productivity suite use, from the user’s primary, non-privileged account.</v>
      </c>
      <c r="G83" s="192" t="str">
        <f ca="1"/>
        <v>1.5 Ensure That Service Account Has No Admin Privileges (Automated)</v>
      </c>
      <c r="H83" s="192" t="str">
        <f ca="1"/>
        <v>A service account is a special Google account that belongs to an application or a VM, instead of to an individual end-user. The application uses the service account to call the service's Google API so that users aren't directly involved. It's recommended not to use admin access for ServiceAccount.
Impact:
Removing *Admin or *admin or Editor or Owner role assignments from service accounts may break functionality that uses impacted service accounts. Required role(s) should be assigned to impacted service accounts in order to restore broken functionalities.
Default Value:
User Managed (and not user-created) default service accounts have the Editor (roles/editor) role assigned to them to support GCP services they offer.
By default, there are no roles assigned to User Managed User created service accounts.
Additional Information:
Default (user-managed but not user-created) service accounts have the Editor (roles/editor) role assigned to them to support GCP services they offer. Such Service accounts are: PROJECT_NUMBER-compute@developer.gserviceaccount.com, PROJECT_ID@appspot.gserviceaccount.com.</v>
      </c>
      <c r="I83" s="272" t="str">
        <f ca="1"/>
        <v>1.5</v>
      </c>
      <c r="J83" s="273" t="str">
        <f ca="1"/>
        <v>Service accounts represent service-level security of the Resources (application or a VM) which can be determined by the roles assigned to it. Enrolling ServiceAccount with Admin rights gives full access to an assigned application or a VM. A ServiceAccount Access holder can perform critical actions like delete, update change settings, etc. without user intervention. For this reason, it's recommended that service accounts not have Admin rights.</v>
      </c>
      <c r="K83" s="273" t="str">
        <f ca="1"/>
        <v>From Google Cloud Console
1. Go to IAM &amp; admin/IAM using https://console.cloud.google.com/iam-admin/iam
2. Go to the Members
3. Identify User-Managed user created service account with roles containing *Admin or *admin or role matching Editor or role matching Owner
4. Click the Delete bin icon to remove the role from the member (service account in this case)
From Google Cloud CLI gcloud projects get-iam-policy PROJECT_ID --format json &gt; iam.json
1. Using a text editor, Remove Role which contains roles/*Admin or roles/*admin or matched roles/editor or matches 'roles/owner`. Add a role to the bindings array that defines the group members and the role for those members.
For example, to grant the role roles/appengine.appViewer to the ServiceAccount which is roles/editor, you would change the example shown below as follows: { "bindings": [ { "members": [ "serviceAccount:our-project-123@appspot.gserviceaccount.com", ], "role": "roles/appengine.appViewer" }, { "members": [ "user:email1@gmail.com" ], "role": "roles/owner" }, { "members": [ "serviceAccount:our-project-123@appspot.gserviceaccount.com", "serviceAccount:123456789012-compute@developer.gserviceaccount.com" ], "role": "roles/editor" } ], "etag": "BwUjMhCsNvY=" }
2. Update the project's IAM policy: gcloud projects set-iam-policy PROJECT_ID iam.json</v>
      </c>
      <c r="L83" s="273" t="str">
        <f ca="1"/>
        <v>1. https://cloud.google.com/sdk/gcloud/reference/iam/service-accounts/
2. https://cloud.google.com/iam/docs/understanding-roles
3. https://cloud.google.com/iam/docs/understanding-service-accounts</v>
      </c>
      <c r="M83" s="192" t="str">
        <f ca="1"/>
        <v>v</v>
      </c>
      <c r="N83" s="192" t="str">
        <f ca="1"/>
        <v>ארגוני</v>
      </c>
      <c r="O83" s="192" t="str">
        <f ca="1"/>
        <v>-</v>
      </c>
      <c r="P83" s="28"/>
    </row>
    <row r="84" spans="1:16" ht="57">
      <c r="A84" s="28"/>
      <c r="B84" s="192">
        <f ca="1"/>
        <v>5.5</v>
      </c>
      <c r="C84" s="192" t="str">
        <f ca="1"/>
        <v>Users</v>
      </c>
      <c r="D84" s="192" t="str">
        <f ca="1"/>
        <v>Identify</v>
      </c>
      <c r="E84" s="192" t="str">
        <f ca="1"/>
        <v>הקמה ותחזוקה של מיפוי של חשבונות שירות</v>
      </c>
      <c r="F84" s="232" t="str">
        <f ca="1"/>
        <v>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v>
      </c>
      <c r="G84" s="192" t="str">
        <f ca="1"/>
        <v>-</v>
      </c>
      <c r="H84" s="192" t="str">
        <f ca="1"/>
        <v>-</v>
      </c>
      <c r="I84" s="272" t="str">
        <f ca="1"/>
        <v>-</v>
      </c>
      <c r="J84" s="273" t="str">
        <f ca="1"/>
        <v>-</v>
      </c>
      <c r="K84" s="273" t="str">
        <f ca="1"/>
        <v>-</v>
      </c>
      <c r="L84" s="273" t="str">
        <f ca="1"/>
        <v>-</v>
      </c>
      <c r="M84" s="192" t="str">
        <f ca="1"/>
        <v/>
      </c>
      <c r="N84" s="192" t="str">
        <f ca="1"/>
        <v>ארגוני</v>
      </c>
      <c r="O84" s="192" t="str">
        <f ca="1"/>
        <v>-</v>
      </c>
      <c r="P84" s="28"/>
    </row>
    <row r="85" spans="1:16" ht="313.5">
      <c r="A85" s="28"/>
      <c r="B85" s="192">
        <f ca="1"/>
        <v>5.6</v>
      </c>
      <c r="C85" s="192" t="str">
        <f ca="1"/>
        <v>Users</v>
      </c>
      <c r="D85" s="192" t="str">
        <f ca="1"/>
        <v>Protect</v>
      </c>
      <c r="E85" s="192" t="str">
        <f ca="1"/>
        <v>הגדר ניהול מרכזי לחשבונות וזהויות עבור הארגון</v>
      </c>
      <c r="F85" s="232" t="str">
        <f ca="1"/>
        <v>Centralize account management through a directory or identity service.</v>
      </c>
      <c r="G85" s="192" t="str">
        <f ca="1"/>
        <v>1.1 Ensure that Corporate Login Credentials are Used (Manual)</v>
      </c>
      <c r="H85" s="192" t="str">
        <f ca="1"/>
        <v>Use corporate login credentials instead of personal accounts, such as Gmail accounts.
By default, no email addresses outside the organization's domain have access to its Google Cloud deployments, but any user email account can be added to the IAM policy for Google Cloud Platform projects, folders, or organizations.</v>
      </c>
      <c r="I85" s="272" t="str">
        <f ca="1"/>
        <v>1.1</v>
      </c>
      <c r="J85" s="273" t="str">
        <f ca="1"/>
        <v>It is recommended fully-managed corporate Google accounts be used for increased visibility, auditing, and controlling access to Cloud Platform resources. Email accounts based outside of the user's organization, such as personal accounts, should not be used for business purposes.
Impact:
There will be increased overhead as maintaining accounts will now be required. For smaller organizations, this will not be an issue, but will balloon with size.</v>
      </c>
      <c r="K85" s="273" t="str">
        <f ca="1"/>
        <v xml:space="preserve">Follow the documentation and setup corporate login accounts. Prevention: To ensure that no email addresses outside the organization can be granted IAM permissions to its Google Cloud projects, folders or organization, turn on the Organization Policy for Domain Restricted Sharing. Learn more at: https://cloud.google.com/resource-manager/docs/organization-policy/restricting-domains
</v>
      </c>
      <c r="L85" s="273" t="str">
        <f ca="1"/>
        <v>1. https://cloud.google.com/docs/enterprise/best-practices-for-enterprise-organizations#manage-identities
2. https://support.google.com/work/android/answer/6371476
3. https://cloud.google.com/sdk/gcloud/reference/organizations/get-iam-policy
4. https://cloud.google.com/sdk/gcloud/reference/beta/resource-manager/folders/get-iam-policy
5. https://cloud.google.com/sdk/gcloud/reference/projects/get-iam-policy
6. https://cloud.google.com/resource-manager/docs/organization-policy/org-policy-constraints
7. https://cloud.google.com/resource-manager/docs/organization-policy/restricting-domains</v>
      </c>
      <c r="M85" s="192" t="str">
        <f ca="1"/>
        <v>v</v>
      </c>
      <c r="N85" s="192" t="str">
        <f ca="1"/>
        <v>ארגוני</v>
      </c>
      <c r="O85" s="192" t="str">
        <f ca="1"/>
        <v>-</v>
      </c>
      <c r="P85" s="28"/>
    </row>
    <row r="86" spans="1:16" ht="409.5">
      <c r="A86" s="28"/>
      <c r="B86" s="192">
        <f ca="1"/>
        <v>5.6</v>
      </c>
      <c r="C86" s="192" t="str">
        <f ca="1"/>
        <v>Users</v>
      </c>
      <c r="D86" s="192" t="str">
        <f ca="1"/>
        <v>Protect</v>
      </c>
      <c r="E86" s="192" t="str">
        <f ca="1"/>
        <v>הגדר ניהול מרכזי לחשבונות וזהויות עבור הארגון</v>
      </c>
      <c r="F86" s="232" t="str">
        <f ca="1"/>
        <v>Centralize account management through a directory or identity service.</v>
      </c>
      <c r="G86" s="192" t="str">
        <f ca="1"/>
        <v>3.10 Use Identity Aware Proxy (IAP) to Ensure Only Traffic From Google IP Addresses are 'Allowed' (Manual)</v>
      </c>
      <c r="H86" s="192" t="str">
        <f ca="1"/>
        <v>IAP authenticates the user requests to your apps via a Google single sign in. You can then manage these users with permissions to control access. It is recommended to use both IAP permissions and firewalls to restrict this access to your apps with sensitive information.</v>
      </c>
      <c r="I86" s="272" t="str">
        <f ca="1"/>
        <v>3.10</v>
      </c>
      <c r="J86" s="273" t="str">
        <f ca="1"/>
        <v>IAP ensure that access to VMs is controlled by authenticating incoming requests. Access to your apps and the VMs should be restricted by firewall rules that allow only the proxy IAP IP addresses contained in the 35.235.240.0/20 subnet. Otherwise, unauthenticated requests can be made to your apps. To ensure that load balancing works correctly health checks should also be allowed.
Impact:
If firewall rules are not configured correctly, legitimate business services could be negatively impacted. It is recommended to make these changes during a time of low usage.</v>
      </c>
      <c r="K86" s="273" t="str">
        <f ca="1"/>
        <v>From Google Cloud Console
1. Go to the Cloud Console VPC network &gt; Firewall rules.
2. Select the checkbox next to the following rules:
o default-allow-http
o default-allow-https
o default-allow-internal
3. Click Delete.
4. Click Create firewall rule and set the following values:
o Name: allow-iap-traffic
o Targets: All instances in the network
o Source IP ranges (press Enter after you paste each value in the box, copy the value below the bold text including the dash):
▪ IAP Proxy Addresses 35.235.240.0/20
▪ Google Health Check 130.211.0.0/22
▪ Google Health Check 35.191.0.0/16
o Protocols and ports:
▪ Specified protocols and ports required for access and management of your app. For example most health check connection protocols would be covered by;
▪ tcp:80 (Default HTTP Health Check port)
▪ tcp:443--(Default HTTPS Health Check port)
Note: if you have custom ports used by your load balancers, you will need to list them here
5. When you're finished updating values, click Create.
Default Value:
By default all traffic is allowed.</v>
      </c>
      <c r="L86" s="273" t="str">
        <f ca="1"/>
        <v>1. https://cloud.google.com/iap/docs/concepts-overview
2. https://cloud.google.com/iap/docs/load-balancer-howto
3. https://cloud.google.com/load-balancing/docs/health-checks
4. https://cloud.google.com/blog/products/identity-security/cloud-iap-enables-context-aware-access-to-vms-via-ssh-and-rdp-without-bastion-hosts</v>
      </c>
      <c r="M86" s="192" t="str">
        <f ca="1"/>
        <v>v</v>
      </c>
      <c r="N86" s="192" t="str">
        <f ca="1"/>
        <v>ארגוני</v>
      </c>
      <c r="O86" s="192" t="str">
        <f ca="1"/>
        <v>-</v>
      </c>
      <c r="P86" s="28"/>
    </row>
    <row r="87" spans="1:16" ht="409.5">
      <c r="A87" s="28"/>
      <c r="B87" s="192">
        <f ca="1"/>
        <v>5.6</v>
      </c>
      <c r="C87" s="192" t="str">
        <f ca="1"/>
        <v>Users</v>
      </c>
      <c r="D87" s="192" t="str">
        <f ca="1"/>
        <v>Protect</v>
      </c>
      <c r="E87" s="192" t="str">
        <f ca="1"/>
        <v>הגדר ניהול מרכזי לחשבונות וזהויות עבור הארגון</v>
      </c>
      <c r="F87" s="232" t="str">
        <f ca="1"/>
        <v>Centralize account management through a directory or identity service.</v>
      </c>
      <c r="G87" s="192" t="str">
        <f ca="1"/>
        <v>4.4 Ensure Oslogin Is Enabled for a Project (Automated)</v>
      </c>
      <c r="H87" s="192" t="str">
        <f ca="1"/>
        <v>Enabling OS login binds SSH certificates to IAM users and facilitates effective SSH certificate management.
Additional Information:
1. In order to use osLogin, instance using Custom Images must have the latest version of the Linux Guest Environment installed. The following image families do not yet support OS Login: Project cos-cloud (Container-Optimized OS) image family cos-stable. All project coreos-cloud (CoreOS) image families Project suse-cloud (SLES) image family sles-11 All Windows Server and SQL Server image families
2. Project enable-oslogin can be over-ridden by setting enable-oslogin parameter to an instance metadata individually.</v>
      </c>
      <c r="I87" s="272" t="str">
        <f ca="1"/>
        <v>4.4</v>
      </c>
      <c r="J87" s="273" t="str">
        <f ca="1"/>
        <v>Enabling osLogin ensures that SSH keys used to connect to instances are mapped with IAM users. Revoking access to IAM user will revoke all the SSH keys associated with that particular user. It facilitates centralized and automated SSH key pair management which is useful in handling cases like response to compromised SSH key pairs and/or revocation of external/third-party/Vendor users.
Impact:
Enabling OS Login on project disables metadata-based SSH key configurations on all instances from a project. Disabling OS Login restores SSH keys that you have configured in project or instance meta-data.</v>
      </c>
      <c r="K87" s="273" t="str">
        <f ca="1"/>
        <v>From Google Cloud Console
1. Go to the VM compute metadata page by visiting: https://console.cloud.google.com/compute/metadata.
2. Click Edit.
3. Add a metadata entry where the key is enable-oslogin and the value is TRUE.
4. Click Save to apply the changes.
5. For every instance that overrides the project setting, go to the VM Instances page at https://console.cloud.google.com/compute/instances.
6. Click the name of the instance on which you want to remove the metadata value.
7. At the top of the instance details page, click Edit to edit the instance settings.
8. Under Custom metadata, remove any entry with key enable-oslogin and the value is FALSE
9. At the bottom of the instance details page, click Save to apply your changes to the instance.
From Google Cloud CLI
1. Configure oslogin on the project: gcloud compute project-info add-metadata --metadata enable-oslogin=TRUE
2. Remove instance metadata that overrides the project setting. gcloud compute instances remove-metadata &lt;INSTANCE_NAME&gt; --keys=enable-oslogin
Optionally, you can enable two factor authentication for OS login. For more information, see: https://cloud.google.com/compute/docs/oslogin/setup-two-factor-authentication.
Default Value:
By default, parameter enable-oslogin is not set, which is equivalent to setting it to FALSE.</v>
      </c>
      <c r="L87" s="273" t="str">
        <f ca="1"/>
        <v>1. https://cloud.google.com/compute/docs/instances/managing-instance-access
2. https://cloud.google.com/compute/docs/instances/managing-instance-access#enable_oslogin
3. https://cloud.google.com/sdk/gcloud/reference/compute/instances/remove-metadata
4. https://cloud.google.com/compute/docs/oslogin/setup-two-factor-authentication</v>
      </c>
      <c r="M87" s="192" t="str">
        <f ca="1"/>
        <v>v</v>
      </c>
      <c r="N87" s="192" t="str">
        <f ca="1"/>
        <v>ארגוני</v>
      </c>
      <c r="O87" s="192" t="str">
        <f ca="1"/>
        <v>v</v>
      </c>
      <c r="P87" s="28"/>
    </row>
    <row r="88" spans="1:16" ht="213.75">
      <c r="A88" s="28"/>
      <c r="B88" s="192">
        <f ca="1"/>
        <v>5.6</v>
      </c>
      <c r="C88" s="192" t="str">
        <f ca="1"/>
        <v>Users</v>
      </c>
      <c r="D88" s="192" t="str">
        <f ca="1"/>
        <v>Protect</v>
      </c>
      <c r="E88" s="192" t="str">
        <f ca="1"/>
        <v>הגדר ניהול מרכזי לחשבונות וזהויות עבור הארגון</v>
      </c>
      <c r="F88" s="232" t="str">
        <f ca="1"/>
        <v>Centralize account management through a directory or identity service.</v>
      </c>
      <c r="G88" s="192" t="str">
        <f ca="1"/>
        <v>1.4 Ensure That There Are Only GCP-Managed Service Account Keys for Each Service Account (Automated)</v>
      </c>
      <c r="H88" s="192" t="str">
        <f ca="1"/>
        <v>User managed service accounts should not have user-managed keys. 
Deleting user-managed Service Account Keys may break communication with the applications using the corresponding keys.
Default Value:
By default, there are no user-managed keys created for user-managed service accounts.
Additional Information:
A user-managed key cannot be created on GCP-Managed Service Accounts.</v>
      </c>
      <c r="I88" s="272" t="str">
        <f ca="1"/>
        <v>1.4</v>
      </c>
      <c r="J88" s="273" t="str">
        <f ca="1"/>
        <v>Anyone who has access to the keys will be able to access resources through the service account. GCP-managed keys are used by Cloud Platform services such as App Engine and Compute Engine. These keys cannot be downloaded. Google will keep the keys and automatically rotate them on an approximately weekly basis. User-managed keys are created, downloadable, and managed by users. They expire 10 years from creation.
For user-managed keys, the user has to take ownership of key management activities which include:
• Key storage
• Key distribution
• Key revocation
• Key rotation
• Protecting the keys from unauthorized users
• Key recovery
Even with key owner precautions, keys can be easily leaked by common development malpractices like checking keys into the source code or leaving them in the Downloads directory, or accidentally leaving them on support blogs/channels.
It is recommended to prevent user-managed service account keys.</v>
      </c>
      <c r="K88" s="273" t="str">
        <f ca="1"/>
        <v>Remediation:
From Google Cloud Console
1. Go to the IAM page in the GCP Console using https://console.cloud.google.com/iam-admin/iam
2. In the left navigation pane, click Service accounts. All service accounts and their corresponding keys are listed.
3. Click the service account.
4. Click the edit and delete the keys.
From Google Cloud CLI To delete a user managed Service Account Key, gcloud iam service-accounts keys delete --iam-account=&lt;user-managed-service-account-EMAIL&gt; &lt;KEY-ID&gt;</v>
      </c>
      <c r="L88" s="273" t="str">
        <f ca="1"/>
        <v>References:
1. https://cloud.google.com/iam/docs/understanding-service-accounts#managing_service_account_keys
2. https://cloud.google.com/resource-manager/docs/organization-policy/restricting-service-accounts</v>
      </c>
      <c r="M88" s="192" t="str">
        <f ca="1"/>
        <v>v</v>
      </c>
      <c r="N88" s="192" t="str">
        <f ca="1"/>
        <v>ארגוני</v>
      </c>
      <c r="O88" s="192" t="str">
        <f ca="1"/>
        <v>v</v>
      </c>
      <c r="P88" s="28"/>
    </row>
    <row r="89" spans="1:16" ht="45">
      <c r="A89" s="28"/>
      <c r="B89" s="192" t="str">
        <f ca="1"/>
        <v>-</v>
      </c>
      <c r="C89" s="192" t="str">
        <f ca="1"/>
        <v>-</v>
      </c>
      <c r="D89" s="192" t="str">
        <f ca="1"/>
        <v>-</v>
      </c>
      <c r="E89" s="192" t="str">
        <f ca="1"/>
        <v>ניהול בקרת גישה</v>
      </c>
      <c r="F89" s="232" t="str">
        <f ca="1"/>
        <v>Use processes and tools to create, assign, manage, and revoke access credentials and privileges for user, administrator, and service accounts for enterprise assets and software.</v>
      </c>
      <c r="G89" s="192" t="str">
        <f ca="1"/>
        <v>-</v>
      </c>
      <c r="H89" s="192" t="str">
        <f ca="1"/>
        <v>-</v>
      </c>
      <c r="I89" s="272" t="str">
        <f ca="1"/>
        <v>-</v>
      </c>
      <c r="J89" s="273" t="str">
        <f ca="1"/>
        <v>-</v>
      </c>
      <c r="K89" s="273" t="str">
        <f ca="1"/>
        <v>-</v>
      </c>
      <c r="L89" s="273" t="str">
        <f ca="1"/>
        <v>-</v>
      </c>
      <c r="M89" s="192" t="str">
        <f ca="1"/>
        <v>-</v>
      </c>
      <c r="N89" s="192" t="str">
        <f ca="1"/>
        <v>-</v>
      </c>
      <c r="O89" s="192" t="str">
        <f ca="1"/>
        <v>-</v>
      </c>
      <c r="P89" s="28"/>
    </row>
    <row r="90" spans="1:16" ht="28.5">
      <c r="A90" s="28"/>
      <c r="B90" s="192">
        <f ca="1"/>
        <v>6.1</v>
      </c>
      <c r="C90" s="192" t="str">
        <f ca="1"/>
        <v>Users</v>
      </c>
      <c r="D90" s="192" t="str">
        <f ca="1"/>
        <v>Protect</v>
      </c>
      <c r="E90" s="192" t="str">
        <f ca="1"/>
        <v>הקמת תהליך הענקת גישה</v>
      </c>
      <c r="F90" s="232" t="str">
        <f ca="1"/>
        <v>Establish and follow a process, preferably automated, for granting access to enterprise assets upon new hire, rights grant, or role change of a user.</v>
      </c>
      <c r="G90" s="192" t="str">
        <f ca="1"/>
        <v>-</v>
      </c>
      <c r="H90" s="192" t="str">
        <f ca="1"/>
        <v>-</v>
      </c>
      <c r="I90" s="272" t="str">
        <f ca="1"/>
        <v>-</v>
      </c>
      <c r="J90" s="273" t="str">
        <f ca="1"/>
        <v>-</v>
      </c>
      <c r="K90" s="273" t="str">
        <f ca="1"/>
        <v>-</v>
      </c>
      <c r="L90" s="273" t="str">
        <f ca="1"/>
        <v>-</v>
      </c>
      <c r="M90" s="192" t="str">
        <f ca="1"/>
        <v/>
      </c>
      <c r="N90" s="192" t="str">
        <f ca="1"/>
        <v>ארגוני</v>
      </c>
      <c r="O90" s="192" t="str">
        <f ca="1"/>
        <v>-</v>
      </c>
      <c r="P90" s="28"/>
    </row>
    <row r="91" spans="1:16" ht="57">
      <c r="A91" s="28"/>
      <c r="B91" s="192">
        <f ca="1"/>
        <v>6.2</v>
      </c>
      <c r="C91" s="192" t="str">
        <f ca="1"/>
        <v>Users</v>
      </c>
      <c r="D91" s="192" t="str">
        <f ca="1"/>
        <v>Protect</v>
      </c>
      <c r="E91" s="192" t="str">
        <f ca="1"/>
        <v>קבע תהליך ביטול גישה</v>
      </c>
      <c r="F91" s="232" t="str">
        <f ca="1"/>
        <v>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v>
      </c>
      <c r="G91" s="192" t="str">
        <f ca="1"/>
        <v>-</v>
      </c>
      <c r="H91" s="192" t="str">
        <f ca="1"/>
        <v>-</v>
      </c>
      <c r="I91" s="272" t="str">
        <f ca="1"/>
        <v>-</v>
      </c>
      <c r="J91" s="273" t="str">
        <f ca="1"/>
        <v>-</v>
      </c>
      <c r="K91" s="273" t="str">
        <f ca="1"/>
        <v>-</v>
      </c>
      <c r="L91" s="273" t="str">
        <f ca="1"/>
        <v>-</v>
      </c>
      <c r="M91" s="192" t="str">
        <f ca="1"/>
        <v/>
      </c>
      <c r="N91" s="192" t="str">
        <f ca="1"/>
        <v>ארגוני</v>
      </c>
      <c r="O91" s="192" t="str">
        <f ca="1"/>
        <v>-</v>
      </c>
      <c r="P91" s="28"/>
    </row>
    <row r="92" spans="1:16" ht="85.5">
      <c r="A92" s="28"/>
      <c r="B92" s="192">
        <f ca="1"/>
        <v>6.3</v>
      </c>
      <c r="C92" s="192" t="str">
        <f ca="1"/>
        <v>Users</v>
      </c>
      <c r="D92" s="192" t="str">
        <f ca="1"/>
        <v>Protect</v>
      </c>
      <c r="E92" s="192" t="str">
        <f ca="1"/>
        <v>דרוש MFA עבור יישומים חשופים חיצונית</v>
      </c>
      <c r="F92" s="232" t="str">
        <f ca="1"/>
        <v>Require all externally-exposed enterprise or third-party applications to enforce MFA, where supported. Enforcing MFA through a directory service or SSO provider is a satisfactory implementation of this Safeguard.</v>
      </c>
      <c r="G92" s="192" t="str">
        <f ca="1"/>
        <v>1.2 Ensure that Multi-Factor Authentication is 'Enabled' for All Non-Service Accounts (Manual)</v>
      </c>
      <c r="H92" s="192" t="str">
        <f ca="1"/>
        <v>Setup multi-factor authentication for Google Cloud Platform accounts.
Default Value:
By default, multi-factor authentication is not set.</v>
      </c>
      <c r="I92" s="272" t="str">
        <f ca="1"/>
        <v>1.2</v>
      </c>
      <c r="J92" s="273" t="str">
        <f ca="1"/>
        <v>Multi-factor authentication requires more than one mechanism to authenticate a user. This secures user logins from attackers exploiting stolen or weak credentials.</v>
      </c>
      <c r="K92" s="273" t="str">
        <f ca="1"/>
        <v>Remediation:
From Google Cloud Console For each Google Cloud Platform project:
1. Identify non-service accounts.
2. Setup multi-factor authentication for each account.</v>
      </c>
      <c r="L92" s="273" t="str">
        <f ca="1"/>
        <v>1. https://cloud.google.com/solutions/securing-gcp-account-u2f
2. https://support.google.com/accounts/answer/185839</v>
      </c>
      <c r="M92" s="192" t="str">
        <f ca="1"/>
        <v>v</v>
      </c>
      <c r="N92" s="192" t="str">
        <f ca="1"/>
        <v>ארגוני</v>
      </c>
      <c r="O92" s="192" t="str">
        <f ca="1"/>
        <v>v</v>
      </c>
      <c r="P92" s="28"/>
    </row>
    <row r="93" spans="1:16" ht="171">
      <c r="A93" s="28"/>
      <c r="B93" s="192">
        <f ca="1"/>
        <v>6.3</v>
      </c>
      <c r="C93" s="192" t="str">
        <f ca="1"/>
        <v>Users</v>
      </c>
      <c r="D93" s="192" t="str">
        <f ca="1"/>
        <v>Protect</v>
      </c>
      <c r="E93" s="192" t="str">
        <f ca="1"/>
        <v>דרוש MFA עבור יישומים חשופים חיצונית</v>
      </c>
      <c r="F93" s="232" t="str">
        <f ca="1"/>
        <v>Require all externally-exposed enterprise or third-party applications to enforce MFA, where supported. Enforcing MFA through a directory service or SSO provider is a satisfactory implementation of this Safeguard.</v>
      </c>
      <c r="G93" s="192" t="str">
        <f ca="1"/>
        <v>1.3 Ensure that Security Key Enforcement is Enabled for All Admin Accounts (Manual)</v>
      </c>
      <c r="H93" s="192" t="str">
        <f ca="1"/>
        <v>Setup Security Key Enforcement for Google Cloud Platform admin accounts.
Impact:
If an organization administrator loses access to their security key, the user could lose access to their account. For this reason, it is important to set up backup security keys.
Default Value:
By default, Security Key Enforcement is not enabled for Organization Administrators.</v>
      </c>
      <c r="I93" s="272" t="str">
        <f ca="1"/>
        <v>1.3</v>
      </c>
      <c r="J93" s="273" t="str">
        <f ca="1"/>
        <v>Google Cloud Platform users with Organization Administrator roles have the highest level of privilege in the organization. These accounts should be protected with the strongest form of two-factor authentication: Security Key Enforcement. Ensure that admins use Security Keys to log in instead of weaker second factors like SMS or one-time passwords (OTP). Security Keys are actual physical keys used to access Google Organization Administrator Accounts. They send an encrypted signature rather than a code, ensuring that logins cannot be phished.</v>
      </c>
      <c r="K93" s="273" t="str">
        <f ca="1"/>
        <v>Remediation:
1. Identify users with the Organization Administrator role.
2. Setup Security Key Enforcement for each account. Learn more at: https://cloud.google.com/security-key/</v>
      </c>
      <c r="L93" s="273" t="str">
        <f ca="1"/>
        <v>1. https://cloud.google.com/security-key/
2. https://gsuite.google.com/learn-more/key_for_working_smarter_faster_and_more_securely.html</v>
      </c>
      <c r="M93" s="192" t="str">
        <f ca="1"/>
        <v>v</v>
      </c>
      <c r="N93" s="192" t="str">
        <f ca="1"/>
        <v>מערכת</v>
      </c>
      <c r="O93" s="192" t="str">
        <f ca="1"/>
        <v>-</v>
      </c>
      <c r="P93" s="28"/>
    </row>
    <row r="94" spans="1:16" ht="28.5">
      <c r="A94" s="28"/>
      <c r="B94" s="192">
        <f ca="1"/>
        <v>6.4</v>
      </c>
      <c r="C94" s="192" t="str">
        <f ca="1"/>
        <v>Users</v>
      </c>
      <c r="D94" s="192" t="str">
        <f ca="1"/>
        <v>Protect</v>
      </c>
      <c r="E94" s="192" t="str">
        <f ca="1"/>
        <v>דרוש MFA עבור גישה מרחוק לרשת</v>
      </c>
      <c r="F94" s="232" t="str">
        <f ca="1"/>
        <v>Require MFA for remote network access.</v>
      </c>
      <c r="G94" s="192" t="str">
        <f ca="1"/>
        <v>-</v>
      </c>
      <c r="H94" s="192" t="str">
        <f ca="1"/>
        <v>-</v>
      </c>
      <c r="I94" s="272" t="str">
        <f ca="1"/>
        <v>-</v>
      </c>
      <c r="J94" s="273" t="str">
        <f ca="1"/>
        <v>-</v>
      </c>
      <c r="K94" s="273" t="str">
        <f ca="1"/>
        <v>-</v>
      </c>
      <c r="L94" s="273" t="str">
        <f ca="1"/>
        <v>-</v>
      </c>
      <c r="M94" s="192" t="str">
        <f ca="1"/>
        <v/>
      </c>
      <c r="N94" s="192" t="str">
        <f ca="1"/>
        <v>ארגוני</v>
      </c>
      <c r="O94" s="192" t="str">
        <f ca="1"/>
        <v>-</v>
      </c>
      <c r="P94" s="28"/>
    </row>
    <row r="95" spans="1:16" ht="28.5">
      <c r="A95" s="28"/>
      <c r="B95" s="192">
        <f ca="1"/>
        <v>6.5</v>
      </c>
      <c r="C95" s="192" t="str">
        <f ca="1"/>
        <v>Users</v>
      </c>
      <c r="D95" s="192" t="str">
        <f ca="1"/>
        <v>Protect</v>
      </c>
      <c r="E95" s="192" t="str">
        <f ca="1"/>
        <v>דרוש MFA עבור גישה מנהלתית</v>
      </c>
      <c r="F95" s="232" t="str">
        <f ca="1"/>
        <v>Require MFA for all administrative access accounts, where supported, on all enterprise assets, whether managed on-site or through a third-party provider.</v>
      </c>
      <c r="G95" s="192" t="str">
        <f ca="1"/>
        <v>-</v>
      </c>
      <c r="H95" s="192" t="str">
        <f ca="1"/>
        <v>-</v>
      </c>
      <c r="I95" s="272" t="str">
        <f ca="1"/>
        <v>-</v>
      </c>
      <c r="J95" s="273" t="str">
        <f ca="1"/>
        <v>-</v>
      </c>
      <c r="K95" s="273" t="str">
        <f ca="1"/>
        <v>-</v>
      </c>
      <c r="L95" s="273" t="str">
        <f ca="1"/>
        <v>-</v>
      </c>
      <c r="M95" s="192" t="str">
        <f ca="1"/>
        <v/>
      </c>
      <c r="N95" s="192" t="str">
        <f ca="1"/>
        <v>ארגוני</v>
      </c>
      <c r="O95" s="192" t="str">
        <f ca="1"/>
        <v>-</v>
      </c>
      <c r="P95" s="28"/>
    </row>
    <row r="96" spans="1:16" ht="228">
      <c r="A96" s="28"/>
      <c r="B96" s="192">
        <f ca="1"/>
        <v>6.6</v>
      </c>
      <c r="C96" s="192" t="str">
        <f ca="1"/>
        <v>Users</v>
      </c>
      <c r="D96" s="192" t="str">
        <f ca="1"/>
        <v>Identify</v>
      </c>
      <c r="E96" s="192" t="str">
        <f ca="1"/>
        <v>הקמה ותחזוקה של מיפוי של מערכות אימות והרשאה</v>
      </c>
      <c r="F96" s="232" t="str">
        <f ca="1"/>
        <v>Establish and maintain an inventory of the enterprise’s authentication and authorization systems, including those hosted on-site or at a remote service provider. Review and update the inventory, at a minimum, annually, or more frequently.</v>
      </c>
      <c r="G96" s="192" t="str">
        <f ca="1"/>
        <v>2.13 Ensure Cloud Asset Inventory Is Enabled (Automated)</v>
      </c>
      <c r="H96" s="192" t="str">
        <f ca="1"/>
        <v xml:space="preserve">GCP Cloud Asset Inventory is services that provides a historical view of GCP resources and IAM policies through a time-series database. The information recorded includes metadata on Google Cloud resources, metadata on policies set on Google Cloud projects or resources, and runtime information gathered within a Google Cloud resource.
</v>
      </c>
      <c r="I96" s="272" t="str">
        <f ca="1"/>
        <v>2.13</v>
      </c>
      <c r="J96" s="273" t="str">
        <f ca="1"/>
        <v>The GCP resources and IAM policies captured by GCP Cloud Asset Inventory enables security analysis, resource change tracking, and compliance auditing.
It is recommended GCP Cloud Asset Inventory be enabled for all GCP projects.</v>
      </c>
      <c r="K96" s="273" t="str">
        <f ca="1"/>
        <v>From Google Cloud Console Enable the Cloud Asset API:
1. Go to API &amp; Services/Library by visiting https://console.cloud.google.com/apis/library
2. Search for Cloud Asset API and select the result for Cloud Asset API
3. Click the ENABLE button.
Page 115
From Google Cloud CLI Enable the Cloud Asset API:
1. Enable the Cloud Asset API through the services interface: gcloud services enable cloudasset.googleapis.com
Default Value:
The Cloud Asset Inventory API is disabled by default in each project.</v>
      </c>
      <c r="L96" s="273" t="str">
        <f ca="1"/>
        <v>1. https://cloud.google.com/asset-inventory/docs</v>
      </c>
      <c r="M96" s="192" t="str">
        <f ca="1"/>
        <v>v</v>
      </c>
      <c r="N96" s="192" t="str">
        <f ca="1"/>
        <v>מערכת</v>
      </c>
      <c r="O96" s="192" t="str">
        <f ca="1"/>
        <v>-</v>
      </c>
      <c r="P96" s="28"/>
    </row>
    <row r="97" spans="1:16" ht="409.5">
      <c r="A97" s="28"/>
      <c r="B97" s="192">
        <f ca="1"/>
        <v>6.7</v>
      </c>
      <c r="C97" s="192" t="str">
        <f ca="1"/>
        <v>Users</v>
      </c>
      <c r="D97" s="192" t="str">
        <f ca="1"/>
        <v>Protect</v>
      </c>
      <c r="E97" s="192" t="str">
        <f ca="1"/>
        <v>הגדר בקרת גישה מרכזת בארגון</v>
      </c>
      <c r="F97" s="232" t="str">
        <f ca="1"/>
        <v>Centralize access control for all enterprise assets through a directory service or SSO provider, where supported.</v>
      </c>
      <c r="G97" s="192" t="str">
        <f ca="1"/>
        <v>4.4 Ensure Oslogin Is Enabled for a Project (Automated)</v>
      </c>
      <c r="H97" s="192" t="str">
        <f ca="1"/>
        <v>Enabling OS login binds SSH certificates to IAM users and facilitates effective SSH certificate management.
Additional Information:
1. In order to use osLogin, instance using Custom Images must have the latest version of the Linux Guest Environment installed. The following image families do not yet support OS Login: Project cos-cloud (Container-Optimized OS) image family cos-stable. All project coreos-cloud (CoreOS) image families Project suse-cloud (SLES) image family sles-11 All Windows Server and SQL Server image families
2. Project enable-oslogin can be over-ridden by setting enable-oslogin parameter to an instance metadata individually.</v>
      </c>
      <c r="I97" s="272" t="str">
        <f ca="1"/>
        <v>4.4</v>
      </c>
      <c r="J97" s="273" t="str">
        <f ca="1"/>
        <v>Enabling osLogin ensures that SSH keys used to connect to instances are mapped with IAM users. Revoking access to IAM user will revoke all the SSH keys associated with that particular user. It facilitates centralized and automated SSH key pair management which is useful in handling cases like response to compromised SSH key pairs and/or revocation of external/third-party/Vendor users.
Impact:
Enabling OS Login on project disables metadata-based SSH key configurations on all instances from a project. Disabling OS Login restores SSH keys that you have configured in project or instance meta-data.</v>
      </c>
      <c r="K97" s="273" t="str">
        <f ca="1"/>
        <v>From Google Cloud Console
1. Go to the VM compute metadata page by visiting: https://console.cloud.google.com/compute/metadata.
2. Click Edit.
3. Add a metadata entry where the key is enable-oslogin and the value is TRUE.
4. Click Save to apply the changes.
5. For every instance that overrides the project setting, go to the VM Instances page at https://console.cloud.google.com/compute/instances.
6. Click the name of the instance on which you want to remove the metadata value.
7. At the top of the instance details page, click Edit to edit the instance settings.
8. Under Custom metadata, remove any entry with key enable-oslogin and the value is FALSE
9. At the bottom of the instance details page, click Save to apply your changes to the instance.
From Google Cloud CLI
1. Configure oslogin on the project: gcloud compute project-info add-metadata --metadata enable-oslogin=TRUE
2. Remove instance metadata that overrides the project setting. gcloud compute instances remove-metadata &lt;INSTANCE_NAME&gt; --keys=enable-oslogin
Optionally, you can enable two factor authentication for OS login. For more information, see: https://cloud.google.com/compute/docs/oslogin/setup-two-factor-authentication.
Default Value:
By default, parameter enable-oslogin is not set, which is equivalent to setting it to FALSE.</v>
      </c>
      <c r="L97" s="273" t="str">
        <f ca="1"/>
        <v>1. https://cloud.google.com/compute/docs/instances/managing-instance-access
2. https://cloud.google.com/compute/docs/instances/managing-instance-access#enable_oslogin
3. https://cloud.google.com/sdk/gcloud/reference/compute/instances/remove-metadata
4. https://cloud.google.com/compute/docs/oslogin/setup-two-factor-authentication</v>
      </c>
      <c r="M97" s="192" t="str">
        <f ca="1"/>
        <v>v</v>
      </c>
      <c r="N97" s="192" t="str">
        <f ca="1"/>
        <v>ארגוני</v>
      </c>
      <c r="O97" s="192" t="str">
        <f ca="1"/>
        <v>v</v>
      </c>
      <c r="P97" s="28"/>
    </row>
    <row r="98" spans="1:16" ht="71.25">
      <c r="A98" s="28"/>
      <c r="B98" s="192">
        <f ca="1"/>
        <v>6.8</v>
      </c>
      <c r="C98" s="192" t="str">
        <f ca="1"/>
        <v>Data</v>
      </c>
      <c r="D98" s="192" t="str">
        <f ca="1"/>
        <v>Protect</v>
      </c>
      <c r="E98" s="192" t="str">
        <f ca="1"/>
        <v>הגדר ותחזק בקרת גישה מבוססת תפקידים RBAC</v>
      </c>
      <c r="F98" s="232" t="str">
        <f ca="1"/>
        <v>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v>
      </c>
      <c r="G98" s="192" t="str">
        <f ca="1"/>
        <v>-</v>
      </c>
      <c r="H98" s="192" t="str">
        <f ca="1"/>
        <v>-</v>
      </c>
      <c r="I98" s="272" t="str">
        <f ca="1"/>
        <v>-</v>
      </c>
      <c r="J98" s="273" t="str">
        <f ca="1"/>
        <v>-</v>
      </c>
      <c r="K98" s="273" t="str">
        <f ca="1"/>
        <v>-</v>
      </c>
      <c r="L98" s="273" t="str">
        <f ca="1"/>
        <v>-</v>
      </c>
      <c r="M98" s="192" t="str">
        <f ca="1"/>
        <v/>
      </c>
      <c r="N98" s="192" t="str">
        <f ca="1"/>
        <v>ארגוני</v>
      </c>
      <c r="O98" s="192" t="str">
        <f ca="1"/>
        <v>-</v>
      </c>
      <c r="P98" s="28"/>
    </row>
    <row r="99" spans="1:16" ht="75">
      <c r="A99" s="28"/>
      <c r="B99" s="192" t="str">
        <f ca="1"/>
        <v>-</v>
      </c>
      <c r="C99" s="192" t="str">
        <f ca="1"/>
        <v>-</v>
      </c>
      <c r="D99" s="192" t="str">
        <f ca="1"/>
        <v>-</v>
      </c>
      <c r="E99" s="192" t="str">
        <f ca="1"/>
        <v>ניהול פגיעות מתמשך</v>
      </c>
      <c r="F99" s="232" t="str">
        <f ca="1"/>
        <v>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v>
      </c>
      <c r="G99" s="192" t="str">
        <f ca="1"/>
        <v>-</v>
      </c>
      <c r="H99" s="192" t="str">
        <f ca="1"/>
        <v>-</v>
      </c>
      <c r="I99" s="272" t="str">
        <f ca="1"/>
        <v>-</v>
      </c>
      <c r="J99" s="273" t="str">
        <f ca="1"/>
        <v>-</v>
      </c>
      <c r="K99" s="273" t="str">
        <f ca="1"/>
        <v>-</v>
      </c>
      <c r="L99" s="273" t="str">
        <f ca="1"/>
        <v>-</v>
      </c>
      <c r="M99" s="192" t="str">
        <f ca="1"/>
        <v>-</v>
      </c>
      <c r="N99" s="192" t="str">
        <f ca="1"/>
        <v>-</v>
      </c>
      <c r="O99" s="192" t="str">
        <f ca="1"/>
        <v>-</v>
      </c>
      <c r="P99" s="28"/>
    </row>
    <row r="100" spans="1:16" ht="42.75">
      <c r="A100" s="28"/>
      <c r="B100" s="192">
        <f ca="1"/>
        <v>7.1</v>
      </c>
      <c r="C100" s="192" t="str">
        <f ca="1"/>
        <v>Applications</v>
      </c>
      <c r="D100" s="192" t="str">
        <f ca="1"/>
        <v>Protect</v>
      </c>
      <c r="E100" s="192" t="str">
        <f ca="1"/>
        <v>Establish and Maintain a Vulnerability Management Process</v>
      </c>
      <c r="F100" s="232" t="str">
        <f ca="1"/>
        <v>Establish and maintain a documented vulnerability management process for enterprise assets. Review and update documentation annually, or when significant enterprise changes occur that could impact this Safeguard.</v>
      </c>
      <c r="G100" s="192" t="str">
        <f ca="1"/>
        <v>-</v>
      </c>
      <c r="H100" s="192" t="str">
        <f ca="1"/>
        <v>-</v>
      </c>
      <c r="I100" s="272" t="str">
        <f ca="1"/>
        <v>-</v>
      </c>
      <c r="J100" s="273" t="str">
        <f ca="1"/>
        <v>-</v>
      </c>
      <c r="K100" s="273" t="str">
        <f ca="1"/>
        <v>-</v>
      </c>
      <c r="L100" s="273" t="str">
        <f ca="1"/>
        <v>-</v>
      </c>
      <c r="M100" s="192" t="str">
        <f ca="1"/>
        <v/>
      </c>
      <c r="N100" s="192" t="str">
        <f ca="1"/>
        <v>ארגוני</v>
      </c>
      <c r="O100" s="192" t="str">
        <f ca="1"/>
        <v>-</v>
      </c>
      <c r="P100" s="28"/>
    </row>
    <row r="101" spans="1:16" ht="28.5">
      <c r="A101" s="28"/>
      <c r="B101" s="192">
        <f ca="1"/>
        <v>7.2</v>
      </c>
      <c r="C101" s="192" t="str">
        <f ca="1"/>
        <v>Applications</v>
      </c>
      <c r="D101" s="192" t="str">
        <f ca="1"/>
        <v>Respond</v>
      </c>
      <c r="E101" s="192" t="str">
        <f ca="1"/>
        <v>Establish and Maintain a Remediation Process</v>
      </c>
      <c r="F101" s="232" t="str">
        <f ca="1"/>
        <v>Establish and maintain a risk-based remediation strategy documented in a remediation process, with monthly, or more frequent, reviews.</v>
      </c>
      <c r="G101" s="192" t="str">
        <f ca="1"/>
        <v>-</v>
      </c>
      <c r="H101" s="192" t="str">
        <f ca="1"/>
        <v>-</v>
      </c>
      <c r="I101" s="272" t="str">
        <f ca="1"/>
        <v>-</v>
      </c>
      <c r="J101" s="273" t="str">
        <f ca="1"/>
        <v>-</v>
      </c>
      <c r="K101" s="273" t="str">
        <f ca="1"/>
        <v>-</v>
      </c>
      <c r="L101" s="273" t="str">
        <f ca="1"/>
        <v>-</v>
      </c>
      <c r="M101" s="192" t="str">
        <f ca="1"/>
        <v/>
      </c>
      <c r="N101" s="192" t="str">
        <f ca="1"/>
        <v>ארגוני</v>
      </c>
      <c r="O101" s="192" t="str">
        <f ca="1"/>
        <v>-</v>
      </c>
      <c r="P101" s="28"/>
    </row>
    <row r="102" spans="1:16" ht="409.5">
      <c r="A102" s="28"/>
      <c r="B102" s="192">
        <f ca="1"/>
        <v>7.3</v>
      </c>
      <c r="C102" s="192" t="str">
        <f ca="1"/>
        <v>Applications</v>
      </c>
      <c r="D102" s="192" t="str">
        <f ca="1"/>
        <v>Protect</v>
      </c>
      <c r="E102" s="192" t="str">
        <f ca="1"/>
        <v>Perform Automated Operating System Patch Management</v>
      </c>
      <c r="F102" s="232" t="str">
        <f ca="1"/>
        <v>Perform operating system updates on enterprise assets through automated patch management on a monthly, or more frequent, basis.</v>
      </c>
      <c r="G102" s="192" t="str">
        <f ca="1"/>
        <v>4.8 Ensure Compute Instances Are Launched With Shielded VM Enabled (Automated)</v>
      </c>
      <c r="H102" s="192" t="str">
        <f ca="1"/>
        <v>To defend against advanced threats and ensure that the boot loader and firmware on your VMs are signed and untampered, it is recommended that Compute instances are launched with Shielded VM enabled.</v>
      </c>
      <c r="I102" s="272" t="str">
        <f ca="1"/>
        <v>4.8</v>
      </c>
      <c r="J102" s="273" t="str">
        <f ca="1"/>
        <v>Shielded VMs are virtual machines (VMs) on Google Cloud Platform hardened by a set of security controls that help defend against rootkits and bootkits.
Shielded VM offers verifiable integrity of your Compute Engine VM instances, so you can be confident your instances haven't been compromised by boot- or kernel-level malware or rootkits. Shielded VM's verifiable integrity is achieved through the use of Secure Boot, virtual trusted platform module (vTPM)-enabled Measured Boot, and integrity monitoring.
Shielded VM instances run firmware which is signed and verified using Google's Certificate Authority, ensuring that the instance's firmware is unmodified and establishing the root of trust for Secure Boot.
Integrity monitoring helps you understand and make decisions about the state of your VM instances and the Shielded VM vTPM enables Measured Boot by performing the measurements needed to create a known good boot baseline, called the integrity policy baseline. The integrity policy baseline is used for comparison with measurements from subsequent VM boots to determine if anything has changed.
Secure Boot helps ensure that the system only runs authentic software by verifying the digital signature of all boot components, and halting the boot process if signature verification fails.</v>
      </c>
      <c r="K102" s="273" t="str">
        <f ca="1"/>
        <v>To be able turn on Shielded VM on an instance, your instance must use an image with Shielded VM support. From Google Cloud Console
1. Go to the VM instances page by visiting: https://console.cloud.google.com/compute/instances.
2. Click on the instance name to see its VM instance details page.
3. Click STOP to stop the instance.
4. When the instance has stopped, click EDIT.
5. In the Shielded VM section, select Turn on vTPM and Turn on Integrity Monitoring.
6. Optionally, if you do not use any custom or unsigned drivers on the instance, also select Turn on Secure Boot.
7. Click the Save button to modify the instance and then click START to restart it.
From Google Cloud CLI You can only enable Shielded VM options on instances that have Shielded VM support. For a list of Shielded VM public images, run the gcloud compute images list command with the following flags: gcloud compute images list --project gce-uefi-images --no-standard-images
1. Stop the instance: gcloud compute instances stop &lt;INSTANCE_NAME&gt;
2. Update the instance: gcloud compute instances update &lt;INSTANCE_NAME&gt; --shielded-vtpm --shielded-vm-integrity-monitoring
3. Optionally, if you do not use any custom or unsigned drivers on the instance, also turn on secure boot. gcloud compute instances update &lt;INSTANCE_NAME&gt; --shielded-vm-secure-boot
4. Restart the instance: gcloud compute instances start &lt;INSTANCE_NAME&gt;
Prevention: You can ensure that all new VMs will be created with Shielded VM enabled by setting up an Organization Policy to for Shielded VM at https://console.cloud.google.com/iam-admin/orgpolicies/compute-requireShieldedVm. Learn more at: https://cloud.google.com/security/shielded-cloud/shielded-vm#organization-policy-constraint.
Default Value:
By default, Compute Instances do not have Shielded VM enabled.</v>
      </c>
      <c r="L102" s="273" t="str">
        <f ca="1"/>
        <v>1. https://cloud.google.com/compute/docs/instances/modifying-shielded-vm
2. https://cloud.google.com/shielded-vm
3. https://cloud.google.com/security/shielded-cloud/shielded-vm#organization-policy-constraint</v>
      </c>
      <c r="M102" s="192" t="str">
        <f ca="1"/>
        <v>v</v>
      </c>
      <c r="N102" s="192" t="str">
        <f ca="1"/>
        <v>מערכת</v>
      </c>
      <c r="O102" s="192" t="str">
        <f ca="1"/>
        <v>-</v>
      </c>
      <c r="P102" s="28"/>
    </row>
    <row r="103" spans="1:16" ht="42.75">
      <c r="A103" s="28"/>
      <c r="B103" s="192">
        <f ca="1"/>
        <v>7.4</v>
      </c>
      <c r="C103" s="192" t="str">
        <f ca="1"/>
        <v>Applications</v>
      </c>
      <c r="D103" s="192" t="str">
        <f ca="1"/>
        <v>Protect</v>
      </c>
      <c r="E103" s="192" t="str">
        <f ca="1"/>
        <v>Perform Automated Application Patch Management</v>
      </c>
      <c r="F103" s="232" t="str">
        <f ca="1"/>
        <v>Perform application updates on enterprise assets through automated patch management on a monthly, or more frequent, basis.</v>
      </c>
      <c r="G103" s="192" t="str">
        <f ca="1"/>
        <v>-</v>
      </c>
      <c r="H103" s="192" t="str">
        <f ca="1"/>
        <v>-</v>
      </c>
      <c r="I103" s="272" t="str">
        <f ca="1"/>
        <v>-</v>
      </c>
      <c r="J103" s="273" t="str">
        <f ca="1"/>
        <v>-</v>
      </c>
      <c r="K103" s="273" t="str">
        <f ca="1"/>
        <v>-</v>
      </c>
      <c r="L103" s="273" t="str">
        <f ca="1"/>
        <v>-</v>
      </c>
      <c r="M103" s="192" t="str">
        <f ca="1"/>
        <v/>
      </c>
      <c r="N103" s="192" t="str">
        <f ca="1"/>
        <v>מערכת</v>
      </c>
      <c r="O103" s="192" t="str">
        <f ca="1"/>
        <v>-</v>
      </c>
      <c r="P103" s="28"/>
    </row>
    <row r="104" spans="1:16" ht="57">
      <c r="A104" s="28"/>
      <c r="B104" s="192">
        <f ca="1"/>
        <v>7.5</v>
      </c>
      <c r="C104" s="192" t="str">
        <f ca="1"/>
        <v>Applications</v>
      </c>
      <c r="D104" s="192" t="str">
        <f ca="1"/>
        <v>Identify</v>
      </c>
      <c r="E104" s="192" t="str">
        <f ca="1"/>
        <v>Perform Automated Vulnerability Scans of Internal Enterprise Assets</v>
      </c>
      <c r="F104" s="232" t="str">
        <f ca="1"/>
        <v>Perform automated vulnerability scans of internal enterprise assets on a quarterly, or more frequent, basis. Conduct both authenticated and unauthenticated scans, using a SCAP-compliant vulnerability scanning tool.</v>
      </c>
      <c r="G104" s="192" t="str">
        <f ca="1"/>
        <v>-</v>
      </c>
      <c r="H104" s="192" t="str">
        <f ca="1"/>
        <v>-</v>
      </c>
      <c r="I104" s="272" t="str">
        <f ca="1"/>
        <v>-</v>
      </c>
      <c r="J104" s="273" t="str">
        <f ca="1"/>
        <v>-</v>
      </c>
      <c r="K104" s="273" t="str">
        <f ca="1"/>
        <v>-</v>
      </c>
      <c r="L104" s="273" t="str">
        <f ca="1"/>
        <v>-</v>
      </c>
      <c r="M104" s="192" t="str">
        <f ca="1"/>
        <v/>
      </c>
      <c r="N104" s="192" t="str">
        <f ca="1"/>
        <v>ארגוני</v>
      </c>
      <c r="O104" s="192" t="str">
        <f ca="1"/>
        <v>-</v>
      </c>
      <c r="P104" s="28"/>
    </row>
    <row r="105" spans="1:16" ht="57">
      <c r="A105" s="28"/>
      <c r="B105" s="192">
        <f ca="1"/>
        <v>7.6</v>
      </c>
      <c r="C105" s="192" t="str">
        <f ca="1"/>
        <v>Applications</v>
      </c>
      <c r="D105" s="192" t="str">
        <f ca="1"/>
        <v>Identify</v>
      </c>
      <c r="E105" s="192" t="str">
        <f ca="1"/>
        <v>Perform Automated Vulnerability Scans of Externally-Exposed Enterprise Assets</v>
      </c>
      <c r="F105" s="232" t="str">
        <f ca="1"/>
        <v xml:space="preserve">Perform automated vulnerability scans of externally-exposed enterprise assets using a SCAP-compliant vulnerability scanning tool. Perform scans on a monthly, or more frequent, basis. </v>
      </c>
      <c r="G105" s="192" t="str">
        <f ca="1"/>
        <v>-</v>
      </c>
      <c r="H105" s="192" t="str">
        <f ca="1"/>
        <v>-</v>
      </c>
      <c r="I105" s="272" t="str">
        <f ca="1"/>
        <v>-</v>
      </c>
      <c r="J105" s="273" t="str">
        <f ca="1"/>
        <v>-</v>
      </c>
      <c r="K105" s="273" t="str">
        <f ca="1"/>
        <v>-</v>
      </c>
      <c r="L105" s="273" t="str">
        <f ca="1"/>
        <v>-</v>
      </c>
      <c r="M105" s="192" t="str">
        <f ca="1"/>
        <v/>
      </c>
      <c r="N105" s="192" t="str">
        <f ca="1"/>
        <v>ארגוני</v>
      </c>
      <c r="O105" s="192" t="str">
        <f ca="1"/>
        <v>-</v>
      </c>
      <c r="P105" s="28"/>
    </row>
    <row r="106" spans="1:16" ht="28.5">
      <c r="A106" s="28"/>
      <c r="B106" s="192">
        <f ca="1"/>
        <v>7.7</v>
      </c>
      <c r="C106" s="192" t="str">
        <f ca="1"/>
        <v>Applications</v>
      </c>
      <c r="D106" s="192" t="str">
        <f ca="1"/>
        <v>Respond</v>
      </c>
      <c r="E106" s="192" t="str">
        <f ca="1"/>
        <v>Remediate Detected Vulnerabilities</v>
      </c>
      <c r="F106" s="232" t="str">
        <f ca="1"/>
        <v>Remediate detected vulnerabilities in software through processes and tooling on a monthly, or more frequent, basis, based on the remediation process.</v>
      </c>
      <c r="G106" s="192" t="str">
        <f ca="1"/>
        <v>-</v>
      </c>
      <c r="H106" s="192" t="str">
        <f ca="1"/>
        <v>-</v>
      </c>
      <c r="I106" s="272" t="str">
        <f ca="1"/>
        <v>-</v>
      </c>
      <c r="J106" s="273" t="str">
        <f ca="1"/>
        <v>-</v>
      </c>
      <c r="K106" s="273" t="str">
        <f ca="1"/>
        <v>-</v>
      </c>
      <c r="L106" s="273" t="str">
        <f ca="1"/>
        <v>-</v>
      </c>
      <c r="M106" s="192" t="str">
        <f ca="1"/>
        <v/>
      </c>
      <c r="N106" s="192" t="str">
        <f ca="1"/>
        <v>ארגוני</v>
      </c>
      <c r="O106" s="192" t="str">
        <f ca="1"/>
        <v>-</v>
      </c>
      <c r="P106" s="28"/>
    </row>
    <row r="107" spans="1:16" ht="30">
      <c r="A107" s="28"/>
      <c r="B107" s="192" t="str">
        <f ca="1"/>
        <v>-</v>
      </c>
      <c r="C107" s="192" t="str">
        <f ca="1"/>
        <v>-</v>
      </c>
      <c r="D107" s="192" t="str">
        <f ca="1"/>
        <v>-</v>
      </c>
      <c r="E107" s="192" t="str">
        <f ca="1"/>
        <v>ניהול ניטור אירועים</v>
      </c>
      <c r="F107" s="232" t="str">
        <f ca="1"/>
        <v>Collect, alert, review, and retain audit logs of events that could help detect, understand, or recover from an attack.</v>
      </c>
      <c r="G107" s="192" t="str">
        <f ca="1"/>
        <v>-</v>
      </c>
      <c r="H107" s="192" t="str">
        <f ca="1"/>
        <v>-</v>
      </c>
      <c r="I107" s="272" t="str">
        <f ca="1"/>
        <v>-</v>
      </c>
      <c r="J107" s="273" t="str">
        <f ca="1"/>
        <v>-</v>
      </c>
      <c r="K107" s="273" t="str">
        <f ca="1"/>
        <v>-</v>
      </c>
      <c r="L107" s="273" t="str">
        <f ca="1"/>
        <v>-</v>
      </c>
      <c r="M107" s="192" t="str">
        <f ca="1"/>
        <v>-</v>
      </c>
      <c r="N107" s="192" t="str">
        <f ca="1"/>
        <v>-</v>
      </c>
      <c r="O107" s="192" t="str">
        <f ca="1"/>
        <v>-</v>
      </c>
      <c r="P107" s="28"/>
    </row>
    <row r="108" spans="1:16" ht="71.25">
      <c r="A108" s="28"/>
      <c r="B108" s="192">
        <f ca="1"/>
        <v>8.1</v>
      </c>
      <c r="C108" s="192" t="str">
        <f ca="1"/>
        <v>Network</v>
      </c>
      <c r="D108" s="192" t="str">
        <f ca="1"/>
        <v>Protect</v>
      </c>
      <c r="E108" s="192" t="str">
        <f ca="1"/>
        <v>הקמה ותחזוקה של תהליך ניהול אירועים והתראות</v>
      </c>
      <c r="F108" s="232" t="str">
        <f ca="1"/>
        <v>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v>
      </c>
      <c r="G108" s="192" t="str">
        <f ca="1"/>
        <v>-</v>
      </c>
      <c r="H108" s="192" t="str">
        <f ca="1"/>
        <v>-</v>
      </c>
      <c r="I108" s="272" t="str">
        <f ca="1"/>
        <v>-</v>
      </c>
      <c r="J108" s="273" t="str">
        <f ca="1"/>
        <v>-</v>
      </c>
      <c r="K108" s="273" t="str">
        <f ca="1"/>
        <v>-</v>
      </c>
      <c r="L108" s="273" t="str">
        <f ca="1"/>
        <v>-</v>
      </c>
      <c r="M108" s="192" t="str">
        <f ca="1"/>
        <v/>
      </c>
      <c r="N108" s="192" t="str">
        <f ca="1"/>
        <v>ארגוני</v>
      </c>
      <c r="O108" s="192" t="str">
        <f ca="1"/>
        <v>-</v>
      </c>
      <c r="P108" s="28"/>
    </row>
    <row r="109" spans="1:16" ht="409.5">
      <c r="A109" s="28"/>
      <c r="B109" s="192">
        <f ca="1"/>
        <v>8.1999999999999993</v>
      </c>
      <c r="C109" s="192" t="str">
        <f ca="1"/>
        <v>Network</v>
      </c>
      <c r="D109" s="192" t="str">
        <f ca="1"/>
        <v>Detect</v>
      </c>
      <c r="E109" s="192" t="str">
        <f ca="1"/>
        <v>איסוף אירועים והתראות</v>
      </c>
      <c r="F109" s="232" t="str">
        <f ca="1"/>
        <v>Collect audit logs. Ensure that logging, per the enterprise’s audit log management process, has been enabled across enterprise assets.</v>
      </c>
      <c r="G109" s="192" t="str">
        <f ca="1"/>
        <v>2.1 Ensure That Cloud Audit Logging Is Configured Properly (Automated)</v>
      </c>
      <c r="H109" s="192" t="str">
        <f ca="1"/>
        <v>It is recommended that Cloud Audit Logging is configured to track all admin activities and read, write access to user data.
Default Value:
Admin Activity logs are always enabled. They cannot be disabled. Data Access audit logs are disabled by default because they can be quite large.</v>
      </c>
      <c r="I109" s="272" t="str">
        <f ca="1"/>
        <v>2.1</v>
      </c>
      <c r="J109" s="273" t="str">
        <f ca="1"/>
        <v>Cloud Audit Logging maintains two audit logs for each project, folder, and organization: Admin Activity and Data Access.
1. Admin Activity logs contain log entries for API calls or other administrative actions that modify the configuration or metadata of resources. Admin Activity audit logs are enabled for all services and cannot be configured.
2. Data Access audit logs record API calls that create, modify, or read user-provided data. These are disabled by default and should be enabled.
There are three kinds of Data Access audit log information:
o Admin read: Records operations that read metadata or configuration information. Admin Activity audit logs record writes of metadata and configuration information that cannot be disabled.
o Data read: Records operations that read user-provided data.
o Data write: Records operations that write user-provided data.
It is recommended to have an effective default audit config configured in such a way that:
1. logtype is set to DATA_READ (to log user activity tracking) and DATA_WRITES (to log changes/tampering to user data).
2. audit config is enabled for all the services supported by the Data Access audit logs feature.
3. Logs should be captured for all users, i.e., there are no exempted users in any of the audit config sections. This will ensure overriding the audit config will not contradict the requirement.
Impact:
There is no charge for Admin Activity audit logs. Enabling the Data Access audit logs might result in your project being charged for the additional logs usage.</v>
      </c>
      <c r="K109" s="273" t="str">
        <f ca="1"/>
        <v>From Google Cloud Console
1. Go to Audit Logs by visiting https://console.cloud.google.com/iam-admin/audit.
2. Follow the steps at https://cloud.google.com/logging/docs/audit/configure-data-access to enable audit logs for all Google Cloud services. Ensure that no exemptions are allowed.
From Google Cloud CLI
1. To read the project's IAM policy and store it in a file run a command: gcloud projects get-iam-policy PROJECT_ID &gt; /tmp/project_policy.yaml
Alternatively, the policy can be set at the organization or folder level. If setting the policy at the organization level, it is not necessary to also set it for each folder or project. gcloud organizations get-iam-policy ORGANIZATION_ID &gt; /tmp/org_policy.yaml gcloud resource-manager folders get-iam-policy FOLDER_ID &gt; /tmp/folder_policy.yaml
2. Edit policy in /tmp/policy.yaml, adding or changing only the audit logs configuration to: Note: Admin Activity Logs are enabled by default, and cannot be disabled. So they are not listed in these configuration changes. auditConfigs: - auditLogConfigs: - logType: DATA_WRITE - logType: DATA_READ service: allServices
Note: exemptedMembers: is not set as audit logging should be enabled for all the users
3. To write new IAM policy run command: gcloud organizations set-iam-policy ORGANIZATION_ID /tmp/org_policy.yaml gcloud resource-manager folders set-iam-policy FOLDER_ID /tmp/folder_policy.yaml gcloud projects set-iam-policy PROJECT_ID /tmp/project_policy.yaml
If the preceding command reports a conflict with another change, then repeat these steps, starting with the first step.</v>
      </c>
      <c r="L109" s="273" t="str">
        <f ca="1"/>
        <v>1. https://cloud.google.com/logging/docs/audit/
2. https://cloud.google.com/logging/docs/audit/configure-data-access</v>
      </c>
      <c r="M109" s="192" t="str">
        <f ca="1"/>
        <v>v</v>
      </c>
      <c r="N109" s="192" t="str">
        <f ca="1"/>
        <v>ארגוני</v>
      </c>
      <c r="O109" s="192" t="str">
        <f ca="1"/>
        <v>v</v>
      </c>
      <c r="P109" s="28"/>
    </row>
    <row r="110" spans="1:16" ht="409.5">
      <c r="A110" s="28"/>
      <c r="B110" s="192">
        <f ca="1"/>
        <v>8.1999999999999993</v>
      </c>
      <c r="C110" s="192" t="str">
        <f ca="1"/>
        <v>Network</v>
      </c>
      <c r="D110" s="192" t="str">
        <f ca="1"/>
        <v>Detect</v>
      </c>
      <c r="E110" s="192" t="str">
        <f ca="1"/>
        <v>איסוף אירועים והתראות</v>
      </c>
      <c r="F110" s="232" t="str">
        <f ca="1"/>
        <v>Collect audit logs. Ensure that logging, per the enterprise’s audit log management process, has been enabled across enterprise assets.</v>
      </c>
      <c r="G110" s="192" t="str">
        <f ca="1"/>
        <v>2.2 Ensure That Sinks Are Configured for All Log Entries (Automated)</v>
      </c>
      <c r="H110" s="192" t="str">
        <f ca="1"/>
        <v>It is recommended to create a sink that will export copies of all the log entries. This can help aggregate logs from multiple projects and export them to a Security Information and Event Management (SIEM).
Default Value:
By default, there are no sinks configured.</v>
      </c>
      <c r="I110" s="272" t="str">
        <f ca="1"/>
        <v>2.2</v>
      </c>
      <c r="J110" s="273" t="str">
        <f ca="1"/>
        <v>Log entries are held in Cloud Logging. To aggregate logs, export them to a SIEM. To keep them longer, it is recommended to set up a log sink. Exporting involves writing a filter that selects the log entries to export, and choosing a destination in Cloud Storage, BigQuery, or Cloud Pub/Sub. The filter and destination are held in an object called a sink. To ensure all log entries are exported to sinks, ensure that there is no filter configured for a sink. Sinks can be created in projects, organizations, folders, and billing accounts.
Impact:
There are no costs or limitations in Cloud Logging for exporting logs, but the export destinations charge for storing or transmitting the log data.</v>
      </c>
      <c r="K110" s="273" t="str">
        <f ca="1"/>
        <v>From Google Cloud Console
1. Go to Logs Router by visiting https://console.cloud.google.com/logs/router.
2. Click on the arrow symbol with CREATE SINK text.
3. Fill out the fields for Sink details.
4. Choose Cloud Logging bucket in the Select sink destination drop down menu.
5. Choose a log bucket in the next drop down menu.
6. If an inclusion filter is not provided for this sink, all ingested logs will be routed to the destination provided above. This may result in higher than expected resource usage.
7. Click Create Sink.
For more information, see https://cloud.google.com/logging/docs/export/configure_export_v2#dest-create.
From Google Cloud CLI To create a sink to export all log entries in a Google Cloud Storage bucket: gcloud logging sinks create &lt;sink-name&gt; storage.googleapis.com/DESTINATION_BUCKET_NAME
Sinks can be created for a folder or organization, which will include all projects. gcloud logging sinks create &lt;sink-name&gt; storage.googleapis.com/DESTINATION_BUCKET_NAME --include-children --folder=FOLDER_ID | --organization=ORGANIZATION_ID
Note:
1. A sink created by the command-line above will export logs in storage buckets. However, sinks can be configured to export logs into BigQuery, or Cloud Pub/Sub, or Custom Destination.
2. While creating a sink, the sink option --log-filter is not used to ensure the sink exports all log entries.
3. A sink can be created at a folder or organization level that collects the logs of all the projects underneath bypassing the option --include-children in the gcloud command.</v>
      </c>
      <c r="L110" s="273" t="str">
        <f ca="1"/>
        <v>1. https://cloud.google.com/logging/docs/reference/tools/gcloud-logging
2. https://cloud.google.com/logging/quotas
3. https://cloud.google.com/logging/docs/routing/overview
4. https://cloud.google.com/logging/docs/export/using_exported_logs
5. https://cloud.google.com/logging/docs/export/configure_export_v2
6. https://cloud.google.com/logging/docs/export/aggregated_exports
7. https://cloud.google.com/sdk/gcloud/reference/beta/logging/sinks/list</v>
      </c>
      <c r="M110" s="192" t="str">
        <f ca="1"/>
        <v>v</v>
      </c>
      <c r="N110" s="192" t="str">
        <f ca="1"/>
        <v>ארגוני</v>
      </c>
      <c r="O110" s="192" t="str">
        <f ca="1"/>
        <v>v</v>
      </c>
      <c r="P110" s="28"/>
    </row>
    <row r="111" spans="1:16" ht="409.5">
      <c r="A111" s="28"/>
      <c r="B111" s="192">
        <f ca="1"/>
        <v>8.1999999999999993</v>
      </c>
      <c r="C111" s="192" t="str">
        <f ca="1"/>
        <v>Network</v>
      </c>
      <c r="D111" s="192" t="str">
        <f ca="1"/>
        <v>Detect</v>
      </c>
      <c r="E111" s="192" t="str">
        <f ca="1"/>
        <v>איסוף אירועים והתראות</v>
      </c>
      <c r="F111" s="232" t="str">
        <f ca="1"/>
        <v>Collect audit logs. Ensure that logging, per the enterprise’s audit log management process, has been enabled across enterprise assets.</v>
      </c>
      <c r="G111" s="192" t="str">
        <f ca="1"/>
        <v>2.4 Ensure Log Metric Filter and Alerts Exist for Project Ownership Assignments/Changes (Automated)</v>
      </c>
      <c r="H111" s="192" t="str">
        <f ca="1"/>
        <v>In order to prevent unnecessary project ownership assignments to users/service-accounts and further misuses of projects and resources, all roles/Owner assignments should be monitored.
Members (users/Service-Accounts) with a role assignment to primitive role roles/Owner are project owners.
The project owner has all the privileges on the project the role belongs to. These are summarized below:
• All viewer permissions on all GCP Services within the project
• Permissions for actions that modify the state of all GCP services within the project
• Manage roles and permissions for a project and all resources within the project
• Set up billing for a project
Granting the owner role to a member (user/Service-Account) will allow that member to modify the Identity and Access Management (IAM) policy. Therefore, grant the owner role only if the member has a legitimate purpose to manage the IAM policy. This is because the project IAM policy contains sensitive access control data. Having a minimal set of users allowed to manage IAM policy will simplify any auditing that may be necessary.</v>
      </c>
      <c r="I111" s="272" t="str">
        <f ca="1"/>
        <v>2.4</v>
      </c>
      <c r="J111" s="273" t="str">
        <f ca="1"/>
        <v>Project ownership has the highest level of privileges on a project. To avoid misuse of project resources, the project ownership assignment/change actions mentioned above should be monitored and alerted to concerned recipients.
• Sending project ownership invites
• Acceptance/Rejection of project ownership invite by user
• Adding role\Owner` to a user/service-account
• Removing a user/Service account from `role\Owner`
Impact:
Enabling of logging may result in your project being charged for the additional logs usage.</v>
      </c>
      <c r="K111"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(protoPayload.serviceName="cloudresourcemanager.googleapis.com") AND (ProjectOwnership OR projectOwnerInvitee) OR (protoPayload.serviceData.policyDelta.bindingDeltas.action="REMOVE" AND protoPayload.serviceData.policyDelta.bindingDeltas.role="roles/owner") OR (protoPayload.serviceData.policyDelta.bindingDeltas.action="ADD" AND protoPayload.serviceData.policyDelta.bindingDeltas.role="roles/owner")
4. Click Submit Filter. The logs display based on the filter text entered by the user.
5. In the Metric Editor menu on the right, fill out the name field. Set Units to 1 (default) and the Type to Counter. This ensures that the log metric counts the number of log entries matching the advanced logs query.
6. Click Create Metric.
Create the display prescribed Alert Policy:
1. Identify the newly created metric under the section User-defined Metrics at https://console.cloud.google.com/logs/metrics.
2. Click the 3-dot icon in the rightmost column for the desired metric and select Create alert from Metric. A new page opens.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a prescribed Log Metric:
• Use the command: gcloud beta logging metrics create
• Reference for Command Usage: https://cloud.google.com/sdk/gcloud/reference/beta/logging/metrics/create
Create prescribed Alert Policy
• Use the command: gcloud alpha monitoring policies create
• Reference for Command Usage: https://cloud.google.com/sdk/gcloud/reference/alpha/monitoring/policies/create</v>
      </c>
      <c r="L111" s="273" t="str">
        <f ca="1"/>
        <v>1. https://cloud.google.com/logging/docs/logs-based-metrics/
2. https://cloud.google.com/monitoring/custom-metrics/
3. https://cloud.google.com/monitoring/alerts/
4. https://cloud.google.com/logging/docs/reference/tools/gcloud-logging</v>
      </c>
      <c r="M111" s="192" t="str">
        <f ca="1"/>
        <v>v</v>
      </c>
      <c r="N111" s="192" t="str">
        <f ca="1"/>
        <v>מערכת</v>
      </c>
      <c r="O111" s="192" t="str">
        <f ca="1"/>
        <v>-</v>
      </c>
      <c r="P111" s="28"/>
    </row>
    <row r="112" spans="1:16" ht="409.5">
      <c r="A112" s="28"/>
      <c r="B112" s="192">
        <f ca="1"/>
        <v>8.1999999999999993</v>
      </c>
      <c r="C112" s="192" t="str">
        <f ca="1"/>
        <v>Network</v>
      </c>
      <c r="D112" s="192" t="str">
        <f ca="1"/>
        <v>Detect</v>
      </c>
      <c r="E112" s="192" t="str">
        <f ca="1"/>
        <v>איסוף אירועים והתראות</v>
      </c>
      <c r="F112" s="232" t="str">
        <f ca="1"/>
        <v>Collect audit logs. Ensure that logging, per the enterprise’s audit log management process, has been enabled across enterprise assets.</v>
      </c>
      <c r="G112" s="192" t="str">
        <f ca="1"/>
        <v>2.5 Ensure That the Log Metric Filter and Alerts Exist for Audit Configuration Changes (Automated)</v>
      </c>
      <c r="H112" s="192" t="str">
        <f ca="1"/>
        <v>Google Cloud Platform (GCP) services write audit log entries to the Admin Activity and Data Access logs to help answer the questions of, "who did what, where, and when?" within GCP projects.
Cloud audit logging records information includes the identity of the API caller, the time of the API call, the source IP address of the API caller, the request parameters, and the response elements returned by GCP services. Cloud audit logging provides a history of GCP API calls for an account, including API calls made via the console, SDKs, command-line tools, and other GCP services.</v>
      </c>
      <c r="I112" s="272" t="str">
        <f ca="1"/>
        <v>2.5</v>
      </c>
      <c r="J112" s="273" t="str">
        <f ca="1"/>
        <v>Admin activity and data access logs produced by cloud audit logging enable security analysis, resource change tracking, and compliance auditing.
Configuring the metric filter and alerts for audit configuration changes ensures the recommended state of audit configuration is maintained so that all activities in the project are audit-able at any point in time.
Impact:
Enabling of logging may result in your project being charged for the additional logs usage.</v>
      </c>
      <c r="K112"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protoPayload.methodName="SetIamPolicy" AND protoPayload.serviceData.policyDelta.auditConfigDeltas:*
4. Click Submit Filter. Display logs appear based on the filter text entered by the user.
5. In the Metric Editor menu on the right, fill out the name field. Set Units to 1 (default) and Type to Counter. This will ensure that the log metric counts the number of log entries matching the user's advanced logs query.
6. Click Create Metric.
Create a prescribed Alert Policy:
1. Identify the new metric the user just created, under the section User-defined Metrics at https://console.cloud.google.com/logs/metrics.
2. Click the 3-dot icon in the rightmost column for the new metric and select Create alert from Metric. A new page opens.
3. Fill out the alert policy configuration and click Save. Choose the alerting threshold and configuration that makes sense for the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a prescribed Log Metric:
• Use the command: gcloud beta logging metrics create
• Reference for command usage: https://cloud.google.com/sdk/gcloud/reference/beta/logging/metrics/create
Create prescribed Alert Policy
• Use the command: gcloud alpha monitoring policies create
• Reference for command usage: https://cloud.google.com/sdk/gcloud/reference/alpha/monitoring/policies/create</v>
      </c>
      <c r="L112" s="273" t="str">
        <f ca="1"/>
        <v>1. https://cloud.google.com/logging/docs/logs-based-metrics/
2. https://cloud.google.com/monitoring/custom-metrics/
3. https://cloud.google.com/monitoring/alerts/
4. https://cloud.google.com/logging/docs/reference/tools/gcloud-logging
5. https://cloud.google.com/logging/docs/audit/configure-data-access#getiampolicy-setiampolicy</v>
      </c>
      <c r="M112" s="192" t="str">
        <f ca="1"/>
        <v>v</v>
      </c>
      <c r="N112" s="192" t="str">
        <f ca="1"/>
        <v>מערכת</v>
      </c>
      <c r="O112" s="192" t="str">
        <f ca="1"/>
        <v>-</v>
      </c>
      <c r="P112" s="28"/>
    </row>
    <row r="113" spans="1:16" ht="409.5">
      <c r="A113" s="28"/>
      <c r="B113" s="192">
        <f ca="1"/>
        <v>8.1999999999999993</v>
      </c>
      <c r="C113" s="192" t="str">
        <f ca="1"/>
        <v>Network</v>
      </c>
      <c r="D113" s="192" t="str">
        <f ca="1"/>
        <v>Detect</v>
      </c>
      <c r="E113" s="192" t="str">
        <f ca="1"/>
        <v>איסוף אירועים והתראות</v>
      </c>
      <c r="F113" s="232" t="str">
        <f ca="1"/>
        <v>Collect audit logs. Ensure that logging, per the enterprise’s audit log management process, has been enabled across enterprise assets.</v>
      </c>
      <c r="G113" s="192" t="str">
        <f ca="1"/>
        <v>2.6 Ensure That the Log Metric Filter and Alerts Exist for Custom Role Changes (Automated)</v>
      </c>
      <c r="H113" s="192" t="str">
        <f ca="1"/>
        <v>It is recommended that a metric filter and alarm be established for changes to Identity and Access Management (IAM) role creation, deletion and updating activities.</v>
      </c>
      <c r="I113" s="272" t="str">
        <f ca="1"/>
        <v>2.6</v>
      </c>
      <c r="J113" s="273" t="str">
        <f ca="1"/>
        <v>Google Cloud IAM provides predefined roles that give granular access to specific Google Cloud Platform resources and prevent unwanted access to other resources. However, to cater to organization-specific needs, Cloud IAM also provides the ability to create custom roles. Project owners and administrators with the Organization Role Administrator role or the IAM Role Administrator role can create custom roles. Monitoring role creation, deletion and updating activities will help in identifying any over-privileged role at early stages.
Impact:
Enabling of logging may result in your project being charged for the additional logs usage.</v>
      </c>
      <c r="K113" s="273" t="str">
        <f ca="1"/>
        <v>From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resource.type="iam_role" AND (protoPayload.methodName = "google.iam.admin.v1.CreateRole" OR protoPayload.methodName="google.iam.admin.v1.DeleteRole" OR protoPayload.methodName="google.iam.admin.v1.UpdateRole")
4. Click Submit Filter. Display logs appear based on the filter text entered by the user.
5. In the Metric Editor menu on the right, fill out the name field. Set Units to 1 (default) and Type to Counter. This ensures that the log metric counts the number of log entries matching the advanced logs query.
6. Click Create Metric.
Create a prescribed Alert Policy:
1. Identify the new metric that was just created under the section User-defined Metrics at https://console.cloud.google.com/logs/metrics.
2. Click the 3-dot icon in the rightmost column for the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v>
      </c>
      <c r="L113" s="273" t="str">
        <f ca="1"/>
        <v>1. https://cloud.google.com/logging/docs/logs-based-metrics/
2. https://cloud.google.com/monitoring/custom-metrics/
3. https://cloud.google.com/monitoring/alerts/
4. https://cloud.google.com/logging/docs/reference/tools/gcloud-logging
5. https://cloud.google.com/iam/docs/understanding-custom-roles</v>
      </c>
      <c r="M113" s="192" t="str">
        <f ca="1"/>
        <v>v</v>
      </c>
      <c r="N113" s="192" t="str">
        <f ca="1"/>
        <v>מערכת</v>
      </c>
      <c r="O113" s="192" t="str">
        <f ca="1"/>
        <v>-</v>
      </c>
      <c r="P113" s="28"/>
    </row>
    <row r="114" spans="1:16" ht="409.5">
      <c r="A114" s="28"/>
      <c r="B114" s="192">
        <f ca="1"/>
        <v>8.1999999999999993</v>
      </c>
      <c r="C114" s="192" t="str">
        <f ca="1"/>
        <v>Network</v>
      </c>
      <c r="D114" s="192" t="str">
        <f ca="1"/>
        <v>Detect</v>
      </c>
      <c r="E114" s="192" t="str">
        <f ca="1"/>
        <v>איסוף אירועים והתראות</v>
      </c>
      <c r="F114" s="232" t="str">
        <f ca="1"/>
        <v>Collect audit logs. Ensure that logging, per the enterprise’s audit log management process, has been enabled across enterprise assets.</v>
      </c>
      <c r="G114" s="192" t="str">
        <f ca="1"/>
        <v>2.7 Ensure That the Log Metric Filter and Alerts Exist for VPC Network Firewall Rule Changes (Automated)</v>
      </c>
      <c r="H114" s="192" t="str">
        <f ca="1"/>
        <v>It is recommended that a metric filter and alarm be established for Virtual Private Cloud (VPC) Network Firewall rule changes.</v>
      </c>
      <c r="I114" s="272" t="str">
        <f ca="1"/>
        <v>2.7</v>
      </c>
      <c r="J114" s="273" t="str">
        <f ca="1"/>
        <v>Monitoring for Create or Update Firewall rule events gives insight to network access changes and may reduce the time it takes to detect suspicious activity.
Impact:
Enabling of logging may result in your project being charged for the additional logs usage. These charges could be significant depending on the size of the organization.</v>
      </c>
      <c r="K114"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resource.type="gce_firewall_rule" AND (protoPayload.methodName:"compute.firewalls.patch" OR protoPayload.methodName:"compute.firewalls.insert" OR protoPayload.methodName:"compute.firewalls.delete")
4. Click Submit Filter. Display logs appear based on the filter text entered by the user.
5. In the Metric Editor menu on the right, fill out the name field. Set Units to 1 (default) and Type to Counter. This ensures that the log metric counts the number of log entries matching the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the prescribed Log Metric
• Use the command: gcloud logging metrics create
Create the prescribed alert policy:
• Use the command: gcloud alpha monitoring policies create</v>
      </c>
      <c r="L114" s="273" t="str">
        <f ca="1"/>
        <v>1. https://cloud.google.com/logging/docs/logs-based-metrics/
2. https://cloud.google.com/monitoring/custom-metrics/
3. https://cloud.google.com/monitoring/alerts/
4. https://cloud.google.com/logging/docs/reference/tools/gcloud-logging
5. https://cloud.google.com/vpc/docs/firewalls</v>
      </c>
      <c r="M114" s="192" t="str">
        <f ca="1"/>
        <v>v</v>
      </c>
      <c r="N114" s="192" t="str">
        <f ca="1"/>
        <v>מערכת</v>
      </c>
      <c r="O114" s="192" t="str">
        <f ca="1"/>
        <v>-</v>
      </c>
      <c r="P114" s="28"/>
    </row>
    <row r="115" spans="1:16" ht="409.5">
      <c r="A115" s="28"/>
      <c r="B115" s="192">
        <f ca="1"/>
        <v>8.1999999999999993</v>
      </c>
      <c r="C115" s="192" t="str">
        <f ca="1"/>
        <v>Network</v>
      </c>
      <c r="D115" s="192" t="str">
        <f ca="1"/>
        <v>Detect</v>
      </c>
      <c r="E115" s="192" t="str">
        <f ca="1"/>
        <v>איסוף אירועים והתראות</v>
      </c>
      <c r="F115" s="232" t="str">
        <f ca="1"/>
        <v>Collect audit logs. Ensure that logging, per the enterprise’s audit log management process, has been enabled across enterprise assets.</v>
      </c>
      <c r="G115" s="192" t="str">
        <f ca="1"/>
        <v>2.8 Ensure That the Log Metric Filter and Alerts Exist for VPC Network Route Changes (Automated)</v>
      </c>
      <c r="H115" s="192" t="str">
        <f ca="1"/>
        <v>It is recommended that a metric filter and alarm be established for Virtual Private Cloud (VPC) network route changes.</v>
      </c>
      <c r="I115" s="272" t="str">
        <f ca="1"/>
        <v>2.8</v>
      </c>
      <c r="J115" s="273" t="str">
        <f ca="1"/>
        <v>Google Cloud Platform (GCP) routes define the paths network traffic takes from a VM instance to another destination. The other destination can be inside the organization VPC network (such as another VM) or outside of it. Every route consists of a destination and a next hop. Traffic whose destination IP is within the destination range is sent to the next hop for delivery.
Monitoring changes to route tables will help ensure that all VPC traffic flows through an expected path.
Impact:
Enabling of logging may result in your project being charged for the additional logs usage. These charges could be significant depending on the size of the organization.</v>
      </c>
      <c r="K115"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resource.type="gce_route" AND (protoPayload.methodName:"compute.routes.delete" OR protoPayload.methodName:"compute.routes.insert")
4. Click Submit Filter. Display logs appear based on the filter text entered by the user.
5. In the Metric Editor menu on the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the alert policy:
• Use the command: gcloud alpha monitoring policies create</v>
      </c>
      <c r="L115" s="273" t="str">
        <f ca="1"/>
        <v>References:
1. https://cloud.google.com/logging/docs/logs-based-metrics/
2. https://cloud.google.com/monitoring/custom-metrics/
3. https://cloud.google.com/monitoring/alerts/
4. https://cloud.google.com/logging/docs/reference/tools/gcloud-logging
5. https://cloud.google.com/storage/docs/access-control/iam
6. https://cloud.google.com/sdk/gcloud/reference/beta/logging/metrics/create
7. https://cloud.google.com/sdk/gcloud/reference/alpha/monitoring/policies/create</v>
      </c>
      <c r="M115" s="192" t="str">
        <f ca="1"/>
        <v>v</v>
      </c>
      <c r="N115" s="192" t="str">
        <f ca="1"/>
        <v>מערכת</v>
      </c>
      <c r="O115" s="192" t="str">
        <f ca="1"/>
        <v>-</v>
      </c>
      <c r="P115" s="28"/>
    </row>
    <row r="116" spans="1:16" ht="409.5">
      <c r="A116" s="28"/>
      <c r="B116" s="192">
        <f ca="1"/>
        <v>8.1999999999999993</v>
      </c>
      <c r="C116" s="192" t="str">
        <f ca="1"/>
        <v>Network</v>
      </c>
      <c r="D116" s="192" t="str">
        <f ca="1"/>
        <v>Detect</v>
      </c>
      <c r="E116" s="192" t="str">
        <f ca="1"/>
        <v>איסוף אירועים והתראות</v>
      </c>
      <c r="F116" s="232" t="str">
        <f ca="1"/>
        <v>Collect audit logs. Ensure that logging, per the enterprise’s audit log management process, has been enabled across enterprise assets.</v>
      </c>
      <c r="G116" s="192" t="str">
        <f ca="1"/>
        <v>2.9 Ensure That the Log Metric Filter and Alerts Exist for VPC Network Changes (Automated)</v>
      </c>
      <c r="H116" s="192" t="str">
        <f ca="1"/>
        <v>It is recommended that a metric filter and alarm be established for Virtual Private Cloud (VPC) network changes.</v>
      </c>
      <c r="I116" s="272" t="str">
        <f ca="1"/>
        <v>2.9</v>
      </c>
      <c r="J116" s="273" t="str">
        <f ca="1"/>
        <v>It is possible to have more than one VPC within a project. In addition, it is also possible to create a peer connection between two VPCs enabling network traffic to route between VPCs.
Monitoring changes to a VPC will help ensure VPC traffic flow is not getting impacted.
Impact:
Enabling of logging may result in your project being charged for the additional logs usage. These charges could be significant depending on the size of the organization.</v>
      </c>
      <c r="K116" s="273" t="str">
        <f ca="1"/>
        <v>1. Go to Logging/Logs-based Metrics by visiting https://console.cloud.google.com/logs/metrics and click "CREATE METRIC".
2. Click the down arrow symbol on Filter Bar at the rightmost corner and select Convert to Advanced Filter.
3. Clear any text and add:
resource.type="gce_network" AND (protoPayload.methodName:"compute.networks.insert" OR protoPayload.methodName:"compute.networks.patch" OR protoPayload.methodName:"compute.networks.delete" OR protoPayload.methodName:"compute.networks.removePeering" OR protoPayload.methodName:"compute.networks.addPeering")
4. Click Submit Filter. Display logs appear based on the filter text entered by the user.
5. In the Metric Editor menu on the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0 for the most recent value will ensure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v>
      </c>
      <c r="L116" s="273" t="str">
        <f ca="1"/>
        <v>1. https://cloud.google.com/logging/docs/logs-based-metrics/
2. https://cloud.google.com/monitoring/custom-metrics/
3. https://cloud.google.com/monitoring/alerts/
4. https://cloud.google.com/logging/docs/reference/tools/gcloud-logging
5. https://cloud.google.com/vpc/docs/overview</v>
      </c>
      <c r="M116" s="192" t="str">
        <f ca="1"/>
        <v>v</v>
      </c>
      <c r="N116" s="192" t="str">
        <f ca="1"/>
        <v>מערכת</v>
      </c>
      <c r="O116" s="192" t="str">
        <f ca="1"/>
        <v>-</v>
      </c>
      <c r="P116" s="28"/>
    </row>
    <row r="117" spans="1:16" ht="409.5">
      <c r="A117" s="28"/>
      <c r="B117" s="192">
        <f ca="1"/>
        <v>8.1999999999999993</v>
      </c>
      <c r="C117" s="192" t="str">
        <f ca="1"/>
        <v>Network</v>
      </c>
      <c r="D117" s="192" t="str">
        <f ca="1"/>
        <v>Detect</v>
      </c>
      <c r="E117" s="192" t="str">
        <f ca="1"/>
        <v>איסוף אירועים והתראות</v>
      </c>
      <c r="F117" s="232" t="str">
        <f ca="1"/>
        <v>Collect audit logs. Ensure that logging, per the enterprise’s audit log management process, has been enabled across enterprise assets.</v>
      </c>
      <c r="G117" s="192" t="str">
        <f ca="1"/>
        <v>2.10 Ensure That the Log Metric Filter and Alerts Exist for Cloud Storage IAM Permission Changes (Automated)</v>
      </c>
      <c r="H117" s="192" t="str">
        <f ca="1"/>
        <v>It is recommended that a metric filter and alarm be established for Cloud Storage Bucket IAM changes.</v>
      </c>
      <c r="I117" s="272" t="str">
        <f ca="1"/>
        <v>2.10</v>
      </c>
      <c r="J117" s="273" t="str">
        <f ca="1"/>
        <v>Monitoring changes to cloud storage bucket permissions may reduce the time needed to detect and correct permissions on sensitive cloud storage buckets and objects inside the bucket.
Impact:
Enabling of logging may result in your project being charged for the additional logs usage. These charges could be significant depending on the size of the organization.</v>
      </c>
      <c r="K117"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resource.type="gcs_bucket" AND protoPayload.methodName="storage.setIamPermissions"
4. Click Submit Filter. Display logs appear based on the filter text entered by the user.
5. In the Metric Editor menu on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the prescribed Log Metric:
• Use the command: gcloud beta logging metrics create
Create the prescribed alert policy:
• Use the command: gcloud alpha monitoring policies create</v>
      </c>
      <c r="L117" s="273" t="str">
        <f ca="1"/>
        <v>1. https://cloud.google.com/logging/docs/logs-based-metrics/
2. https://cloud.google.com/monitoring/custom-metrics/
3. https://cloud.google.com/monitoring/alerts/
4. https://cloud.google.com/logging/docs/reference/tools/gcloud-logging
5. https://cloud.google.com/storage/docs/overview
6. https://cloud.google.com/storage/docs/access-control/iam-roles</v>
      </c>
      <c r="M117" s="192" t="str">
        <f ca="1"/>
        <v>v</v>
      </c>
      <c r="N117" s="192" t="str">
        <f ca="1"/>
        <v>מערכת</v>
      </c>
      <c r="O117" s="192" t="str">
        <f ca="1"/>
        <v>-</v>
      </c>
      <c r="P117" s="28"/>
    </row>
    <row r="118" spans="1:16" ht="409.5">
      <c r="A118" s="28"/>
      <c r="B118" s="192">
        <f ca="1"/>
        <v>8.1999999999999993</v>
      </c>
      <c r="C118" s="192" t="str">
        <f ca="1"/>
        <v>Network</v>
      </c>
      <c r="D118" s="192" t="str">
        <f ca="1"/>
        <v>Detect</v>
      </c>
      <c r="E118" s="192" t="str">
        <f ca="1"/>
        <v>איסוף אירועים והתראות</v>
      </c>
      <c r="F118" s="232" t="str">
        <f ca="1"/>
        <v>Collect audit logs. Ensure that logging, per the enterprise’s audit log management process, has been enabled across enterprise assets.</v>
      </c>
      <c r="G118" s="192" t="str">
        <f ca="1"/>
        <v>2.11 Ensure That the Log Metric Filter and Alerts Exist for SQL Instance Configuration Changes (Automated)</v>
      </c>
      <c r="H118" s="192" t="str">
        <f ca="1"/>
        <v xml:space="preserve">It is recommended that a metric filter and alarm be established for SQL instance configuration changes.
</v>
      </c>
      <c r="I118" s="272" t="str">
        <f ca="1"/>
        <v>2.11</v>
      </c>
      <c r="J118" s="273" t="str">
        <f ca="1"/>
        <v>Monitoring changes to SQL instance configuration changes may reduce the time needed to detect and correct misconfigurations done on the SQL server.
Below are a few of the configurable options which may the impact security posture of an SQL instance:
• Enable auto backups and high availability: Misconfiguration may adversely impact business continuity, disaster recovery, and high availability
• Authorize networks: Misconfiguration may increase exposure to untrusted networks
Impact:
Enabling of logging may result in your project being charged for the additional logs usage. These charges could be significant depending on the size of the organization.</v>
      </c>
      <c r="K118"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protoPayload.methodName="cloudsql.instances.update"
4. Click Submit Filter. Display logs appear based on the filter text entered by the user.
5. In the Metric Editor menu on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user's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
• Reference for command usage: https://cloud.google.com/sdk/gcloud/reference/alpha/monitoring/policies/create</v>
      </c>
      <c r="L118" s="273" t="str">
        <f ca="1"/>
        <v>1. https://cloud.google.com/logging/docs/logs-based-metrics/
2. https://cloud.google.com/monitoring/custom-metrics/
3. https://cloud.google.com/monitoring/alerts/
4. https://cloud.google.com/logging/docs/reference/tools/gcloud-logging
5. https://cloud.google.com/storage/docs/overview
6. https://cloud.google.com/sql/docs/
7. https://cloud.google.com/sql/docs/mysql/
8. https://cloud.google.com/sql/docs/postgres/</v>
      </c>
      <c r="M118" s="192" t="str">
        <f ca="1"/>
        <v>v</v>
      </c>
      <c r="N118" s="192" t="str">
        <f ca="1"/>
        <v>מערכת</v>
      </c>
      <c r="O118" s="192" t="str">
        <f ca="1"/>
        <v>-</v>
      </c>
      <c r="P118" s="28"/>
    </row>
    <row r="119" spans="1:16" ht="256.5">
      <c r="A119" s="28"/>
      <c r="B119" s="192">
        <f ca="1"/>
        <v>8.1999999999999993</v>
      </c>
      <c r="C119" s="192" t="str">
        <f ca="1"/>
        <v>Network</v>
      </c>
      <c r="D119" s="192" t="str">
        <f ca="1"/>
        <v>Detect</v>
      </c>
      <c r="E119" s="192" t="str">
        <f ca="1"/>
        <v>איסוף אירועים והתראות</v>
      </c>
      <c r="F119" s="232" t="str">
        <f ca="1"/>
        <v>Collect audit logs. Ensure that logging, per the enterprise’s audit log management process, has been enabled across enterprise assets.</v>
      </c>
      <c r="G119" s="192" t="str">
        <f ca="1"/>
        <v>2.12 Ensure That Cloud DNS Logging Is Enabled for All VPC Networks (Automated)</v>
      </c>
      <c r="H119" s="192" t="str">
        <f ca="1"/>
        <v>Cloud DNS logging records the queries from the name servers within your VPC to Stackdriver. Logged queries can come from Compute Engine VMs, GKE containers, or other GCP resources provisioned within the VPC.</v>
      </c>
      <c r="I119" s="272" t="str">
        <f ca="1"/>
        <v>2.12</v>
      </c>
      <c r="J119" s="273" t="str">
        <f ca="1"/>
        <v>Security monitoring and forensics cannot depend solely on IP addresses from VPC flow logs, especially when considering the dynamic IP usage of cloud resources, HTTP virtual host routing, and other technology that can obscure the DNS name used by a client from the IP address. Monitoring of Cloud DNS logs provides visibility to DNS names requested by the clients within the VPC. These logs can be monitored for anomalous domain names, evaluated against threat intelligence, and
Note: For full capture of DNS, firewall must block egress UDP/53 (DNS) and TCP/443 (DNS over HTTPS) to prevent client from using external DNS name server for resolution.
Impact:
Enabling of Cloud DNS logging might result in your project being charged for the additional logs usage.</v>
      </c>
      <c r="K119" s="273" t="str">
        <f ca="1"/>
        <v>From Google Cloud CLI Add New DNS Policy With Logging Enabled For each VPC network that needs a DNS policy with logging enabled: gcloud dns policies create enable-dns-logging --enable-logging --description="Enable DNS Logging" --networks=VPC_NETWORK_NAME
The VPC_NETWORK_NAME can be one or more networks in comma-separated list
Enable Logging for Existing DNS Policy For each VPC network that has an existing DNS policy that needs logging enabled: gcloud dns policies update POLICY_NAME --enable-logging --networks=VPC_NETWORK_NAME
The VPC_NETWORK_NAME can be one or more networks in comma-separated list
Default Value:
Cloud DNS logging is disabled by default on each network.</v>
      </c>
      <c r="L119" s="273" t="str">
        <f ca="1"/>
        <v>1. https://cloud.google.com/dns/docs/monitoring</v>
      </c>
      <c r="M119" s="192" t="str">
        <f ca="1"/>
        <v>v</v>
      </c>
      <c r="N119" s="192" t="str">
        <f ca="1"/>
        <v>מערכת</v>
      </c>
      <c r="O119" s="192" t="str">
        <f ca="1"/>
        <v>-</v>
      </c>
      <c r="P119" s="28"/>
    </row>
    <row r="120" spans="1:16" ht="409.5">
      <c r="A120" s="28"/>
      <c r="B120" s="192">
        <f ca="1"/>
        <v>8.1999999999999993</v>
      </c>
      <c r="C120" s="192" t="str">
        <f ca="1"/>
        <v>Network</v>
      </c>
      <c r="D120" s="192" t="str">
        <f ca="1"/>
        <v>Detect</v>
      </c>
      <c r="E120" s="192" t="str">
        <f ca="1"/>
        <v>איסוף אירועים והתראות</v>
      </c>
      <c r="F120" s="232" t="str">
        <f ca="1"/>
        <v>Collect audit logs. Ensure that logging, per the enterprise’s audit log management process, has been enabled across enterprise assets.</v>
      </c>
      <c r="G120" s="192" t="str">
        <f ca="1"/>
        <v>2.14 Ensure 'Access Transparency' is 'Enabled' (Manual)</v>
      </c>
      <c r="H120" s="192" t="str">
        <f ca="1"/>
        <v xml:space="preserve">GCP Access Transparency provides audit logs for all actions that Google personnel take in your Google Cloud resources.
</v>
      </c>
      <c r="I120" s="272" t="str">
        <f ca="1"/>
        <v>2.14</v>
      </c>
      <c r="J120" s="273" t="str">
        <f ca="1"/>
        <v>Controlling access to your information is one of the foundations of information security. Given that Google Employees do have access to your organizations' projects for support reasons, you should have logging in place to view who, when, and why your information is being accessed.
Impact:
To use Access Transparency your organization will need to have at one of the following support level: Premium, Enterprise, Platinum, or Gold. There will be subscription costs associated with support, as well as increased storage costs for storing the logs. You will also not be able to turn Access Transparency off yourself, and you will need to submit a service request to Google Cloud Support.</v>
      </c>
      <c r="K120" s="273" t="str">
        <f ca="1"/>
        <v>From Google Cloud Console Add privileges to enable Access Transparency
1. From the Google Cloud Home, within the project you wish to check, click on the Navigation hamburger menu in the top left. Hover over the 'IAM and Admin'. Select IAM in the top of the column that opens.
2. Click the blue button the says +add at the top of the screen.
3. In the principals field, select a user or group by typing in their associated email address.
4. Click on the role field to expand it. In the filter field enter Access Transparency Admin and select it.
5. Click save.
Verify that the Google Cloud project is associated with a billing account
1. From the Google Cloud Home, click on the Navigation hamburger menu in the top left. Select Billing.
2. If you see This project is not associated with a billing account you will need to enter billing information or switch to a project with a billing account.
Enable Access Transparency
1. From the Google Cloud Home, click on the Navigation hamburger menu in the top left. Hover over the IAM &amp; Admin Menu. Select settings in the middle of the column that opens.
2. Click the blue button labeled Enable Access Transparency for Organization
Default Value:
By default Access Transparency is not enabled.</v>
      </c>
      <c r="L120" s="273" t="str">
        <f ca="1"/>
        <v>1. https://cloud.google.com/cloud-provider-access-management/access-transparency/docs/overview
2. https://cloud.google.com/cloud-provider-access-management/access-transparency/docs/enable
3. https://cloud.google.com/cloud-provider-access-management/access-transparency/docs/reading-logs
4. https://cloud.google.com/cloud-provider-access-management/access-transparency/docs/reading-logs#justification_reason_codes
5. https://cloud.google.com/cloud-provider-access-management/access-transparency/docs/supported-services</v>
      </c>
      <c r="M120" s="192" t="str">
        <f ca="1"/>
        <v>v</v>
      </c>
      <c r="N120" s="192" t="str">
        <f ca="1"/>
        <v>מערכת</v>
      </c>
      <c r="O120" s="192" t="str">
        <f ca="1"/>
        <v>-</v>
      </c>
      <c r="P120" s="28"/>
    </row>
    <row r="121" spans="1:16" ht="342">
      <c r="A121" s="28"/>
      <c r="B121" s="192">
        <f ca="1"/>
        <v>8.1999999999999993</v>
      </c>
      <c r="C121" s="192" t="str">
        <f ca="1"/>
        <v>Network</v>
      </c>
      <c r="D121" s="192" t="str">
        <f ca="1"/>
        <v>Detect</v>
      </c>
      <c r="E121" s="192" t="str">
        <f ca="1"/>
        <v>איסוף אירועים והתראות</v>
      </c>
      <c r="F121" s="232" t="str">
        <f ca="1"/>
        <v>Collect audit logs. Ensure that logging, per the enterprise’s audit log management process, has been enabled across enterprise assets.</v>
      </c>
      <c r="G121" s="192">
        <f ca="1"/>
        <v>1</v>
      </c>
      <c r="H121" s="192" t="str">
        <f ca="1"/>
        <v>Logging enabled on a HTTPS Load Balancer will show all network traffic and its destination.</v>
      </c>
      <c r="I121" s="272" t="str">
        <f ca="1"/>
        <v>1</v>
      </c>
      <c r="J121" s="273" t="str">
        <f ca="1"/>
        <v>Logging will allow you to view HTTPS network traffic to your web applications.
Impact:
On high use systems with a high percentage sample rate, the logging file may grow to high capacity in a short amount of time. Ensure that the sample rate is set appropriately so that storage costs are not exorbitant.</v>
      </c>
      <c r="K121" s="273" t="str">
        <f ca="1"/>
        <v>From Google Cloud Console
1. From Google Cloud home open the Navigation Menu in the top left.
2. Under the Networking heading select Network services.
3. Select the HTTPS load-balancer you wish to audit.
4. Select Edit then Backend Configuration.
5. Select Edit on the corresponding backend service.
6. Click Enable Logging.
7. Set Sample Rate to a desired value. This is a percentage as a decimal point. 1.0 is 100%.
From Google Cloud CLI
1. Run the following command gcloud compute backend-services update &lt;serviceName&gt; --region=REGION --enable-logging --logging-sample-rate=&lt;percentageAsADecimal&gt;
Default Value:
By default logging for https load balancing is disabled. When logging is enabled it sets the default sample rate as 1.0 or 100%. Ensure this value fits the need of your organization to avoid high storage costs.</v>
      </c>
      <c r="L121" s="273" t="str">
        <f ca="1"/>
        <v>1. https://cloud.google.com/load-balancing/
2. https://cloud.google.com/load-balancing/docs/https/https-logging-monitoring#gcloud:-global-mode
3. https://cloud.google.com/sdk/gcloud/reference/compute/backend-services/</v>
      </c>
      <c r="M121" s="192" t="str">
        <f ca="1"/>
        <v>v</v>
      </c>
      <c r="N121" s="192" t="str">
        <f ca="1"/>
        <v>ארגוני</v>
      </c>
      <c r="O121" s="192" t="str">
        <f ca="1"/>
        <v>v</v>
      </c>
      <c r="P121" s="28"/>
    </row>
    <row r="122" spans="1:16" ht="356.25">
      <c r="A122" s="28"/>
      <c r="B122" s="192">
        <f ca="1"/>
        <v>8.1999999999999993</v>
      </c>
      <c r="C122" s="192" t="str">
        <f ca="1"/>
        <v>Network</v>
      </c>
      <c r="D122" s="192" t="str">
        <f ca="1"/>
        <v>Detect</v>
      </c>
      <c r="E122" s="192" t="str">
        <f ca="1"/>
        <v>איסוף אירועים והתראות</v>
      </c>
      <c r="F122" s="232" t="str">
        <f ca="1"/>
        <v>Collect audit logs. Ensure that logging, per the enterprise’s audit log management process, has been enabled across enterprise assets.</v>
      </c>
      <c r="G122" s="192" t="str">
        <f ca="1"/>
        <v>3.8 Ensure that VPC Flow Logs is Enabled for Every Subnet in a VPC Network (Automated)</v>
      </c>
      <c r="H122" s="192" t="str">
        <f ca="1"/>
        <v>Flow Logs is a feature that enables users to capture information about the IP traffic going to and from network interfaces in the organization's VPC Subnets. Once a flow log is created, the user can view and retrieve its data in Stackdriver Logging. It is recommended that Flow Logs be enabled for every business-critical VPC subnet.</v>
      </c>
      <c r="I122" s="272" t="str">
        <f ca="1"/>
        <v>3.8</v>
      </c>
      <c r="J122" s="273" t="str">
        <f ca="1"/>
        <v>VPC networks and subnetworks not reserved for internal HTTP(S) load balancing provide logically isolated and secure network partitions where GCP resources can be launched. When Flow Logs are enabled for a subnet, VMs within that subnet start reporting on all Transmission Control Protocol (TCP) and User Datagram Protocol (UDP) flows. Each VM samples the TCP and UDP flows it sees, inbound and outbound, whether the flow is to or from another VM, a host in the on-premises datacenter, a Google service, or a host on the Internet. If two GCP VMs are communicating, and both are in subnets that have VPC Flow Logs enabled, both VMs report the flows.
Flow Logs supports the following use cases:
• Network monitoring
• Understanding network usage and optimizing network traffic expenses
• Network forensics
• Real-time security analysis
Flow Logs provide visibility into network traffic for each VM inside the subnet and can be used to detect anomalous traffic or provide insight during security workflows.
The Flow Logs must be configured such that all network traffic is logged, the interval of logging is granular to provide detailed information on the connections, no logs are filtered, and metadata to facilitate investigations are included.
Note: Subnets reserved for use by internal HTTP(S) load balancers do not support VPC flow logs.
Impact:
Standard pricing for Stackdriver Logging, BigQuery, or Cloud Pub/Sub applies. VPC Flow Logs generation will be charged starting in GA as described in reference: https://cloud.google.com/vpc/</v>
      </c>
      <c r="K122" s="273" t="str">
        <f ca="1"/>
        <v>From Google Cloud Console
1. Go to the VPC network GCP Console visiting https://console.cloud.google.com/networking/networks/list
2. Click the name of a subnet, The Subnet details page displays.
3. Click the EDIT button.
4. Set Flow Logs to On.
5. Expand the Configure Logs section.
6. Set Aggregation Interval to 5 SEC.
7. Check the box beside Include metadata.
8. Set Sample rate to 100.
9. Click Save.
Note: It is not possible to configure a Log filter from the console. From Google Cloud CLI To enable VPC Flow Logs for a network subnet, run the following command: gcloud compute networks subnets update [SUBNET_NAME] --region [REGION] --enable-flow-logs --logging-aggregation-interval=interval-5-sec --logging-flow-sampling=1 --logging-metadata=include-all
Default Value:
By default, Flow Logs is set to Off when a new VPC network subnet is created.</v>
      </c>
      <c r="L122" s="273" t="str">
        <f ca="1"/>
        <v>1. https://cloud.google.com/vpc/docs/using-flow-logs#enabling_vpc_flow_logging
2. https://cloud.google.com/vpc/</v>
      </c>
      <c r="M122" s="192" t="str">
        <f ca="1"/>
        <v>v</v>
      </c>
      <c r="N122" s="192" t="str">
        <f ca="1"/>
        <v>מערכת</v>
      </c>
      <c r="O122" s="192" t="str">
        <f ca="1"/>
        <v>-</v>
      </c>
      <c r="P122" s="28"/>
    </row>
    <row r="123" spans="1:16" ht="409.5">
      <c r="A123" s="28"/>
      <c r="B123" s="192">
        <f ca="1"/>
        <v>8.3000000000000007</v>
      </c>
      <c r="C123" s="192" t="str">
        <f ca="1"/>
        <v>Network</v>
      </c>
      <c r="D123" s="192" t="str">
        <f ca="1"/>
        <v>Protect</v>
      </c>
      <c r="E123" s="192" t="str">
        <f ca="1"/>
        <v>ודא אחסון מאובטח של אירועים והתראות</v>
      </c>
      <c r="F123" s="232" t="str">
        <f ca="1"/>
        <v>Ensure that logging destinations maintain adequate storage to comply with the enterprise’s audit log management process.</v>
      </c>
      <c r="G123" s="192" t="str">
        <f ca="1"/>
        <v>2.2 Ensure That Sinks Are Configured for All Log Entries (Automated)</v>
      </c>
      <c r="H123" s="192" t="str">
        <f ca="1"/>
        <v>It is recommended to create a sink that will export copies of all the log entries. This can help aggregate logs from multiple projects and export them to a Security Information and Event Management (SIEM).
Default Value:
By default, there are no sinks configured.</v>
      </c>
      <c r="I123" s="272" t="str">
        <f ca="1"/>
        <v>2.2</v>
      </c>
      <c r="J123" s="273" t="str">
        <f ca="1"/>
        <v>Log entries are held in Cloud Logging. To aggregate logs, export them to a SIEM. To keep them longer, it is recommended to set up a log sink. Exporting involves writing a filter that selects the log entries to export, and choosing a destination in Cloud Storage, BigQuery, or Cloud Pub/Sub. The filter and destination are held in an object called a sink. To ensure all log entries are exported to sinks, ensure that there is no filter configured for a sink. Sinks can be created in projects, organizations, folders, and billing accounts.
Impact:
There are no costs or limitations in Cloud Logging for exporting logs, but the export destinations charge for storing or transmitting the log data.</v>
      </c>
      <c r="K123" s="273" t="str">
        <f ca="1"/>
        <v>From Google Cloud Console
1. Go to Logs Router by visiting https://console.cloud.google.com/logs/router.
2. Click on the arrow symbol with CREATE SINK text.
3. Fill out the fields for Sink details.
4. Choose Cloud Logging bucket in the Select sink destination drop down menu.
5. Choose a log bucket in the next drop down menu.
6. If an inclusion filter is not provided for this sink, all ingested logs will be routed to the destination provided above. This may result in higher than expected resource usage.
7. Click Create Sink.
For more information, see https://cloud.google.com/logging/docs/export/configure_export_v2#dest-create.
From Google Cloud CLI To create a sink to export all log entries in a Google Cloud Storage bucket: gcloud logging sinks create &lt;sink-name&gt; storage.googleapis.com/DESTINATION_BUCKET_NAME
Sinks can be created for a folder or organization, which will include all projects. gcloud logging sinks create &lt;sink-name&gt; storage.googleapis.com/DESTINATION_BUCKET_NAME --include-children --folder=FOLDER_ID | --organization=ORGANIZATION_ID
Note:
1. A sink created by the command-line above will export logs in storage buckets. However, sinks can be configured to export logs into BigQuery, or Cloud Pub/Sub, or Custom Destination.
2. While creating a sink, the sink option --log-filter is not used to ensure the sink exports all log entries.
3. A sink can be created at a folder or organization level that collects the logs of all the projects underneath bypassing the option --include-children in the gcloud command.</v>
      </c>
      <c r="L123" s="273" t="str">
        <f ca="1"/>
        <v>1. https://cloud.google.com/logging/docs/reference/tools/gcloud-logging
2. https://cloud.google.com/logging/quotas
3. https://cloud.google.com/logging/docs/routing/overview
4. https://cloud.google.com/logging/docs/export/using_exported_logs
5. https://cloud.google.com/logging/docs/export/configure_export_v2
6. https://cloud.google.com/logging/docs/export/aggregated_exports
7. https://cloud.google.com/sdk/gcloud/reference/beta/logging/sinks/list</v>
      </c>
      <c r="M123" s="192" t="str">
        <f ca="1"/>
        <v>v</v>
      </c>
      <c r="N123" s="192" t="str">
        <f ca="1"/>
        <v>ארגוני</v>
      </c>
      <c r="O123" s="192" t="str">
        <f ca="1"/>
        <v>v</v>
      </c>
      <c r="P123" s="28"/>
    </row>
    <row r="124" spans="1:16" ht="28.5">
      <c r="A124" s="28"/>
      <c r="B124" s="192">
        <f ca="1"/>
        <v>8.4</v>
      </c>
      <c r="C124" s="192" t="str">
        <f ca="1"/>
        <v>Network</v>
      </c>
      <c r="D124" s="192" t="str">
        <f ca="1"/>
        <v>Protect</v>
      </c>
      <c r="E124" s="192" t="str">
        <f ca="1"/>
        <v>הגדר סנכרון הזמן תקין לכלל האירועים וההתראות</v>
      </c>
      <c r="F124" s="232" t="str">
        <f ca="1"/>
        <v>Standardize time synchronization. Configure at least two synchronized time sources across enterprise assets, where supported.</v>
      </c>
      <c r="G124" s="192" t="str">
        <f ca="1"/>
        <v>-</v>
      </c>
      <c r="H124" s="192" t="str">
        <f ca="1"/>
        <v>-</v>
      </c>
      <c r="I124" s="272" t="str">
        <f ca="1"/>
        <v>-</v>
      </c>
      <c r="J124" s="273" t="str">
        <f ca="1"/>
        <v>-</v>
      </c>
      <c r="K124" s="273" t="str">
        <f ca="1"/>
        <v>-</v>
      </c>
      <c r="L124" s="273" t="str">
        <f ca="1"/>
        <v>-</v>
      </c>
      <c r="M124" s="192" t="str">
        <f ca="1"/>
        <v/>
      </c>
      <c r="N124" s="192" t="str">
        <f ca="1"/>
        <v>ארגוני</v>
      </c>
      <c r="O124" s="192" t="str">
        <f ca="1"/>
        <v>-</v>
      </c>
      <c r="P124" s="28"/>
    </row>
    <row r="125" spans="1:16" ht="409.5">
      <c r="A125" s="28"/>
      <c r="B125" s="192">
        <f ca="1"/>
        <v>8.5</v>
      </c>
      <c r="C125" s="192" t="str">
        <f ca="1"/>
        <v>Network</v>
      </c>
      <c r="D125" s="192" t="str">
        <f ca="1"/>
        <v>Detect</v>
      </c>
      <c r="E125" s="192" t="str">
        <f ca="1"/>
        <v>אסוף אירועים והתראות מפורטים</v>
      </c>
      <c r="F125" s="232" t="str">
        <f ca="1"/>
        <v>Configure detailed audit logging for enterprise assets containing sensitive data. Include event source, date, username, timestamp, source addresses, destination addresses, and other useful elements that could assist in a forensic investigation.</v>
      </c>
      <c r="G125" s="192" t="str">
        <f ca="1"/>
        <v>2.5 Ensure That the Log Metric Filter and Alerts Exist for Audit Configuration Changes (Automated)</v>
      </c>
      <c r="H125" s="192" t="str">
        <f ca="1"/>
        <v>Google Cloud Platform (GCP) services write audit log entries to the Admin Activity and Data Access logs to help answer the questions of, "who did what, where, and when?" within GCP projects.
Cloud audit logging records information includes the identity of the API caller, the time of the API call, the source IP address of the API caller, the request parameters, and the response elements returned by GCP services. Cloud audit logging provides a history of GCP API calls for an account, including API calls made via the console, SDKs, command-line tools, and other GCP services.</v>
      </c>
      <c r="I125" s="272" t="str">
        <f ca="1"/>
        <v>2.5</v>
      </c>
      <c r="J125" s="273" t="str">
        <f ca="1"/>
        <v>Admin activity and data access logs produced by cloud audit logging enable security analysis, resource change tracking, and compliance auditing.
Configuring the metric filter and alerts for audit configuration changes ensures the recommended state of audit configuration is maintained so that all activities in the project are audit-able at any point in time.
Impact:
Enabling of logging may result in your project being charged for the additional logs usage.</v>
      </c>
      <c r="K125"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protoPayload.methodName="SetIamPolicy" AND protoPayload.serviceData.policyDelta.auditConfigDeltas:*
4. Click Submit Filter. Display logs appear based on the filter text entered by the user.
5. In the Metric Editor menu on the right, fill out the name field. Set Units to 1 (default) and Type to Counter. This will ensure that the log metric counts the number of log entries matching the user's advanced logs query.
6. Click Create Metric.
Create a prescribed Alert Policy:
1. Identify the new metric the user just created, under the section User-defined Metrics at https://console.cloud.google.com/logs/metrics.
2. Click the 3-dot icon in the rightmost column for the new metric and select Create alert from Metric. A new page opens.
3. Fill out the alert policy configuration and click Save. Choose the alerting threshold and configuration that makes sense for the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a prescribed Log Metric:
• Use the command: gcloud beta logging metrics create
• Reference for command usage: https://cloud.google.com/sdk/gcloud/reference/beta/logging/metrics/create
Create prescribed Alert Policy
• Use the command: gcloud alpha monitoring policies create
• Reference for command usage: https://cloud.google.com/sdk/gcloud/reference/alpha/monitoring/policies/create</v>
      </c>
      <c r="L125" s="273" t="str">
        <f ca="1"/>
        <v>1. https://cloud.google.com/logging/docs/logs-based-metrics/
2. https://cloud.google.com/monitoring/custom-metrics/
3. https://cloud.google.com/monitoring/alerts/
4. https://cloud.google.com/logging/docs/reference/tools/gcloud-logging
5. https://cloud.google.com/logging/docs/audit/configure-data-access#getiampolicy-setiampolicy</v>
      </c>
      <c r="M125" s="192" t="str">
        <f ca="1"/>
        <v>v</v>
      </c>
      <c r="N125" s="192" t="str">
        <f ca="1"/>
        <v>מערכת</v>
      </c>
      <c r="O125" s="192" t="str">
        <f ca="1"/>
        <v>-</v>
      </c>
      <c r="P125" s="28"/>
    </row>
    <row r="126" spans="1:16" ht="409.5">
      <c r="A126" s="28"/>
      <c r="B126" s="192">
        <f ca="1"/>
        <v>8.5</v>
      </c>
      <c r="C126" s="192" t="str">
        <f ca="1"/>
        <v>Network</v>
      </c>
      <c r="D126" s="192" t="str">
        <f ca="1"/>
        <v>Detect</v>
      </c>
      <c r="E126" s="192" t="str">
        <f ca="1"/>
        <v>אסוף אירועים והתראות מפורטים</v>
      </c>
      <c r="F126" s="232" t="str">
        <f ca="1"/>
        <v>Configure detailed audit logging for enterprise assets containing sensitive data. Include event source, date, username, timestamp, source addresses, destination addresses, and other useful elements that could assist in a forensic investigation.</v>
      </c>
      <c r="G126" s="192" t="str">
        <f ca="1"/>
        <v>2.6 Ensure That the Log Metric Filter and Alerts Exist for Custom Role Changes (Automated)</v>
      </c>
      <c r="H126" s="192" t="str">
        <f ca="1"/>
        <v>It is recommended that a metric filter and alarm be established for changes to Identity and Access Management (IAM) role creation, deletion and updating activities.</v>
      </c>
      <c r="I126" s="272" t="str">
        <f ca="1"/>
        <v>2.6</v>
      </c>
      <c r="J126" s="273" t="str">
        <f ca="1"/>
        <v>Google Cloud IAM provides predefined roles that give granular access to specific Google Cloud Platform resources and prevent unwanted access to other resources. However, to cater to organization-specific needs, Cloud IAM also provides the ability to create custom roles. Project owners and administrators with the Organization Role Administrator role or the IAM Role Administrator role can create custom roles. Monitoring role creation, deletion and updating activities will help in identifying any over-privileged role at early stages.
Impact:
Enabling of logging may result in your project being charged for the additional logs usage.</v>
      </c>
      <c r="K126" s="273" t="str">
        <f ca="1"/>
        <v>From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resource.type="iam_role" AND (protoPayload.methodName = "google.iam.admin.v1.CreateRole" OR protoPayload.methodName="google.iam.admin.v1.DeleteRole" OR protoPayload.methodName="google.iam.admin.v1.UpdateRole")
4. Click Submit Filter. Display logs appear based on the filter text entered by the user.
5. In the Metric Editor menu on the right, fill out the name field. Set Units to 1 (default) and Type to Counter. This ensures that the log metric counts the number of log entries matching the advanced logs query.
6. Click Create Metric.
Create a prescribed Alert Policy:
1. Identify the new metric that was just created under the section User-defined Metrics at https://console.cloud.google.com/logs/metrics.
2. Click the 3-dot icon in the rightmost column for the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v>
      </c>
      <c r="L126" s="273" t="str">
        <f ca="1"/>
        <v>1. https://cloud.google.com/logging/docs/logs-based-metrics/
2. https://cloud.google.com/monitoring/custom-metrics/
3. https://cloud.google.com/monitoring/alerts/
4. https://cloud.google.com/logging/docs/reference/tools/gcloud-logging
5. https://cloud.google.com/iam/docs/understanding-custom-roles</v>
      </c>
      <c r="M126" s="192" t="str">
        <f ca="1"/>
        <v>v</v>
      </c>
      <c r="N126" s="192" t="str">
        <f ca="1"/>
        <v>מערכת</v>
      </c>
      <c r="O126" s="192" t="str">
        <f ca="1"/>
        <v>-</v>
      </c>
      <c r="P126" s="28"/>
    </row>
    <row r="127" spans="1:16" ht="409.5">
      <c r="A127" s="28"/>
      <c r="B127" s="192">
        <f ca="1"/>
        <v>8.5</v>
      </c>
      <c r="C127" s="192" t="str">
        <f ca="1"/>
        <v>Network</v>
      </c>
      <c r="D127" s="192" t="str">
        <f ca="1"/>
        <v>Detect</v>
      </c>
      <c r="E127" s="192" t="str">
        <f ca="1"/>
        <v>אסוף אירועים והתראות מפורטים</v>
      </c>
      <c r="F127" s="232" t="str">
        <f ca="1"/>
        <v>Configure detailed audit logging for enterprise assets containing sensitive data. Include event source, date, username, timestamp, source addresses, destination addresses, and other useful elements that could assist in a forensic investigation.</v>
      </c>
      <c r="G127" s="192" t="str">
        <f ca="1"/>
        <v>2.7 Ensure That the Log Metric Filter and Alerts Exist for VPC Network Firewall Rule Changes (Automated)</v>
      </c>
      <c r="H127" s="192" t="str">
        <f ca="1"/>
        <v>It is recommended that a metric filter and alarm be established for Virtual Private Cloud (VPC) Network Firewall rule changes.</v>
      </c>
      <c r="I127" s="272" t="str">
        <f ca="1"/>
        <v>2.7</v>
      </c>
      <c r="J127" s="273" t="str">
        <f ca="1"/>
        <v>Monitoring for Create or Update Firewall rule events gives insight to network access changes and may reduce the time it takes to detect suspicious activity.
Impact:
Enabling of logging may result in your project being charged for the additional logs usage. These charges could be significant depending on the size of the organization.</v>
      </c>
      <c r="K127"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resource.type="gce_firewall_rule" AND (protoPayload.methodName:"compute.firewalls.patch" OR protoPayload.methodName:"compute.firewalls.insert" OR protoPayload.methodName:"compute.firewalls.delete")
4. Click Submit Filter. Display logs appear based on the filter text entered by the user.
5. In the Metric Editor menu on the right, fill out the name field. Set Units to 1 (default) and Type to Counter. This ensures that the log metric counts the number of log entries matching the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the prescribed Log Metric
• Use the command: gcloud logging metrics create
Create the prescribed alert policy:
• Use the command: gcloud alpha monitoring policies create</v>
      </c>
      <c r="L127" s="273" t="str">
        <f ca="1"/>
        <v>1. https://cloud.google.com/logging/docs/logs-based-metrics/
2. https://cloud.google.com/monitoring/custom-metrics/
3. https://cloud.google.com/monitoring/alerts/
4. https://cloud.google.com/logging/docs/reference/tools/gcloud-logging
5. https://cloud.google.com/vpc/docs/firewalls</v>
      </c>
      <c r="M127" s="192" t="str">
        <f ca="1"/>
        <v>v</v>
      </c>
      <c r="N127" s="192" t="str">
        <f ca="1"/>
        <v>מערכת</v>
      </c>
      <c r="O127" s="192" t="str">
        <f ca="1"/>
        <v>-</v>
      </c>
      <c r="P127" s="28"/>
    </row>
    <row r="128" spans="1:16" ht="409.5">
      <c r="A128" s="28"/>
      <c r="B128" s="192">
        <f ca="1"/>
        <v>8.5</v>
      </c>
      <c r="C128" s="192" t="str">
        <f ca="1"/>
        <v>Network</v>
      </c>
      <c r="D128" s="192" t="str">
        <f ca="1"/>
        <v>Detect</v>
      </c>
      <c r="E128" s="192" t="str">
        <f ca="1"/>
        <v>אסוף אירועים והתראות מפורטים</v>
      </c>
      <c r="F128" s="232" t="str">
        <f ca="1"/>
        <v>Configure detailed audit logging for enterprise assets containing sensitive data. Include event source, date, username, timestamp, source addresses, destination addresses, and other useful elements that could assist in a forensic investigation.</v>
      </c>
      <c r="G128" s="192" t="str">
        <f ca="1"/>
        <v>2.8 Ensure That the Log Metric Filter and Alerts Exist for VPC Network Route Changes (Automated)</v>
      </c>
      <c r="H128" s="192" t="str">
        <f ca="1"/>
        <v>It is recommended that a metric filter and alarm be established for Virtual Private Cloud (VPC) network route changes.</v>
      </c>
      <c r="I128" s="272" t="str">
        <f ca="1"/>
        <v>2.8</v>
      </c>
      <c r="J128" s="273" t="str">
        <f ca="1"/>
        <v>Google Cloud Platform (GCP) routes define the paths network traffic takes from a VM instance to another destination. The other destination can be inside the organization VPC network (such as another VM) or outside of it. Every route consists of a destination and a next hop. Traffic whose destination IP is within the destination range is sent to the next hop for delivery.
Monitoring changes to route tables will help ensure that all VPC traffic flows through an expected path.
Impact:
Enabling of logging may result in your project being charged for the additional logs usage. These charges could be significant depending on the size of the organization.</v>
      </c>
      <c r="K128"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resource.type="gce_route" AND (protoPayload.methodName:"compute.routes.delete" OR protoPayload.methodName:"compute.routes.insert")
4. Click Submit Filter. Display logs appear based on the filter text entered by the user.
5. In the Metric Editor menu on the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displays.
3. Fill out the alert policy configuration and click Save. Choose the alerting threshold and configuration that makes sense for the user's organization. For example, a threshold of zero(0) for the most recent value ensures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the alert policy:
• Use the command: gcloud alpha monitoring policies create</v>
      </c>
      <c r="L128" s="273" t="str">
        <f ca="1"/>
        <v>References:
1. https://cloud.google.com/logging/docs/logs-based-metrics/
2. https://cloud.google.com/monitoring/custom-metrics/
3. https://cloud.google.com/monitoring/alerts/
4. https://cloud.google.com/logging/docs/reference/tools/gcloud-logging
5. https://cloud.google.com/storage/docs/access-control/iam
6. https://cloud.google.com/sdk/gcloud/reference/beta/logging/metrics/create
7. https://cloud.google.com/sdk/gcloud/reference/alpha/monitoring/policies/create</v>
      </c>
      <c r="M128" s="192" t="str">
        <f ca="1"/>
        <v>v</v>
      </c>
      <c r="N128" s="192" t="str">
        <f ca="1"/>
        <v>מערכת</v>
      </c>
      <c r="O128" s="192" t="str">
        <f ca="1"/>
        <v>-</v>
      </c>
      <c r="P128" s="28"/>
    </row>
    <row r="129" spans="1:16" ht="409.5">
      <c r="A129" s="28"/>
      <c r="B129" s="192">
        <f ca="1"/>
        <v>8.5</v>
      </c>
      <c r="C129" s="192" t="str">
        <f ca="1"/>
        <v>Network</v>
      </c>
      <c r="D129" s="192" t="str">
        <f ca="1"/>
        <v>Detect</v>
      </c>
      <c r="E129" s="192" t="str">
        <f ca="1"/>
        <v>אסוף אירועים והתראות מפורטים</v>
      </c>
      <c r="F129" s="232" t="str">
        <f ca="1"/>
        <v>Configure detailed audit logging for enterprise assets containing sensitive data. Include event source, date, username, timestamp, source addresses, destination addresses, and other useful elements that could assist in a forensic investigation.</v>
      </c>
      <c r="G129" s="192" t="str">
        <f ca="1"/>
        <v>2.9 Ensure That the Log Metric Filter and Alerts Exist for VPC Network Changes (Automated)</v>
      </c>
      <c r="H129" s="192" t="str">
        <f ca="1"/>
        <v>It is recommended that a metric filter and alarm be established for Virtual Private Cloud (VPC) network changes.</v>
      </c>
      <c r="I129" s="272" t="str">
        <f ca="1"/>
        <v>2.9</v>
      </c>
      <c r="J129" s="273" t="str">
        <f ca="1"/>
        <v>It is possible to have more than one VPC within a project. In addition, it is also possible to create a peer connection between two VPCs enabling network traffic to route between VPCs.
Monitoring changes to a VPC will help ensure VPC traffic flow is not getting impacted.
Impact:
Enabling of logging may result in your project being charged for the additional logs usage. These charges could be significant depending on the size of the organization.</v>
      </c>
      <c r="K129" s="273" t="str">
        <f ca="1"/>
        <v>1. Go to Logging/Logs-based Metrics by visiting https://console.cloud.google.com/logs/metrics and click "CREATE METRIC".
2. Click the down arrow symbol on Filter Bar at the rightmost corner and select Convert to Advanced Filter.
3. Clear any text and add:
resource.type="gce_network" AND (protoPayload.methodName:"compute.networks.insert" OR protoPayload.methodName:"compute.networks.patch" OR protoPayload.methodName:"compute.networks.delete" OR protoPayload.methodName:"compute.networks.removePeering" OR protoPayload.methodName:"compute.networks.addPeering")
4. Click Submit Filter. Display logs appear based on the filter text entered by the user.
5. In the Metric Editor menu on the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0 for the most recent value will ensure that a notification is triggered for every owner change in the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v>
      </c>
      <c r="L129" s="273" t="str">
        <f ca="1"/>
        <v>1. https://cloud.google.com/logging/docs/logs-based-metrics/
2. https://cloud.google.com/monitoring/custom-metrics/
3. https://cloud.google.com/monitoring/alerts/
4. https://cloud.google.com/logging/docs/reference/tools/gcloud-logging
5. https://cloud.google.com/vpc/docs/overview</v>
      </c>
      <c r="M129" s="192" t="str">
        <f ca="1"/>
        <v>v</v>
      </c>
      <c r="N129" s="192" t="str">
        <f ca="1"/>
        <v>מערכת</v>
      </c>
      <c r="O129" s="192" t="str">
        <f ca="1"/>
        <v>-</v>
      </c>
      <c r="P129" s="28"/>
    </row>
    <row r="130" spans="1:16" ht="409.5">
      <c r="A130" s="28"/>
      <c r="B130" s="192">
        <f ca="1"/>
        <v>8.5</v>
      </c>
      <c r="C130" s="192" t="str">
        <f ca="1"/>
        <v>Network</v>
      </c>
      <c r="D130" s="192" t="str">
        <f ca="1"/>
        <v>Detect</v>
      </c>
      <c r="E130" s="192" t="str">
        <f ca="1"/>
        <v>אסוף אירועים והתראות מפורטים</v>
      </c>
      <c r="F130" s="232" t="str">
        <f ca="1"/>
        <v>Configure detailed audit logging for enterprise assets containing sensitive data. Include event source, date, username, timestamp, source addresses, destination addresses, and other useful elements that could assist in a forensic investigation.</v>
      </c>
      <c r="G130" s="192" t="str">
        <f ca="1"/>
        <v>2.10 Ensure That the Log Metric Filter and Alerts Exist for Cloud Storage IAM Permission Changes (Automated)</v>
      </c>
      <c r="H130" s="192" t="str">
        <f ca="1"/>
        <v>It is recommended that a metric filter and alarm be established for Cloud Storage Bucket IAM changes.</v>
      </c>
      <c r="I130" s="272" t="str">
        <f ca="1"/>
        <v>2.10</v>
      </c>
      <c r="J130" s="273" t="str">
        <f ca="1"/>
        <v>Monitoring changes to cloud storage bucket permissions may reduce the time needed to detect and correct permissions on sensitive cloud storage buckets and objects inside the bucket.
Impact:
Enabling of logging may result in your project being charged for the additional logs usage. These charges could be significant depending on the size of the organization.</v>
      </c>
      <c r="K130"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resource.type="gcs_bucket" AND protoPayload.methodName="storage.setIamPermissions"
4. Click Submit Filter. Display logs appear based on the filter text entered by the user.
5. In the Metric Editor menu on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project: Set `Aggregator` to `Count` Set `Configuration`: - Condition: above - Threshold: 0 - For: most recent value
4. Configure the desired notifications channels in the section Notifications.
5. Name the policy and click Save.
From Google Cloud CLI Create the prescribed Log Metric:
• Use the command: gcloud beta logging metrics create
Create the prescribed alert policy:
• Use the command: gcloud alpha monitoring policies create</v>
      </c>
      <c r="L130" s="273" t="str">
        <f ca="1"/>
        <v>1. https://cloud.google.com/logging/docs/logs-based-metrics/
2. https://cloud.google.com/monitoring/custom-metrics/
3. https://cloud.google.com/monitoring/alerts/
4. https://cloud.google.com/logging/docs/reference/tools/gcloud-logging
5. https://cloud.google.com/storage/docs/overview
6. https://cloud.google.com/storage/docs/access-control/iam-roles</v>
      </c>
      <c r="M130" s="192" t="str">
        <f ca="1"/>
        <v>v</v>
      </c>
      <c r="N130" s="192" t="str">
        <f ca="1"/>
        <v>מערכת</v>
      </c>
      <c r="O130" s="192" t="str">
        <f ca="1"/>
        <v>-</v>
      </c>
      <c r="P130" s="28"/>
    </row>
    <row r="131" spans="1:16" ht="409.5">
      <c r="A131" s="28"/>
      <c r="B131" s="192">
        <f ca="1"/>
        <v>8.5</v>
      </c>
      <c r="C131" s="192" t="str">
        <f ca="1"/>
        <v>Network</v>
      </c>
      <c r="D131" s="192" t="str">
        <f ca="1"/>
        <v>Detect</v>
      </c>
      <c r="E131" s="192" t="str">
        <f ca="1"/>
        <v>אסוף אירועים והתראות מפורטים</v>
      </c>
      <c r="F131" s="232" t="str">
        <f ca="1"/>
        <v>Configure detailed audit logging for enterprise assets containing sensitive data. Include event source, date, username, timestamp, source addresses, destination addresses, and other useful elements that could assist in a forensic investigation.</v>
      </c>
      <c r="G131" s="192" t="str">
        <f ca="1"/>
        <v>2.11 Ensure That the Log Metric Filter and Alerts Exist for SQL Instance Configuration Changes (Automated)</v>
      </c>
      <c r="H131" s="192" t="str">
        <f ca="1"/>
        <v>It is recommended that a metric filter and alarm be established for SQL instance configuration changes.</v>
      </c>
      <c r="I131" s="272" t="str">
        <f ca="1"/>
        <v>2.11</v>
      </c>
      <c r="J131" s="273" t="str">
        <f ca="1"/>
        <v>Monitoring changes to SQL instance configuration changes may reduce the time needed to detect and correct misconfigurations done on the SQL server.
Below are a few of the configurable options which may the impact security posture of an SQL instance:
• Enable auto backups and high availability: Misconfiguration may adversely impact business continuity, disaster recovery, and high availability
• Authorize networks: Misconfiguration may increase exposure to untrusted networks
Impact:
Enabling of logging may result in your project being charged for the additional logs usage. These charges could be significant depending on the size of the organization.</v>
      </c>
      <c r="K131" s="273" t="str">
        <f ca="1"/>
        <v>From Google Cloud Console Create the prescribed Log Metric:
1. Go to Logging/Logs-based Metrics by visiting https://console.cloud.google.com/logs/metrics and click "CREATE METRIC".
2. Click the down arrow symbol on the Filter Bar at the rightmost corner and select Convert to Advanced Filter.
3. Clear any text and add: protoPayload.methodName="cloudsql.instances.update"
4. Click Submit Filter. Display logs appear based on the filter text entered by the user.
5. In the Metric Editor menu on right, fill out the name field. Set Units to 1 (default) and Type to Counter. This ensures that the log metric counts the number of log entries matching the user's advanced logs query.
6. Click Create Metric.
Create the prescribed alert policy:
1. Identify the newly created metric under the section User-defined Metrics at https://console.cloud.google.com/logs/metrics.
2. Click the 3-dot icon in the rightmost column for the new metric and select Create alert from Metric. A new page appears.
3. Fill out the alert policy configuration and click Save. Choose the alerting threshold and configuration that makes sense for the user's organization. For example, a threshold of zero(0) for the most recent value will ensure that a notification is triggered for every owner change in the user's project: Set `Aggregator` to `Count` Set `Configuration`: - Condition: above - Threshold: 0 - For: most recent value
4. Configure the desired notification channels in the section Notifications.
5. Name the policy and click Save.
From Google Cloud CLI Create the prescribed log metric:
• Use the command: gcloud logging metrics create
Create the prescribed alert policy:
• Use the command: gcloud alpha monitoring policies create
• Reference for command usage: https://cloud.google.com/sdk/gcloud/reference/alpha/monitoring/policies/create</v>
      </c>
      <c r="L131" s="273" t="str">
        <f ca="1"/>
        <v>1. https://cloud.google.com/logging/docs/logs-based-metrics/
2. https://cloud.google.com/monitoring/custom-metrics/
3. https://cloud.google.com/monitoring/alerts/
4. https://cloud.google.com/logging/docs/reference/tools/gcloud-logging
5. https://cloud.google.com/storage/docs/overview
6. https://cloud.google.com/sql/docs/
7. https://cloud.google.com/sql/docs/mysql/
8. https://cloud.google.com/sql/docs/postgres/</v>
      </c>
      <c r="M131" s="192" t="str">
        <f ca="1"/>
        <v>v</v>
      </c>
      <c r="N131" s="192" t="str">
        <f ca="1"/>
        <v>מערכת</v>
      </c>
      <c r="O131" s="192" t="str">
        <f ca="1"/>
        <v>-</v>
      </c>
      <c r="P131" s="28"/>
    </row>
    <row r="132" spans="1:16" ht="409.5">
      <c r="A132" s="28"/>
      <c r="B132" s="192">
        <f ca="1"/>
        <v>8.5</v>
      </c>
      <c r="C132" s="192" t="str">
        <f ca="1"/>
        <v>Network</v>
      </c>
      <c r="D132" s="192" t="str">
        <f ca="1"/>
        <v>Detect</v>
      </c>
      <c r="E132" s="192" t="str">
        <f ca="1"/>
        <v>אסוף אירועים והתראות מפורטים</v>
      </c>
      <c r="F132" s="232" t="str">
        <f ca="1"/>
        <v>Configure detailed audit logging for enterprise assets containing sensitive data. Include event source, date, username, timestamp, source addresses, destination addresses, and other useful elements that could assist in a forensic investigation.</v>
      </c>
      <c r="G132" s="192" t="str">
        <f ca="1"/>
        <v>2.14 Ensure 'Access Transparency' is 'Enabled' (Manual)</v>
      </c>
      <c r="H132" s="192" t="str">
        <f ca="1"/>
        <v xml:space="preserve">GCP Access Transparency provides audit logs for all actions that Google personnel take in your Google Cloud resources.
</v>
      </c>
      <c r="I132" s="272" t="str">
        <f ca="1"/>
        <v>2.14</v>
      </c>
      <c r="J132" s="273" t="str">
        <f ca="1"/>
        <v>Controlling access to your information is one of the foundations of information security. Given that Google Employees do have access to your organizations' projects for support reasons, you should have logging in place to view who, when, and why your information is being accessed.
Impact:
To use Access Transparency your organization will need to have at one of the following support level: Premium, Enterprise, Platinum, or Gold. There will be subscription costs associated with support, as well as increased storage costs for storing the logs. You will also not be able to turn Access Transparency off yourself, and you will need to submit a service request to Google Cloud Support.</v>
      </c>
      <c r="K132" s="273" t="str">
        <f ca="1"/>
        <v>From Google Cloud Console Add privileges to enable Access Transparency
1. From the Google Cloud Home, within the project you wish to check, click on the Navigation hamburger menu in the top left. Hover over the 'IAM and Admin'. Select IAM in the top of the column that opens.
2. Click the blue button the says +add at the top of the screen.
3. In the principals field, select a user or group by typing in their associated email address.
4. Click on the role field to expand it. In the filter field enter Access Transparency Admin and select it.
5. Click save.
Verify that the Google Cloud project is associated with a billing account
1. From the Google Cloud Home, click on the Navigation hamburger menu in the top left. Select Billing.
2. If you see This project is not associated with a billing account you will need to enter billing information or switch to a project with a billing account.
Enable Access Transparency
1. From the Google Cloud Home, click on the Navigation hamburger menu in the top left. Hover over the IAM &amp; Admin Menu. Select settings in the middle of the column that opens.
2. Click the blue button labeled Enable Access Transparency for Organization
Default Value:
By default Access Transparency is not enabled.</v>
      </c>
      <c r="L132" s="273" t="str">
        <f ca="1"/>
        <v>1. https://cloud.google.com/cloud-provider-access-management/access-transparency/docs/overview
2. https://cloud.google.com/cloud-provider-access-management/access-transparency/docs/enable
3. https://cloud.google.com/cloud-provider-access-management/access-transparency/docs/reading-logs
4. https://cloud.google.com/cloud-provider-access-management/access-transparency/docs/reading-logs#justification_reason_codes
5. https://cloud.google.com/cloud-provider-access-management/access-transparency/docs/supported-services</v>
      </c>
      <c r="M132" s="192" t="str">
        <f ca="1"/>
        <v>v</v>
      </c>
      <c r="N132" s="192" t="str">
        <f ca="1"/>
        <v>מערכת</v>
      </c>
      <c r="O132" s="192" t="str">
        <f ca="1"/>
        <v>-</v>
      </c>
      <c r="P132" s="28"/>
    </row>
    <row r="133" spans="1:16" ht="409.5">
      <c r="A133" s="28"/>
      <c r="B133" s="192">
        <f ca="1"/>
        <v>8.5</v>
      </c>
      <c r="C133" s="192" t="str">
        <f ca="1"/>
        <v>Network</v>
      </c>
      <c r="D133" s="192" t="str">
        <f ca="1"/>
        <v>Detect</v>
      </c>
      <c r="E133" s="192" t="str">
        <f ca="1"/>
        <v>אסוף אירועים והתראות מפורטים</v>
      </c>
      <c r="F133" s="232" t="str">
        <f ca="1"/>
        <v>Configure detailed audit logging for enterprise assets containing sensitive data. Include event source, date, username, timestamp, source addresses, destination addresses, and other useful elements that could assist in a forensic investigation.</v>
      </c>
      <c r="G133" s="192" t="str">
        <f ca="1"/>
        <v>6.2.1 Ensure ‘Log_error_verbosity’ Database Flag for Cloud SQL PostgreSQL Instance Is Set to ‘DEFAULT’ or Stricter (Automated)</v>
      </c>
      <c r="H133" s="192" t="str">
        <f ca="1"/>
        <v>The log_error_verbosity flag controls the verbosity/details of messages logged. Valid values are:
• TERSE
• DEFAULT
• VERBOSE
TERSE excludes the logging of DETAIL, HINT, QUERY, and CONTEXT error information.
VERBOSE output includes the SQLSTATE error code, source code file name, function name, and line number that generated the error.
Ensure an appropriate value is set to 'DEFAULT' or stricter.</v>
      </c>
      <c r="I133" s="272" t="str">
        <f ca="1"/>
        <v>6.2.1</v>
      </c>
      <c r="J133" s="273" t="str">
        <f ca="1"/>
        <v>Auditing helps in troubleshooting operational problems and also permits forensic analysis. If log_error_verbosity is not set to the correct value, too many details or too few details may be logged. This flag should be configured with a value of 'DEFAULT' or stricter.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133" s="273" t="str">
        <f ca="1"/>
        <v>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log_error_verbosity from the drop-down menu and set appropriate value.
6. Click Save to save your changes.
7. Confirm your changes under Flags on the Overview page.
From Google Cloud CLI
1. Configure the log_error_verbosity database flag for every Cloud SQL PosgreSQL database instance using the below command. gcloud sql instances patch &lt;INSTANCE_NAME&gt; --database-flags log_error_verbosity=&lt;TERSE|DEFAULT|VERBOSE&gt; Note: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log_error_verbosity is DEFAULT.</v>
      </c>
      <c r="L133" s="273" t="str">
        <f ca="1"/>
        <v>1. https://cloud.google.com/sql/docs/postgres/flags
2. https://www.postgresql.org/docs/current/runtime-config-logging.html#RUNTIME-CONFIG-LOGGING-WHAT</v>
      </c>
      <c r="M133" s="192" t="str">
        <f ca="1"/>
        <v>v</v>
      </c>
      <c r="N133" s="192" t="str">
        <f ca="1"/>
        <v>מערכת</v>
      </c>
      <c r="O133" s="192" t="str">
        <f ca="1"/>
        <v>-</v>
      </c>
      <c r="P133" s="28"/>
    </row>
    <row r="134" spans="1:16" ht="409.5">
      <c r="A134" s="28"/>
      <c r="B134" s="192">
        <f ca="1"/>
        <v>8.5</v>
      </c>
      <c r="C134" s="192" t="str">
        <f ca="1"/>
        <v>Network</v>
      </c>
      <c r="D134" s="192" t="str">
        <f ca="1"/>
        <v>Detect</v>
      </c>
      <c r="E134" s="192" t="str">
        <f ca="1"/>
        <v>אסוף אירועים והתראות מפורטים</v>
      </c>
      <c r="F134" s="232" t="str">
        <f ca="1"/>
        <v>Configure detailed audit logging for enterprise assets containing sensitive data. Include event source, date, username, timestamp, source addresses, destination addresses, and other useful elements that could assist in a forensic investigation.</v>
      </c>
      <c r="G134" s="192" t="str">
        <f ca="1"/>
        <v>6.2.2 Ensure That the ‘Log_connections’ Database Flag for Cloud SQL PostgreSQL Instance Is Set to ‘On’ (Automated)</v>
      </c>
      <c r="H134" s="192" t="str">
        <f ca="1"/>
        <v>Enabling the log_connections setting causes each attempted connection to the server to be logged, along with successful completion of client authentication. This parameter cannot be changed after the session starts.</v>
      </c>
      <c r="I134" s="272" t="str">
        <f ca="1"/>
        <v>6.2.2</v>
      </c>
      <c r="J134" s="273" t="str">
        <f ca="1"/>
        <v>PostgreSQL does not log attempted connections by default. Enabling the log_connections setting will create log entries for each attempted connection as well as successful completion of client authentication which can be useful in troubleshooting issues and to determine any unusual connection attempts to the server.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134" s="273" t="str">
        <f ca="1"/>
        <v>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log_connections from the drop-down menu and set the value as on.
6. Click Save.
7. Confirm the changes under Flags on the Overview page.
From Google Cloud CLI
1. Configure the log_connections database flag for every Cloud SQL PosgreSQL database instance using the below command. gcloud sql instances patch &lt;INSTANCE_NAME&gt; --database-flags log_connections=on Note: This command will overwrite all previously set database flags. To keep those and add new ones, include the values for all flags to be set on the instance; any flag not specifically included is set to its default value. For flags that do not take a value, specify the flag name followed by an equals sign ("=").
Default Value:
By default log_connections is off.</v>
      </c>
      <c r="L134" s="273" t="str">
        <f ca="1"/>
        <v>1. https://cloud.google.com/sql/docs/postgres/flags
2. https://www.postgresql.org/docs/9.6/runtime-config-logging.html#RUNTIME-CONFIG-LOGGING-WHAT</v>
      </c>
      <c r="M134" s="192" t="str">
        <f ca="1"/>
        <v>v</v>
      </c>
      <c r="N134" s="192" t="str">
        <f ca="1"/>
        <v>מערכת</v>
      </c>
      <c r="O134" s="192" t="str">
        <f ca="1"/>
        <v>-</v>
      </c>
      <c r="P134" s="28"/>
    </row>
    <row r="135" spans="1:16" ht="409.5">
      <c r="A135" s="28"/>
      <c r="B135" s="192">
        <f ca="1"/>
        <v>8.5</v>
      </c>
      <c r="C135" s="192" t="str">
        <f ca="1"/>
        <v>Network</v>
      </c>
      <c r="D135" s="192" t="str">
        <f ca="1"/>
        <v>Detect</v>
      </c>
      <c r="E135" s="192" t="str">
        <f ca="1"/>
        <v>אסוף אירועים והתראות מפורטים</v>
      </c>
      <c r="F135" s="232" t="str">
        <f ca="1"/>
        <v>Configure detailed audit logging for enterprise assets containing sensitive data. Include event source, date, username, timestamp, source addresses, destination addresses, and other useful elements that could assist in a forensic investigation.</v>
      </c>
      <c r="G135" s="192" t="str">
        <f ca="1"/>
        <v>6.2.3 Ensure That the ‘Log_disconnections’ Database Flag for Cloud SQL PostgreSQL Instance Is Set to ‘On’ (Automated)</v>
      </c>
      <c r="H135" s="192" t="str">
        <f ca="1"/>
        <v>Enabling the log_disconnections setting logs the end of each session, including the session duration.</v>
      </c>
      <c r="I135" s="272" t="str">
        <f ca="1"/>
        <v>6.2.3</v>
      </c>
      <c r="J135" s="273" t="str">
        <f ca="1"/>
        <v>PostgreSQL does not log session details such as duration and session end by default. Enabling the log_disconnections setting will create log entries at the end of each session which can be useful in troubleshooting issues and determine any unusual activity across a time period. The log_disconnections and log_connections work hand in hand and generally, the pair would be enabled/disabled together.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135" s="273" t="str">
        <f ca="1"/>
        <v>From Google Cloud Console
1. Go to the Cloud SQL Instances page in the Google Cloud Console by visiting https://console.cloud.google.com/sql/instances.
2. Select the PostgreSQL instance where the database flag needs to be enabled.
3. Click Edit.
4. Scroll down to the Flags section.
5. To set a flag that has not been set on the instance before, click Add item, choose the flag log_disconnections from the drop-down menu and set the value as on.
6. Click Save.
7. Confirm the changes under Flags on the Overview page.
From Google Cloud CLI
1. Configure the log_disconnections database flag for every Cloud SQL PosgreSQL database instance using the below command: gcloud sql instances patch &lt;INSTANCE_NAME&gt; --database-flags log_disconnections=on Note: This command will overwrite all previously set database flags. To keep those and add new ones, include the values for all flags to be set on the instance; any flag not specifically included is set to its default value. For flags that do not take a value, specify the flag name followed by an equals sign ("=").
Default Value:
By default log_disconnections is off.</v>
      </c>
      <c r="L135" s="273" t="str">
        <f ca="1"/>
        <v>1. https://cloud.google.com/sql/docs/postgres/flags
2. https://www.postgresql.org/docs/9.6/runtime-config-logging.html#RUNTIME-CONFIG-LOGGING-WHAT</v>
      </c>
      <c r="M135" s="192" t="str">
        <f ca="1"/>
        <v>v</v>
      </c>
      <c r="N135" s="192" t="str">
        <f ca="1"/>
        <v>מערכת</v>
      </c>
      <c r="O135" s="192" t="str">
        <f ca="1"/>
        <v>-</v>
      </c>
      <c r="P135" s="28"/>
    </row>
    <row r="136" spans="1:16" ht="409.5">
      <c r="A136" s="28"/>
      <c r="B136" s="192">
        <f ca="1"/>
        <v>8.5</v>
      </c>
      <c r="C136" s="192" t="str">
        <f ca="1"/>
        <v>Network</v>
      </c>
      <c r="D136" s="192" t="str">
        <f ca="1"/>
        <v>Detect</v>
      </c>
      <c r="E136" s="192" t="str">
        <f ca="1"/>
        <v>אסוף אירועים והתראות מפורטים</v>
      </c>
      <c r="F136" s="232" t="str">
        <f ca="1"/>
        <v>Configure detailed audit logging for enterprise assets containing sensitive data. Include event source, date, username, timestamp, source addresses, destination addresses, and other useful elements that could assist in a forensic investigation.</v>
      </c>
      <c r="G136" s="192" t="str">
        <f ca="1"/>
        <v>6.2.4 Ensure ‘Log_statement’ Database Flag for Cloud SQL PostgreSQL Instance Is Set Appropriately (Automated)</v>
      </c>
      <c r="H136" s="192" t="str">
        <f ca="1"/>
        <v>The value of log_statement flag determined the SQL statements that are logged. Valid values are:
• none
• ddl
• mod
• all
The value ddl logs all data definition statements. The value mod logs all ddl statements, plus data-modifying statements.
The statements are logged after a basic parsing is done and statement type is determined, thus this does not logs statements with errors. When using extended query protocol, logging occurs after an Execute message is received and values of the Bind parameters are included.
A value of 'ddl' is recommended unless otherwise directed by your organization's logging policy.</v>
      </c>
      <c r="I136" s="272" t="str">
        <f ca="1"/>
        <v>6.2.4</v>
      </c>
      <c r="J136" s="273" t="str">
        <f ca="1"/>
        <v>Auditing helps in forensic analysis. If log_statement is not set to the correct value, too many statements may be logged leading to issues in finding the relevant information from the logs, or too few statements may be logged with relevant information missing from the logs. Setting log_statement to align with your organization's security and logging policies facilitates later auditing and review of database activities.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136" s="273" t="str">
        <f ca="1"/>
        <v>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log_statement from the drop-down menu and set appropriate value.
6. Click Save to save your changes.
7. Confirm your changes under Flags on the Overview page.
From Google Cloud CLI
1. Configure the log_statement database flag for every Cloud SQL PosgreSQL database instance using the below command. gcloud sql instances patch &lt;INSTANCE_NAME&gt; --database-flags log_statement=&lt;ddl|mod|all|none&gt; Note: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v>
      </c>
      <c r="L136" s="273" t="str">
        <f ca="1"/>
        <v>1. https://cloud.google.com/sql/docs/postgres/flags
2. https://www.postgresql.org/docs/current/runtime-config-logging.html#RUNTIME-CONFIG-LOGGING-WHAT</v>
      </c>
      <c r="M136" s="192" t="str">
        <f ca="1"/>
        <v>v</v>
      </c>
      <c r="N136" s="192" t="str">
        <f ca="1"/>
        <v>מערכת</v>
      </c>
      <c r="O136" s="192" t="str">
        <f ca="1"/>
        <v>-</v>
      </c>
      <c r="P136" s="28"/>
    </row>
    <row r="137" spans="1:16" ht="409.5">
      <c r="A137" s="28"/>
      <c r="B137" s="192">
        <f ca="1"/>
        <v>8.5</v>
      </c>
      <c r="C137" s="192" t="str">
        <f ca="1"/>
        <v>Network</v>
      </c>
      <c r="D137" s="192" t="str">
        <f ca="1"/>
        <v>Detect</v>
      </c>
      <c r="E137" s="192" t="str">
        <f ca="1"/>
        <v>אסוף אירועים והתראות מפורטים</v>
      </c>
      <c r="F137" s="232" t="str">
        <f ca="1"/>
        <v>Configure detailed audit logging for enterprise assets containing sensitive data. Include event source, date, username, timestamp, source addresses, destination addresses, and other useful elements that could assist in a forensic investigation.</v>
      </c>
      <c r="G137" s="192" t="str">
        <f ca="1"/>
        <v>6.2.5 Ensure that the ‘Log_min_messages’ Flag for a Cloud SQL PostgreSQL Instance is set at minimum to 'Warning' (Automated)</v>
      </c>
      <c r="H137" s="192" t="str">
        <f ca="1"/>
        <v>The log_min_messages flag defines the minimum message severity level that is considered as an error statement. Messages for error statements are logged with the SQL statement. Valid values include DEBUG5, DEBUG4, DEBUG3, DEBUG2, DEBUG1, INFO, NOTICE, WARNING, ERROR, LOG, FATAL, and PANIC. Each severity level includes the subsequent levels mentioned above. ERROR is considered the best practice setting. Changes should only be made in accordance with the organization's logging policy.</v>
      </c>
      <c r="I137" s="272" t="str">
        <f ca="1"/>
        <v>6.2.5</v>
      </c>
      <c r="J137" s="273" t="str">
        <f ca="1"/>
        <v>Auditing helps in troubleshooting operational problems and also permits forensic analysis. If log_min_messages is not set to the correct value, messages may not be classified as error messages appropriately. An organization will need to decide their own threshold for logging log_min_messages flag.
This recommendation is applicable to PostgreSQL database instances.
Impact:
Setting the threshold too low will might result in increased log storage size and length, making it difficult to find actual errors. Setting the threshold to 'Warning' will log messages for the most needed error messages. Higher severity levels may cause errors needed to troubleshoot to not be logged.
Note: To effectively turn off logging failing statements, set this parameter to PANIC.</v>
      </c>
      <c r="K137" s="273" t="str">
        <f ca="1"/>
        <v>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log_min_messages from the drop-down menu and set appropriate value.
6. Click Save to save the changes.
7. Confirm the changes under Flags on the Overview page.
From Google Cloud CLI
1. Configure the log_min_messages database flag for every Cloud SQL PosgreSQL database instance using the below command. gcloud sql instances patch &lt;INSTANCE_NAME&gt; --database-flags log_min_messages=&lt;DEBUG5|DEBUG4|DEBUG3|DEBUG2|DEBUG1|INFO|NOTICE|WARNING|ERROR|LOG|FATAL|PANIC&gt;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
Default Value:
By default log_min_messages is ERROR.</v>
      </c>
      <c r="L137" s="273" t="str">
        <f ca="1"/>
        <v>1. https://cloud.google.com/sql/docs/postgres/flags
2. https://www.postgresql.org/docs/9.6/runtime-config-logging.html#RUNTIME-CONFIG-LOGGING-WHEN</v>
      </c>
      <c r="M137" s="192" t="str">
        <f ca="1"/>
        <v>v</v>
      </c>
      <c r="N137" s="192" t="str">
        <f ca="1"/>
        <v>מערכת</v>
      </c>
      <c r="O137" s="192" t="str">
        <f ca="1"/>
        <v>-</v>
      </c>
      <c r="P137" s="28"/>
    </row>
    <row r="138" spans="1:16" ht="409.5">
      <c r="A138" s="28"/>
      <c r="B138" s="192">
        <f ca="1"/>
        <v>8.5</v>
      </c>
      <c r="C138" s="192" t="str">
        <f ca="1"/>
        <v>Network</v>
      </c>
      <c r="D138" s="192" t="str">
        <f ca="1"/>
        <v>Detect</v>
      </c>
      <c r="E138" s="192" t="str">
        <f ca="1"/>
        <v>אסוף אירועים והתראות מפורטים</v>
      </c>
      <c r="F138" s="232" t="str">
        <f ca="1"/>
        <v>Configure detailed audit logging for enterprise assets containing sensitive data. Include event source, date, username, timestamp, source addresses, destination addresses, and other useful elements that could assist in a forensic investigation.</v>
      </c>
      <c r="G138" s="192" t="str">
        <f ca="1"/>
        <v>6.2.6 Ensure ‘Log_min_error_statement’ Database Flag for Cloud SQL PostgreSQL Instance Is Set to ‘Error’ or Stricter (Automated)</v>
      </c>
      <c r="H138" s="192" t="str">
        <f ca="1"/>
        <v>The log_min_error_statement flag defines the minimum message severity level that are considered as an error statement. Messages for error statements are logged with the SQL statement. Valid values include DEBUG5, DEBUG4, DEBUG3, DEBUG2, DEBUG1, INFO, NOTICE, WARNING, ERROR, LOG, FATAL, and PANIC. Each severity level includes the subsequent levels mentioned above. Ensure a value of ERROR or stricter is set.</v>
      </c>
      <c r="I138" s="272" t="str">
        <f ca="1"/>
        <v>6.2.6</v>
      </c>
      <c r="J138" s="273" t="str">
        <f ca="1"/>
        <v>Auditing helps in troubleshooting operational problems and also permits forensic analysis. If log_min_error_statement is not set to the correct value, messages may not be classified as error messages appropriately. Considering general log messages as error messages would make is difficult to find actual errors and considering only stricter severity levels as error messages may skip actual errors to log their SQL statements. The log_min_error_statement flag should be set to ERROR or stricter.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138" s="273" t="str">
        <f ca="1"/>
        <v>From Google Cloud Console
1. Go to the Cloud SQL Instances page in the Google Cloud Console by visiting https://console.cloud.google.com/sql/instances.
2. Select the PostgreSQL instance for which you want to enable the database flag.
3. Click Edit.
4. Scroll down to the Flags section.
5. To set a flag that has not been set on the instance before, click Add item, choose the flag log_min_error_statement from the drop-down menu and set appropriate value.
6. Click Save to save your changes.
7. Confirm your changes under Flags on the Overview page.
From Google Cloud CLI
1. Configure the log_min_error_statement database flag for every Cloud SQL PosgreSQL database instance using the below command. gcloud sql instances patch &lt;INSTANCE_NAME&gt; --database-flags log_min_error_statement=&lt;DEBUG5|DEBUG4|DEBUG3|DEBUG2|DEBUG1|INFO|NOTICE|WARNING|ERROR&gt; Note: This command will overwrite all database flags previously set. To keep those and add new ones, include the values for all flags you want set on the instance; any flag not specifically included is set to its default value. For flags that do not take a value, specify the flag name followed by an equals sign ("=").
Default Value:
By default log_min_error_statement is ERROR.</v>
      </c>
      <c r="L138" s="273" t="str">
        <f ca="1"/>
        <v>1. https://cloud.google.com/sql/docs/postgres/flags
2. https://www.postgresql.org/docs/9.6/runtime-config-logging.html#RUNTIME-CONFIG-LOGGING-WHEN</v>
      </c>
      <c r="M138" s="192" t="str">
        <f ca="1"/>
        <v>v</v>
      </c>
      <c r="N138" s="192" t="str">
        <f ca="1"/>
        <v>מערכת</v>
      </c>
      <c r="O138" s="192" t="str">
        <f ca="1"/>
        <v>-</v>
      </c>
      <c r="P138" s="28"/>
    </row>
    <row r="139" spans="1:16" ht="409.5">
      <c r="A139" s="28"/>
      <c r="B139" s="192">
        <f ca="1"/>
        <v>8.5</v>
      </c>
      <c r="C139" s="192" t="str">
        <f ca="1"/>
        <v>Network</v>
      </c>
      <c r="D139" s="192" t="str">
        <f ca="1"/>
        <v>Detect</v>
      </c>
      <c r="E139" s="192" t="str">
        <f ca="1"/>
        <v>אסוף אירועים והתראות מפורטים</v>
      </c>
      <c r="F139" s="232" t="str">
        <f ca="1"/>
        <v>Configure detailed audit logging for enterprise assets containing sensitive data. Include event source, date, username, timestamp, source addresses, destination addresses, and other useful elements that could assist in a forensic investigation.</v>
      </c>
      <c r="G139" s="192" t="str">
        <f ca="1"/>
        <v>6.2.7 Ensure That the ‘Log_min_duration_statement’ Database Flag for Cloud SQL PostgreSQL Instance Is Set to ‘-1′ (Disabled) (Automated)</v>
      </c>
      <c r="H139" s="192" t="str">
        <f ca="1"/>
        <v>The log_min_duration_statement flag defines the minimum amount of execution time of a statement in milliseconds where the total duration of the statement is logged. Ensure that log_min_duration_statement is disabled, i.e., a value of -1 is set.</v>
      </c>
      <c r="I139" s="272" t="str">
        <f ca="1"/>
        <v>6.2.7</v>
      </c>
      <c r="J139" s="273" t="str">
        <f ca="1"/>
        <v>Logging SQL statements may include sensitive information that should not be recorded in logs. This recommendation is applicable to PostgreSQL database instances.
Impact:
Turning on logging will increase the required storage over time. Mismanaged logs may cause your storage costs to increase. Setting custom flags via command line on certain instances will cause all omitted flags to be reset to defaults. This may cause you to lose custom flags and could result in unforeseen complications or instance restarts. Because of this, it is recommended you apply these flags changes during a period of low usage.</v>
      </c>
      <c r="K139" s="273" t="str">
        <f ca="1"/>
        <v>From Google Cloud Console
1. Go to the Cloud SQL Instances page in the Google Cloud Console by visiting https://console.cloud.google.com/sql/instances.
2. Select the PostgreSQL instance where the database flag needs to be enabled.
3. Click Edit.
4. Scroll down to the Flags section.
5. To set a flag that has not been set on the instance before, click Add item, choose the flag log_min_duration_statement from the drop-down menu and set a value of -1.
6. Click Save.
7. Confirm the changes under Flags on the Overview page.
From Google Cloud CLI
1. List all Cloud SQL database instances using the following command: gcloud sql instances list
2. Configure the log_min_duration_statement flag for every Cloud SQL PosgreSQL database instance using the below command: gcloud sql instances patch &lt;INSTANCE_NAME&gt; --database-flags log_min_duration_statement=-1 Note: This command will overwrite all database flags previously set. To keep those and add new ones, include the values for all flags to be set on the instance; any flag not specifically included is set to its default value. For flags that do not take a value, specify the flag name followed by an equals sign ("=").
Default Value:
By default log_min_duration_statement is -1.</v>
      </c>
      <c r="L139" s="273" t="str">
        <f ca="1"/>
        <v>1. https://cloud.google.com/sql/docs/postgres/flags
2. https://www.postgresql.org/docs/current/runtime-config-logging.html#RUNTIME-CONFIG-LOGGING-WHAT</v>
      </c>
      <c r="M139" s="192" t="str">
        <f ca="1"/>
        <v>v</v>
      </c>
      <c r="N139" s="192" t="str">
        <f ca="1"/>
        <v>מערכת</v>
      </c>
      <c r="O139" s="192" t="str">
        <f ca="1"/>
        <v>-</v>
      </c>
      <c r="P139" s="28"/>
    </row>
    <row r="140" spans="1:16" ht="409.5">
      <c r="A140" s="28"/>
      <c r="B140" s="192">
        <f ca="1"/>
        <v>8.5</v>
      </c>
      <c r="C140" s="192" t="str">
        <f ca="1"/>
        <v>Network</v>
      </c>
      <c r="D140" s="192" t="str">
        <f ca="1"/>
        <v>Detect</v>
      </c>
      <c r="E140" s="192" t="str">
        <f ca="1"/>
        <v>אסוף אירועים והתראות מפורטים</v>
      </c>
      <c r="F140" s="232" t="str">
        <f ca="1"/>
        <v>Configure detailed audit logging for enterprise assets containing sensitive data. Include event source, date, username, timestamp, source addresses, destination addresses, and other useful elements that could assist in a forensic investigation.</v>
      </c>
      <c r="G140" s="192" t="str">
        <f ca="1"/>
        <v>6.2.8 Ensure That 'cloudsql.enable_pgaudit' Database Flag for each Cloud Sql Postgresql Instance Is Set to 'on' For Centralized Logging (Automated)</v>
      </c>
      <c r="H140" s="192" t="str">
        <f ca="1"/>
        <v>Ensure cloudsql.enable_pgaudit database flag for Cloud SQL PostgreSQL instance is set to on to allow for centralized logging.</v>
      </c>
      <c r="I140" s="272" t="str">
        <f ca="1"/>
        <v>6.2.8</v>
      </c>
      <c r="J140" s="273" t="str">
        <f ca="1"/>
        <v>As numerous other recommendations in this section consist of turning on flags for logging purposes, your organization will need a way to manage these logs. You may have a solution already in place. If you do not, consider installing and enabling the open source pgaudit extension within PostgreSQL and enabling its corresponding flag of cloudsql.enable_pgaudit. This flag and installing the extension enables database auditing in PostgreSQL through the open-source pgAudit extension. This extension provides detailed session and object logging to comply with government, financial, &amp; ISO standards and provides auditing capabilities to mitigate threats by monitoring security events on the instance. Enabling the flag and settings later in this recommendation will send these logs to Google Logs Explorer so that you can access them in a central location. to This recommendation is applicable only to PostgreSQL database instances.
Impact:
Enabling the pgAudit extension can lead to increased data storage requirements and to ensure durability of pgAudit log records in the event of unexpected storage issues, it is recommended to enable the Enable automatic storage increases setting on the instance. Enabling flags via the command line will also overwrite all existing flags, so you should apply all needed flags in the CLI command. Also flags may require a restart of the server to be implemented or will break existing functionality so update your servers at a time of low usage.</v>
      </c>
      <c r="K140" s="273" t="str">
        <f ca="1"/>
        <v>Initialize the pgAudit flag From Google Cloud Console
1. Go to https://console.cloud.google.com/sql/instances.
2. Select the instance to open its Overview page.
3. Click Edit.
4. Scroll down and expand Flags.
5. To set a flag that has not been set on the instance before, click Add item.
6. Enter cloudsql.enable_pgaudit for the flag name and set the flag to on.
7. Click Done.
8. Click Save to update the configuration.
9. Confirm your changes under Flags on the Overview page.
From Google Cloud CLI Run the below command by providing &lt;INSTANCE_NAME&gt; to enable cloudsql.enable_pgaudit flag. gcloud sql instances patch &lt;INSTANCE_NAME&gt; --database-flags cloudsql.enable_pgaudit=on
Note: RESTART is required to get this configuration in effect.
Creating the extension
1. Connect to the the server running PostgreSQL or through a SQL client of your choice.
2. If SSHing to the server in the command line open the PostgreSQL shell by typing psql
3. Run the following command as a superuser. CREATE EXTENSION pgaudit;
Updating the previously created pgaudit.log flag for your Logging Needs
From Google Cloud Console: Note: there are multiple options here. This command will enable logging for all databases on a server. Please see the customizing database audit logging reference for more flag options.
1. Go to https://console.cloud.google.com/sql/instances.
2. Select the instance to open its Overview page.
3. Click Edit.
4. Scroll down and expand Flags.
5. To set a flag that has not been set on the instance before, click Add item.
6. Enter pgaudit.log=all for the flag name and set the flag to on.
7. Click Done.
8. Click Save to update the configuration.
9. Confirm your changes under Flags on the Overview page.
From Command Line: Run the command gcloud sql instances patch &lt;INSTANCE_NAME&gt; --database-flags \ cloudsql.enable_pgaudit=on,pgaudit.log=all
Determine if logs are being sent to Logs Explorer
1. From the Google Console home page, open the hamburger menu in the top left.
2. In the menu that pops open, scroll down to Logs Explorer under Operations.
3. In the query box, paste the following and search
resource.type="cloudsql_database" logName="projects//logs/cloudaudit.googleapis.com%2Fdata_access" protoPayload.request.@type="type.googleapis.com/google.cloud.sql.audit.v1.PgAuditEntry" If it returns any log sources, they are correctly setup.
Default Value:
By default cloudsql.enable_pgaudit database flag is set to off and the extension is not enabled.</v>
      </c>
      <c r="L140" s="273" t="str">
        <f ca="1"/>
        <v>1. https://cloud.google.com/sql/docs/postgres/flags#list-flags-postgres
2. https://cloud.google.com/sql/docs/postgres/pg-audit#enable-auditing-flag
3. https://cloud.google.com/sql/docs/postgres/pg-audit#customizing-database-audit-logging
4. https://cloud.google.com/logging/docs/audit/configure-data-access#config-console-enable</v>
      </c>
      <c r="M140" s="192" t="str">
        <f ca="1"/>
        <v>v</v>
      </c>
      <c r="N140" s="192" t="str">
        <f ca="1"/>
        <v>מערכת</v>
      </c>
      <c r="O140" s="192" t="str">
        <f ca="1"/>
        <v>-</v>
      </c>
      <c r="P140" s="28"/>
    </row>
    <row r="141" spans="1:16" ht="256.5">
      <c r="A141" s="28"/>
      <c r="B141" s="192">
        <f ca="1"/>
        <v>8.6</v>
      </c>
      <c r="C141" s="192" t="str">
        <f ca="1"/>
        <v>Network</v>
      </c>
      <c r="D141" s="192" t="str">
        <f ca="1"/>
        <v>Detect</v>
      </c>
      <c r="E141" s="192" t="str">
        <f ca="1"/>
        <v>אסוף אירועים והתראות שאילתות DNS</v>
      </c>
      <c r="F141" s="232" t="str">
        <f ca="1"/>
        <v>Collect DNS query audit logs on enterprise assets, where appropriate and supported.</v>
      </c>
      <c r="G141" s="192" t="str">
        <f ca="1"/>
        <v>2.12 Ensure That Cloud DNS Logging Is Enabled for All VPC Networks (Automated)</v>
      </c>
      <c r="H141" s="192" t="str">
        <f ca="1"/>
        <v>Cloud DNS logging records the queries from the name servers within your VPC to Stackdriver. Logged queries can come from Compute Engine VMs, GKE containers, or other GCP resources provisioned within the VPC.</v>
      </c>
      <c r="I141" s="272" t="str">
        <f ca="1"/>
        <v>2.12</v>
      </c>
      <c r="J141" s="273" t="str">
        <f ca="1"/>
        <v>Security monitoring and forensics cannot depend solely on IP addresses from VPC flow logs, especially when considering the dynamic IP usage of cloud resources, HTTP virtual host routing, and other technology that can obscure the DNS name used by a client from the IP address. Monitoring of Cloud DNS logs provides visibility to DNS names requested by the clients within the VPC. These logs can be monitored for anomalous domain names, evaluated against threat intelligence, and
Note: For full capture of DNS, firewall must block egress UDP/53 (DNS) and TCP/443 (DNS over HTTPS) to prevent client from using external DNS name server for resolution.
Impact:
Enabling of Cloud DNS logging might result in your project being charged for the additional logs usage.</v>
      </c>
      <c r="K141" s="273" t="str">
        <f ca="1"/>
        <v>From Google Cloud CLI Add New DNS Policy With Logging Enabled For each VPC network that needs a DNS policy with logging enabled: gcloud dns policies create enable-dns-logging --enable-logging --description="Enable DNS Logging" --networks=VPC_NETWORK_NAME
The VPC_NETWORK_NAME can be one or more networks in comma-separated list
Enable Logging for Existing DNS Policy For each VPC network that has an existing DNS policy that needs logging enabled: gcloud dns policies update POLICY_NAME --enable-logging --networks=VPC_NETWORK_NAME
The VPC_NETWORK_NAME can be one or more networks in comma-separated list
Default Value:
Cloud DNS logging is disabled by default on each network.</v>
      </c>
      <c r="L141" s="273" t="str">
        <f ca="1"/>
        <v>1. https://cloud.google.com/dns/docs/monitoring</v>
      </c>
      <c r="M141" s="192" t="str">
        <f ca="1"/>
        <v>v</v>
      </c>
      <c r="N141" s="192" t="str">
        <f ca="1"/>
        <v>מערכת</v>
      </c>
      <c r="O141" s="192" t="str">
        <f ca="1"/>
        <v>-</v>
      </c>
      <c r="P141" s="28"/>
    </row>
    <row r="142" spans="1:16" ht="28.5">
      <c r="A142" s="28"/>
      <c r="B142" s="192">
        <f ca="1"/>
        <v>8.6999999999999993</v>
      </c>
      <c r="C142" s="192" t="str">
        <f ca="1"/>
        <v>Network</v>
      </c>
      <c r="D142" s="192" t="str">
        <f ca="1"/>
        <v>Detect</v>
      </c>
      <c r="E142" s="192" t="str">
        <f ca="1"/>
        <v>אסוף אירועים והתראות של בקשות כתובת אתר</v>
      </c>
      <c r="F142" s="232" t="str">
        <f ca="1"/>
        <v>Collect URL request audit logs on enterprise assets, where appropriate and supported.</v>
      </c>
      <c r="G142" s="192" t="str">
        <f ca="1"/>
        <v>-</v>
      </c>
      <c r="H142" s="192" t="str">
        <f ca="1"/>
        <v>-</v>
      </c>
      <c r="I142" s="272" t="str">
        <f ca="1"/>
        <v>-</v>
      </c>
      <c r="J142" s="273" t="str">
        <f ca="1"/>
        <v>-</v>
      </c>
      <c r="K142" s="273" t="str">
        <f ca="1"/>
        <v>-</v>
      </c>
      <c r="L142" s="273" t="str">
        <f ca="1"/>
        <v>-</v>
      </c>
      <c r="M142" s="192" t="str">
        <f ca="1"/>
        <v/>
      </c>
      <c r="N142" s="192" t="str">
        <f ca="1"/>
        <v>ארגוני</v>
      </c>
      <c r="O142" s="192" t="str">
        <f ca="1"/>
        <v>-</v>
      </c>
      <c r="P142" s="28"/>
    </row>
    <row r="143" spans="1:16" ht="28.5">
      <c r="A143" s="28"/>
      <c r="B143" s="192">
        <f ca="1"/>
        <v>8.8000000000000007</v>
      </c>
      <c r="C143" s="192" t="str">
        <f ca="1"/>
        <v>Devices</v>
      </c>
      <c r="D143" s="192" t="str">
        <f ca="1"/>
        <v>Detect</v>
      </c>
      <c r="E143" s="192" t="str">
        <f ca="1"/>
        <v>אסוף אירועים והתראות בשורת הפקודה</v>
      </c>
      <c r="F143" s="232" t="str">
        <f ca="1"/>
        <v>Collect command-line audit logs. Example implementations include collecting audit logs from PowerShell®, BASH™, and remote administrative terminals.</v>
      </c>
      <c r="G143" s="192" t="str">
        <f ca="1"/>
        <v>-</v>
      </c>
      <c r="H143" s="192" t="str">
        <f ca="1"/>
        <v>-</v>
      </c>
      <c r="I143" s="272" t="str">
        <f ca="1"/>
        <v>-</v>
      </c>
      <c r="J143" s="273" t="str">
        <f ca="1"/>
        <v>-</v>
      </c>
      <c r="K143" s="273" t="str">
        <f ca="1"/>
        <v>-</v>
      </c>
      <c r="L143" s="273" t="str">
        <f ca="1"/>
        <v>-</v>
      </c>
      <c r="M143" s="192" t="str">
        <f ca="1"/>
        <v/>
      </c>
      <c r="N143" s="192" t="str">
        <f ca="1"/>
        <v>ארגוני</v>
      </c>
      <c r="O143" s="192" t="str">
        <f ca="1"/>
        <v>-</v>
      </c>
      <c r="P143" s="28"/>
    </row>
    <row r="144" spans="1:16" ht="409.5">
      <c r="A144" s="28"/>
      <c r="B144" s="192">
        <f ca="1"/>
        <v>8.9</v>
      </c>
      <c r="C144" s="192" t="str">
        <f ca="1"/>
        <v>Network</v>
      </c>
      <c r="D144" s="192" t="str">
        <f ca="1"/>
        <v>Detect</v>
      </c>
      <c r="E144" s="192" t="str">
        <f ca="1"/>
        <v>נהל אירועים והתראות באופן מרוכז</v>
      </c>
      <c r="F144" s="232" t="str">
        <f ca="1"/>
        <v>Centralize, to the extent possible, audit log collection and retention across enterprise assets.</v>
      </c>
      <c r="G144" s="192" t="str">
        <f ca="1"/>
        <v>6.2.8 Ensure That 'cloudsql.enable_pgaudit' Database Flag for each Cloud Sql Postgresql Instance Is Set to 'on' For Centralized Logging (Automated)</v>
      </c>
      <c r="H144" s="192" t="str">
        <f ca="1"/>
        <v>Ensure cloudsql.enable_pgaudit database flag for Cloud SQL PostgreSQL instance is set to on to allow for centralized logging.</v>
      </c>
      <c r="I144" s="272" t="str">
        <f ca="1"/>
        <v>6.2.8</v>
      </c>
      <c r="J144" s="273" t="str">
        <f ca="1"/>
        <v>As numerous other recommendations in this section consist of turning on flags for logging purposes, your organization will need a way to manage these logs. You may have a solution already in place. If you do not, consider installing and enabling the open source pgaudit extension within PostgreSQL and enabling its corresponding flag of cloudsql.enable_pgaudit. This flag and installing the extension enables database auditing in PostgreSQL through the open-source pgAudit extension. This extension provides detailed session and object logging to comply with government, financial, &amp; ISO standards and provides auditing capabilities to mitigate threats by monitoring security events on the instance. Enabling the flag and settings later in this recommendation will send these logs to Google Logs Explorer so that you can access them in a central location. to This recommendation is applicable only to PostgreSQL database instances.
Impact:
Enabling the pgAudit extension can lead to increased data storage requirements and to ensure durability of pgAudit log records in the event of unexpected storage issues, it is recommended to enable the Enable automatic storage increases setting on the instance. Enabling flags via the command line will also overwrite all existing flags, so you should apply all needed flags in the CLI command. Also flags may require a restart of the server to be implemented or will break existing functionality so update your servers at a time of low usage.</v>
      </c>
      <c r="K144" s="273" t="str">
        <f ca="1"/>
        <v>Initialize the pgAudit flag From Google Cloud Console
1. Go to https://console.cloud.google.com/sql/instances.
2. Select the instance to open its Overview page.
3. Click Edit.
4. Scroll down and expand Flags.
5. To set a flag that has not been set on the instance before, click Add item.
6. Enter cloudsql.enable_pgaudit for the flag name and set the flag to on.
7. Click Done.
8. Click Save to update the configuration.
9. Confirm your changes under Flags on the Overview page.
From Google Cloud CLI Run the below command by providing &lt;INSTANCE_NAME&gt; to enable cloudsql.enable_pgaudit flag. gcloud sql instances patch &lt;INSTANCE_NAME&gt; --database-flags cloudsql.enable_pgaudit=on
Note: RESTART is required to get this configuration in effect.
Creating the extension
1. Connect to the the server running PostgreSQL or through a SQL client of your choice.
2. If SSHing to the server in the command line open the PostgreSQL shell by typing psql
3. Run the following command as a superuser. CREATE EXTENSION pgaudit;
Updating the previously created pgaudit.log flag for your Logging Needs
From Google Cloud Console: Note: there are multiple options here. This command will enable logging for all databases on a server. Please see the customizing database audit logging reference for more flag options.
1. Go to https://console.cloud.google.com/sql/instances.
2. Select the instance to open its Overview page.
3. Click Edit.
4. Scroll down and expand Flags.
5. To set a flag that has not been set on the instance before, click Add item.
6. Enter pgaudit.log=all for the flag name and set the flag to on.
7. Click Done.
8. Click Save to update the configuration.
9. Confirm your changes under Flags on the Overview page.
From Command Line: Run the command gcloud sql instances patch &lt;INSTANCE_NAME&gt; --database-flags \ cloudsql.enable_pgaudit=on,pgaudit.log=all
Determine if logs are being sent to Logs Explorer
1. From the Google Console home page, open the hamburger menu in the top left.
2. In the menu that pops open, scroll down to Logs Explorer under Operations.
3. In the query box, paste the following and search
resource.type="cloudsql_database" logName="projects//logs/cloudaudit.googleapis.com%2Fdata_access" protoPayload.request.@type="type.googleapis.com/google.cloud.sql.audit.v1.PgAuditEntry" If it returns any log sources, they are correctly setup.
Default Value:
By default cloudsql.enable_pgaudit database flag is set to off and the extension is not enabled.</v>
      </c>
      <c r="L144" s="273" t="str">
        <f ca="1"/>
        <v>1. https://cloud.google.com/sql/docs/postgres/flags#list-flags-postgres
2. https://cloud.google.com/sql/docs/postgres/pg-audit#enable-auditing-flag
3. https://cloud.google.com/sql/docs/postgres/pg-audit#customizing-database-audit-logging
4. https://cloud.google.com/logging/docs/audit/configure-data-access#config-console-enable</v>
      </c>
      <c r="M144" s="192" t="str">
        <f ca="1"/>
        <v>v</v>
      </c>
      <c r="N144" s="192" t="str">
        <f ca="1"/>
        <v>מערכת</v>
      </c>
      <c r="O144" s="192" t="str">
        <f ca="1"/>
        <v>-</v>
      </c>
      <c r="P144" s="28"/>
    </row>
    <row r="145" spans="1:16">
      <c r="A145" s="28"/>
      <c r="B145" s="192">
        <f ca="1"/>
        <v>8.1</v>
      </c>
      <c r="C145" s="192" t="str">
        <f ca="1"/>
        <v>Network</v>
      </c>
      <c r="D145" s="192" t="str">
        <f ca="1"/>
        <v>Protect</v>
      </c>
      <c r="E145" s="192" t="str">
        <f ca="1"/>
        <v>שמור אירועים והתראות</v>
      </c>
      <c r="F145" s="232" t="str">
        <f ca="1"/>
        <v>Retain audit logs across enterprise assets for a minimum of 90 days.</v>
      </c>
      <c r="G145" s="192" t="str">
        <f ca="1"/>
        <v>-</v>
      </c>
      <c r="H145" s="192" t="str">
        <f ca="1"/>
        <v>-</v>
      </c>
      <c r="I145" s="272" t="str">
        <f ca="1"/>
        <v>-</v>
      </c>
      <c r="J145" s="273" t="str">
        <f ca="1"/>
        <v>-</v>
      </c>
      <c r="K145" s="273" t="str">
        <f ca="1"/>
        <v>-</v>
      </c>
      <c r="L145" s="273" t="str">
        <f ca="1"/>
        <v>-</v>
      </c>
      <c r="M145" s="192" t="str">
        <f ca="1"/>
        <v/>
      </c>
      <c r="N145" s="192" t="str">
        <f ca="1"/>
        <v>ארגוני</v>
      </c>
      <c r="O145" s="192" t="str">
        <f ca="1"/>
        <v>-</v>
      </c>
      <c r="P145" s="28"/>
    </row>
    <row r="146" spans="1:16" ht="409.5">
      <c r="A146" s="28"/>
      <c r="B146" s="192">
        <f ca="1"/>
        <v>8.11</v>
      </c>
      <c r="C146" s="192" t="str">
        <f ca="1"/>
        <v>Network</v>
      </c>
      <c r="D146" s="192" t="str">
        <f ca="1"/>
        <v>Detect</v>
      </c>
      <c r="E146" s="192" t="str">
        <f ca="1"/>
        <v>בצע סקירות אירועים והתראות</v>
      </c>
      <c r="F146" s="232" t="str">
        <f ca="1"/>
        <v>Conduct reviews of audit logs to detect anomalies or abnormal events that could indicate a potential threat. Conduct reviews on a weekly, or more frequent, basis.</v>
      </c>
      <c r="G146" s="192" t="str">
        <f ca="1"/>
        <v>2.1 Ensure That Cloud Audit Logging Is Configured Properly (Automated)</v>
      </c>
      <c r="H146" s="192" t="str">
        <f ca="1"/>
        <v>It is recommended that Cloud Audit Logging is configured to track all admin activities and read, write access to user data.
Default Value:
Admin Activity logs are always enabled. They cannot be disabled. Data Access audit logs are disabled by default because they can be quite large.</v>
      </c>
      <c r="I146" s="272" t="str">
        <f ca="1"/>
        <v>2.1</v>
      </c>
      <c r="J146" s="273" t="str">
        <f ca="1"/>
        <v>Cloud Audit Logging maintains two audit logs for each project, folder, and organization: Admin Activity and Data Access.
1. Admin Activity logs contain log entries for API calls or other administrative actions that modify the configuration or metadata of resources. Admin Activity audit logs are enabled for all services and cannot be configured.
2. Data Access audit logs record API calls that create, modify, or read user-provided data. These are disabled by default and should be enabled.
There are three kinds of Data Access audit log information:
o Admin read: Records operations that read metadata or configuration information. Admin Activity audit logs record writes of metadata and configuration information that cannot be disabled.
o Data read: Records operations that read user-provided data.
o Data write: Records operations that write user-provided data.
It is recommended to have an effective default audit config configured in such a way that:
1. logtype is set to DATA_READ (to log user activity tracking) and DATA_WRITES (to log changes/tampering to user data).
2. audit config is enabled for all the services supported by the Data Access audit logs feature.
3. Logs should be captured for all users, i.e., there are no exempted users in any of the audit config sections. This will ensure overriding the audit config will not contradict the requirement.
Impact:
There is no charge for Admin Activity audit logs. Enabling the Data Access audit logs might result in your project being charged for the additional logs usage.</v>
      </c>
      <c r="K146" s="273" t="str">
        <f ca="1"/>
        <v>From Google Cloud Console
1. Go to Audit Logs by visiting https://console.cloud.google.com/iam-admin/audit.
2. Follow the steps at https://cloud.google.com/logging/docs/audit/configure-data-access to enable audit logs for all Google Cloud services. Ensure that no exemptions are allowed.
From Google Cloud CLI
1. To read the project's IAM policy and store it in a file run a command: gcloud projects get-iam-policy PROJECT_ID &gt; /tmp/project_policy.yaml
Alternatively, the policy can be set at the organization or folder level. If setting the policy at the organization level, it is not necessary to also set it for each folder or project. gcloud organizations get-iam-policy ORGANIZATION_ID &gt; /tmp/org_policy.yaml gcloud resource-manager folders get-iam-policy FOLDER_ID &gt; /tmp/folder_policy.yaml
2. Edit policy in /tmp/policy.yaml, adding or changing only the audit logs configuration to: Note: Admin Activity Logs are enabled by default, and cannot be disabled. So they are not listed in these configuration changes. auditConfigs: - auditLogConfigs: - logType: DATA_WRITE - logType: DATA_READ service: allServices
Note: exemptedMembers: is not set as audit logging should be enabled for all the users
3. To write new IAM policy run command: gcloud organizations set-iam-policy ORGANIZATION_ID /tmp/org_policy.yaml gcloud resource-manager folders set-iam-policy FOLDER_ID /tmp/folder_policy.yaml gcloud projects set-iam-policy PROJECT_ID /tmp/project_policy.yaml
If the preceding command reports a conflict with another change, then repeat these steps, starting with the first step.</v>
      </c>
      <c r="L146" s="273" t="str">
        <f ca="1"/>
        <v>1. https://cloud.google.com/logging/docs/audit/
2. https://cloud.google.com/logging/docs/audit/configure-data-access</v>
      </c>
      <c r="M146" s="192" t="str">
        <f ca="1"/>
        <v>v</v>
      </c>
      <c r="N146" s="192" t="str">
        <f ca="1"/>
        <v>ארגוני</v>
      </c>
      <c r="O146" s="192" t="str">
        <f ca="1"/>
        <v>v</v>
      </c>
      <c r="P146" s="28"/>
    </row>
    <row r="147" spans="1:16" ht="256.5">
      <c r="A147" s="28"/>
      <c r="B147" s="192">
        <f ca="1"/>
        <v>8.11</v>
      </c>
      <c r="C147" s="192" t="str">
        <f ca="1"/>
        <v>Network</v>
      </c>
      <c r="D147" s="192" t="str">
        <f ca="1"/>
        <v>Detect</v>
      </c>
      <c r="E147" s="192" t="str">
        <f ca="1"/>
        <v>בצע סקירות אירועים והתראות</v>
      </c>
      <c r="F147" s="232" t="str">
        <f ca="1"/>
        <v>Conduct reviews of audit logs to detect anomalies or abnormal events that could indicate a potential threat. Conduct reviews on a weekly, or more frequent, basis.</v>
      </c>
      <c r="G147" s="192" t="str">
        <f ca="1"/>
        <v>2.12 Ensure That Cloud DNS Logging Is Enabled for All VPC Networks (Automated)</v>
      </c>
      <c r="H147" s="192" t="str">
        <f ca="1"/>
        <v>Cloud DNS logging records the queries from the name servers within your VPC to Stackdriver. Logged queries can come from Compute Engine VMs, GKE containers, or other GCP resources provisioned within the VPC.</v>
      </c>
      <c r="I147" s="272" t="str">
        <f ca="1"/>
        <v>2.12</v>
      </c>
      <c r="J147" s="273" t="str">
        <f ca="1"/>
        <v>Security monitoring and forensics cannot depend solely on IP addresses from VPC flow logs, especially when considering the dynamic IP usage of cloud resources, HTTP virtual host routing, and other technology that can obscure the DNS name used by a client from the IP address. Monitoring of Cloud DNS logs provides visibility to DNS names requested by the clients within the VPC. These logs can be monitored for anomalous domain names, evaluated against threat intelligence, and
Note: For full capture of DNS, firewall must block egress UDP/53 (DNS) and TCP/443 (DNS over HTTPS) to prevent client from using external DNS name server for resolution.
Impact:
Enabling of Cloud DNS logging might result in your project being charged for the additional logs usage.</v>
      </c>
      <c r="K147" s="273" t="str">
        <f ca="1"/>
        <v>From Google Cloud CLI Add New DNS Policy With Logging Enabled For each VPC network that needs a DNS policy with logging enabled: gcloud dns policies create enable-dns-logging --enable-logging --description="Enable DNS Logging" --networks=VPC_NETWORK_NAME
The VPC_NETWORK_NAME can be one or more networks in comma-separated list
Enable Logging for Existing DNS Policy For each VPC network that has an existing DNS policy that needs logging enabled: gcloud dns policies update POLICY_NAME --enable-logging --networks=VPC_NETWORK_NAME
The VPC_NETWORK_NAME can be one or more networks in comma-separated list
Default Value:
Cloud DNS logging is disabled by default on each network.</v>
      </c>
      <c r="L147" s="273" t="str">
        <f ca="1"/>
        <v>1. https://cloud.google.com/dns/docs/monitoring</v>
      </c>
      <c r="M147" s="192" t="str">
        <f ca="1"/>
        <v>v</v>
      </c>
      <c r="N147" s="192" t="str">
        <f ca="1"/>
        <v>מערכת</v>
      </c>
      <c r="O147" s="192" t="str">
        <f ca="1"/>
        <v>-</v>
      </c>
      <c r="P147" s="28"/>
    </row>
    <row r="148" spans="1:16" ht="45">
      <c r="A148" s="28"/>
      <c r="B148" s="192" t="str">
        <f ca="1"/>
        <v>-</v>
      </c>
      <c r="C148" s="192" t="str">
        <f ca="1"/>
        <v>-</v>
      </c>
      <c r="D148" s="192" t="str">
        <f ca="1"/>
        <v>-</v>
      </c>
      <c r="E148" s="192" t="str">
        <f ca="1"/>
        <v>הגנות דואר אלקטרוני ודפדפן אינטרנט</v>
      </c>
      <c r="F148" s="232" t="str">
        <f ca="1"/>
        <v>Improve protections and detections of threats from email and web vectors, as these are opportunities for attackers to manipulate human behavior through direct engagement.</v>
      </c>
      <c r="G148" s="192" t="str">
        <f ca="1"/>
        <v>-</v>
      </c>
      <c r="H148" s="192" t="str">
        <f ca="1"/>
        <v>-</v>
      </c>
      <c r="I148" s="272" t="str">
        <f ca="1"/>
        <v>-</v>
      </c>
      <c r="J148" s="273" t="str">
        <f ca="1"/>
        <v>-</v>
      </c>
      <c r="K148" s="273" t="str">
        <f ca="1"/>
        <v>-</v>
      </c>
      <c r="L148" s="273" t="str">
        <f ca="1"/>
        <v>-</v>
      </c>
      <c r="M148" s="192" t="str">
        <f ca="1"/>
        <v>-</v>
      </c>
      <c r="N148" s="192" t="str">
        <f ca="1"/>
        <v>-</v>
      </c>
      <c r="O148" s="192" t="str">
        <f ca="1"/>
        <v>-</v>
      </c>
      <c r="P148" s="28"/>
    </row>
    <row r="149" spans="1:16" ht="42.75">
      <c r="A149" s="28"/>
      <c r="B149" s="192">
        <f ca="1"/>
        <v>9.1</v>
      </c>
      <c r="C149" s="192" t="str">
        <f ca="1"/>
        <v>Applications</v>
      </c>
      <c r="D149" s="192" t="str">
        <f ca="1"/>
        <v>Protect</v>
      </c>
      <c r="E149" s="192" t="str">
        <f ca="1"/>
        <v>ודא שימוש רק בדפדפנים ובלקוחות דוא"ל הנתמכים במלואם</v>
      </c>
      <c r="F149" s="232" t="str">
        <f ca="1"/>
        <v>Ensure only fully supported browsers and email clients are allowed to execute in the enterprise, only using the latest version of browsers and email clients provided through the vendor.</v>
      </c>
      <c r="G149" s="192" t="str">
        <f ca="1"/>
        <v>-</v>
      </c>
      <c r="H149" s="192" t="str">
        <f ca="1"/>
        <v>-</v>
      </c>
      <c r="I149" s="272" t="str">
        <f ca="1"/>
        <v>-</v>
      </c>
      <c r="J149" s="273" t="str">
        <f ca="1"/>
        <v>-</v>
      </c>
      <c r="K149" s="273" t="str">
        <f ca="1"/>
        <v>-</v>
      </c>
      <c r="L149" s="273" t="str">
        <f ca="1"/>
        <v>-</v>
      </c>
      <c r="M149" s="192" t="str">
        <f ca="1"/>
        <v/>
      </c>
      <c r="N149" s="192" t="str">
        <f ca="1"/>
        <v>ארגוני</v>
      </c>
      <c r="O149" s="192" t="str">
        <f ca="1"/>
        <v>-</v>
      </c>
      <c r="P149" s="28"/>
    </row>
    <row r="150" spans="1:16" ht="28.5">
      <c r="A150" s="28"/>
      <c r="B150" s="192">
        <f ca="1"/>
        <v>9.1999999999999993</v>
      </c>
      <c r="C150" s="192" t="str">
        <f ca="1"/>
        <v>Network</v>
      </c>
      <c r="D150" s="192" t="str">
        <f ca="1"/>
        <v>Protect</v>
      </c>
      <c r="E150" s="192" t="str">
        <f ca="1"/>
        <v>השתמש בשירותי סינון DNS</v>
      </c>
      <c r="F150" s="232" t="str">
        <f ca="1"/>
        <v>Use DNS filtering services on all enterprise assets to block access to known malicious domains.</v>
      </c>
      <c r="G150" s="192" t="str">
        <f ca="1"/>
        <v>-</v>
      </c>
      <c r="H150" s="192" t="str">
        <f ca="1"/>
        <v>-</v>
      </c>
      <c r="I150" s="272" t="str">
        <f ca="1"/>
        <v>-</v>
      </c>
      <c r="J150" s="273" t="str">
        <f ca="1"/>
        <v>-</v>
      </c>
      <c r="K150" s="273" t="str">
        <f ca="1"/>
        <v>-</v>
      </c>
      <c r="L150" s="273" t="str">
        <f ca="1"/>
        <v>-</v>
      </c>
      <c r="M150" s="192" t="str">
        <f ca="1"/>
        <v/>
      </c>
      <c r="N150" s="192" t="str">
        <f ca="1"/>
        <v>ארגוני</v>
      </c>
      <c r="O150" s="192" t="str">
        <f ca="1"/>
        <v>-</v>
      </c>
      <c r="P150" s="28"/>
    </row>
    <row r="151" spans="1:16" ht="57">
      <c r="A151" s="28"/>
      <c r="B151" s="192">
        <f ca="1"/>
        <v>9.3000000000000007</v>
      </c>
      <c r="C151" s="192" t="str">
        <f ca="1"/>
        <v>Network</v>
      </c>
      <c r="D151" s="192" t="str">
        <f ca="1"/>
        <v>Protect</v>
      </c>
      <c r="E151" s="192" t="str">
        <f ca="1"/>
        <v>שמירה ואכיפה של מסנני כתובות אתרים מבוססי רשת</v>
      </c>
      <c r="F151" s="232" t="str">
        <f ca="1"/>
        <v>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v>
      </c>
      <c r="G151" s="192" t="str">
        <f ca="1"/>
        <v>-</v>
      </c>
      <c r="H151" s="192" t="str">
        <f ca="1"/>
        <v>-</v>
      </c>
      <c r="I151" s="272" t="str">
        <f ca="1"/>
        <v>-</v>
      </c>
      <c r="J151" s="273" t="str">
        <f ca="1"/>
        <v>-</v>
      </c>
      <c r="K151" s="273" t="str">
        <f ca="1"/>
        <v>-</v>
      </c>
      <c r="L151" s="273" t="str">
        <f ca="1"/>
        <v>-</v>
      </c>
      <c r="M151" s="192" t="str">
        <f ca="1"/>
        <v/>
      </c>
      <c r="N151" s="192" t="str">
        <f ca="1"/>
        <v>ארגוני</v>
      </c>
      <c r="O151" s="192" t="str">
        <f ca="1"/>
        <v>-</v>
      </c>
      <c r="P151" s="28"/>
    </row>
    <row r="152" spans="1:16" ht="42.75">
      <c r="A152" s="28"/>
      <c r="B152" s="192">
        <f ca="1"/>
        <v>9.4</v>
      </c>
      <c r="C152" s="192" t="str">
        <f ca="1"/>
        <v>Applications</v>
      </c>
      <c r="D152" s="192" t="str">
        <f ca="1"/>
        <v>Protect</v>
      </c>
      <c r="E152" s="192" t="str">
        <f ca="1"/>
        <v>הגבל הרחבות דפדפן ולקוח דוא"ל מיותרות או לא מורשות</v>
      </c>
      <c r="F152" s="232" t="str">
        <f ca="1"/>
        <v>Restrict, either through uninstalling or disabling, any unauthorized or unnecessary browser or email client plugins, extensions, and add-on applications.</v>
      </c>
      <c r="G152" s="192" t="str">
        <f ca="1"/>
        <v>-</v>
      </c>
      <c r="H152" s="192" t="str">
        <f ca="1"/>
        <v>-</v>
      </c>
      <c r="I152" s="272" t="str">
        <f ca="1"/>
        <v>-</v>
      </c>
      <c r="J152" s="273" t="str">
        <f ca="1"/>
        <v>-</v>
      </c>
      <c r="K152" s="273" t="str">
        <f ca="1"/>
        <v>-</v>
      </c>
      <c r="L152" s="273" t="str">
        <f ca="1"/>
        <v>-</v>
      </c>
      <c r="M152" s="192" t="str">
        <f ca="1"/>
        <v/>
      </c>
      <c r="N152" s="192" t="str">
        <f ca="1"/>
        <v>ארגוני</v>
      </c>
      <c r="O152" s="192" t="str">
        <f ca="1"/>
        <v>-</v>
      </c>
      <c r="P152" s="28"/>
    </row>
    <row r="153" spans="1:16" ht="57">
      <c r="A153" s="28"/>
      <c r="B153" s="192">
        <f ca="1"/>
        <v>9.5</v>
      </c>
      <c r="C153" s="192" t="str">
        <f ca="1"/>
        <v>Network</v>
      </c>
      <c r="D153" s="192" t="str">
        <f ca="1"/>
        <v>Protect</v>
      </c>
      <c r="E153" s="192" t="str">
        <f ca="1"/>
        <v>הטמעת DMARC</v>
      </c>
      <c r="F153" s="232" t="str">
        <f ca="1"/>
        <v>To lower the chance of spoofed or modified emails from valid domains, implement DMARC policy and verification, starting with implementing the Sender Policy Framework (SPF) and the DomainKeys Identified Mail (DKIM) standards.</v>
      </c>
      <c r="G153" s="192" t="str">
        <f ca="1"/>
        <v>-</v>
      </c>
      <c r="H153" s="192" t="str">
        <f ca="1"/>
        <v>-</v>
      </c>
      <c r="I153" s="272" t="str">
        <f ca="1"/>
        <v>-</v>
      </c>
      <c r="J153" s="273" t="str">
        <f ca="1"/>
        <v>-</v>
      </c>
      <c r="K153" s="273" t="str">
        <f ca="1"/>
        <v>-</v>
      </c>
      <c r="L153" s="273" t="str">
        <f ca="1"/>
        <v>-</v>
      </c>
      <c r="M153" s="192" t="str">
        <f ca="1"/>
        <v/>
      </c>
      <c r="N153" s="192" t="str">
        <f ca="1"/>
        <v>ארגוני</v>
      </c>
      <c r="O153" s="192" t="str">
        <f ca="1"/>
        <v>-</v>
      </c>
      <c r="P153" s="28"/>
    </row>
    <row r="154" spans="1:16">
      <c r="A154" s="28"/>
      <c r="B154" s="192">
        <f ca="1"/>
        <v>9.6</v>
      </c>
      <c r="C154" s="192" t="str">
        <f ca="1"/>
        <v>Network</v>
      </c>
      <c r="D154" s="192" t="str">
        <f ca="1"/>
        <v>Protect</v>
      </c>
      <c r="E154" s="192" t="str">
        <f ca="1"/>
        <v>חסום סוגי קבצים מיותרים</v>
      </c>
      <c r="F154" s="232" t="str">
        <f ca="1"/>
        <v>Block unnecessary file types attempting to enter the enterprise’s email gateway.</v>
      </c>
      <c r="G154" s="192" t="str">
        <f ca="1"/>
        <v>-</v>
      </c>
      <c r="H154" s="192" t="str">
        <f ca="1"/>
        <v>-</v>
      </c>
      <c r="I154" s="272" t="str">
        <f ca="1"/>
        <v>-</v>
      </c>
      <c r="J154" s="273" t="str">
        <f ca="1"/>
        <v>-</v>
      </c>
      <c r="K154" s="273" t="str">
        <f ca="1"/>
        <v>-</v>
      </c>
      <c r="L154" s="273" t="str">
        <f ca="1"/>
        <v>-</v>
      </c>
      <c r="M154" s="192" t="str">
        <f ca="1"/>
        <v/>
      </c>
      <c r="N154" s="192" t="str">
        <f ca="1"/>
        <v>ארגוני</v>
      </c>
      <c r="O154" s="192" t="str">
        <f ca="1"/>
        <v>-</v>
      </c>
      <c r="P154" s="28"/>
    </row>
    <row r="155" spans="1:16" ht="28.5">
      <c r="A155" s="28"/>
      <c r="B155" s="192">
        <f ca="1"/>
        <v>9.6999999999999993</v>
      </c>
      <c r="C155" s="192" t="str">
        <f ca="1"/>
        <v>Network</v>
      </c>
      <c r="D155" s="192" t="str">
        <f ca="1"/>
        <v>Protect</v>
      </c>
      <c r="E155" s="192" t="str">
        <f ca="1"/>
        <v>פרוס ותחזק הגנות נגד תוכנות זדוניות לשרת דוא"ל</v>
      </c>
      <c r="F155" s="232" t="str">
        <f ca="1"/>
        <v>Deploy and maintain email server anti-malware protections, such as attachment scanning and/or sandboxing.</v>
      </c>
      <c r="G155" s="192" t="str">
        <f ca="1"/>
        <v>-</v>
      </c>
      <c r="H155" s="192" t="str">
        <f ca="1"/>
        <v>-</v>
      </c>
      <c r="I155" s="272" t="str">
        <f ca="1"/>
        <v>-</v>
      </c>
      <c r="J155" s="273" t="str">
        <f ca="1"/>
        <v>-</v>
      </c>
      <c r="K155" s="273" t="str">
        <f ca="1"/>
        <v>-</v>
      </c>
      <c r="L155" s="273" t="str">
        <f ca="1"/>
        <v>-</v>
      </c>
      <c r="M155" s="192" t="str">
        <f ca="1"/>
        <v/>
      </c>
      <c r="N155" s="192" t="str">
        <f ca="1"/>
        <v>ארגוני</v>
      </c>
      <c r="O155" s="192" t="str">
        <f ca="1"/>
        <v>-</v>
      </c>
      <c r="P155" s="28"/>
    </row>
    <row r="156" spans="1:16" ht="30">
      <c r="A156" s="28"/>
      <c r="B156" s="192" t="str">
        <f ca="1"/>
        <v>-</v>
      </c>
      <c r="C156" s="192" t="str">
        <f ca="1"/>
        <v>-</v>
      </c>
      <c r="D156" s="192" t="str">
        <f ca="1"/>
        <v>-</v>
      </c>
      <c r="E156" s="192" t="str">
        <f ca="1"/>
        <v>הגנה מפני תוכנות זדוניות</v>
      </c>
      <c r="F156" s="232" t="str">
        <f ca="1"/>
        <v>Prevent or control the installation, spread, and execution of malicious applications, code, or scripts on enterprise assets.</v>
      </c>
      <c r="G156" s="192" t="str">
        <f ca="1"/>
        <v>-</v>
      </c>
      <c r="H156" s="192" t="str">
        <f ca="1"/>
        <v>-</v>
      </c>
      <c r="I156" s="272" t="str">
        <f ca="1"/>
        <v>-</v>
      </c>
      <c r="J156" s="273" t="str">
        <f ca="1"/>
        <v>-</v>
      </c>
      <c r="K156" s="273" t="str">
        <f ca="1"/>
        <v>-</v>
      </c>
      <c r="L156" s="273" t="str">
        <f ca="1"/>
        <v>-</v>
      </c>
      <c r="M156" s="192" t="str">
        <f ca="1"/>
        <v>-</v>
      </c>
      <c r="N156" s="192" t="str">
        <f ca="1"/>
        <v>-</v>
      </c>
      <c r="O156" s="192" t="str">
        <f ca="1"/>
        <v>-</v>
      </c>
      <c r="P156" s="28"/>
    </row>
    <row r="157" spans="1:16" ht="28.5">
      <c r="A157" s="28"/>
      <c r="B157" s="192">
        <f ca="1"/>
        <v>10.1</v>
      </c>
      <c r="C157" s="192" t="str">
        <f ca="1"/>
        <v>Devices</v>
      </c>
      <c r="D157" s="192" t="str">
        <f ca="1"/>
        <v>Protect</v>
      </c>
      <c r="E157" s="192" t="str">
        <f ca="1"/>
        <v>פרוס ותחזק תוכנה נגד תוכנות זדוניות</v>
      </c>
      <c r="F157" s="232" t="str">
        <f ca="1"/>
        <v>Deploy and maintain anti-malware software on all enterprise assets.</v>
      </c>
      <c r="G157" s="192" t="str">
        <f ca="1"/>
        <v>-</v>
      </c>
      <c r="H157" s="192" t="str">
        <f ca="1"/>
        <v>-</v>
      </c>
      <c r="I157" s="272" t="str">
        <f ca="1"/>
        <v>-</v>
      </c>
      <c r="J157" s="273" t="str">
        <f ca="1"/>
        <v>-</v>
      </c>
      <c r="K157" s="273" t="str">
        <f ca="1"/>
        <v>-</v>
      </c>
      <c r="L157" s="273" t="str">
        <f ca="1"/>
        <v>-</v>
      </c>
      <c r="M157" s="192" t="str">
        <f ca="1"/>
        <v/>
      </c>
      <c r="N157" s="192" t="str">
        <f ca="1"/>
        <v>ארגוני</v>
      </c>
      <c r="O157" s="192" t="str">
        <f ca="1"/>
        <v>-</v>
      </c>
      <c r="P157" s="28"/>
    </row>
    <row r="158" spans="1:16" ht="28.5">
      <c r="A158" s="28"/>
      <c r="B158" s="192">
        <f ca="1"/>
        <v>10.199999999999999</v>
      </c>
      <c r="C158" s="192" t="str">
        <f ca="1"/>
        <v>Devices</v>
      </c>
      <c r="D158" s="192" t="str">
        <f ca="1"/>
        <v>Protect</v>
      </c>
      <c r="E158" s="192" t="str">
        <f ca="1"/>
        <v>הגדר עדכוני חתימה אוטומטיים נגד תוכנות זדוניות</v>
      </c>
      <c r="F158" s="232" t="str">
        <f ca="1"/>
        <v>Configure automatic updates for anti-malware signature files on all enterprise assets.</v>
      </c>
      <c r="G158" s="192" t="str">
        <f ca="1"/>
        <v>-</v>
      </c>
      <c r="H158" s="192" t="str">
        <f ca="1"/>
        <v>-</v>
      </c>
      <c r="I158" s="272" t="str">
        <f ca="1"/>
        <v>-</v>
      </c>
      <c r="J158" s="273" t="str">
        <f ca="1"/>
        <v>-</v>
      </c>
      <c r="K158" s="273" t="str">
        <f ca="1"/>
        <v>-</v>
      </c>
      <c r="L158" s="273" t="str">
        <f ca="1"/>
        <v>-</v>
      </c>
      <c r="M158" s="192" t="str">
        <f ca="1"/>
        <v/>
      </c>
      <c r="N158" s="192" t="str">
        <f ca="1"/>
        <v>ארגוני</v>
      </c>
      <c r="O158" s="192" t="str">
        <f ca="1"/>
        <v>-</v>
      </c>
      <c r="P158" s="28"/>
    </row>
    <row r="159" spans="1:16" ht="42.75">
      <c r="A159" s="28"/>
      <c r="B159" s="192">
        <f ca="1"/>
        <v>10.3</v>
      </c>
      <c r="C159" s="192" t="str">
        <f ca="1"/>
        <v>Devices</v>
      </c>
      <c r="D159" s="192" t="str">
        <f ca="1"/>
        <v>Protect</v>
      </c>
      <c r="E159" s="192" t="str">
        <f ca="1"/>
        <v>השבת הפעלה אוטומטית והפעלה אוטומטית עבור מדיה נשלפת</v>
      </c>
      <c r="F159" s="232" t="str">
        <f ca="1"/>
        <v>Disable autorun and autoplay auto-execute functionality for removable media.</v>
      </c>
      <c r="G159" s="192" t="str">
        <f ca="1"/>
        <v>-</v>
      </c>
      <c r="H159" s="192" t="str">
        <f ca="1"/>
        <v>-</v>
      </c>
      <c r="I159" s="272" t="str">
        <f ca="1"/>
        <v>-</v>
      </c>
      <c r="J159" s="273" t="str">
        <f ca="1"/>
        <v>-</v>
      </c>
      <c r="K159" s="273" t="str">
        <f ca="1"/>
        <v>-</v>
      </c>
      <c r="L159" s="273" t="str">
        <f ca="1"/>
        <v>-</v>
      </c>
      <c r="M159" s="192" t="str">
        <f ca="1"/>
        <v/>
      </c>
      <c r="N159" s="192" t="str">
        <f ca="1"/>
        <v>ארגוני</v>
      </c>
      <c r="O159" s="192" t="str">
        <f ca="1"/>
        <v>-</v>
      </c>
      <c r="P159" s="28"/>
    </row>
    <row r="160" spans="1:16" ht="42.75">
      <c r="A160" s="28"/>
      <c r="B160" s="192">
        <f ca="1"/>
        <v>10.4</v>
      </c>
      <c r="C160" s="192" t="str">
        <f ca="1"/>
        <v>Devices</v>
      </c>
      <c r="D160" s="192" t="str">
        <f ca="1"/>
        <v>Detect</v>
      </c>
      <c r="E160" s="192" t="str">
        <f ca="1"/>
        <v>הגדר סריקה אוטומטית נגד תוכנות זדוניות של מדיה נשלפת</v>
      </c>
      <c r="F160" s="232" t="str">
        <f ca="1"/>
        <v>Configure anti-malware software to automatically scan removable media.</v>
      </c>
      <c r="G160" s="192" t="str">
        <f ca="1"/>
        <v>-</v>
      </c>
      <c r="H160" s="192" t="str">
        <f ca="1"/>
        <v>-</v>
      </c>
      <c r="I160" s="272" t="str">
        <f ca="1"/>
        <v>-</v>
      </c>
      <c r="J160" s="273" t="str">
        <f ca="1"/>
        <v>-</v>
      </c>
      <c r="K160" s="273" t="str">
        <f ca="1"/>
        <v>-</v>
      </c>
      <c r="L160" s="273" t="str">
        <f ca="1"/>
        <v>-</v>
      </c>
      <c r="M160" s="192" t="str">
        <f ca="1"/>
        <v/>
      </c>
      <c r="N160" s="192" t="str">
        <f ca="1"/>
        <v>ארגוני</v>
      </c>
      <c r="O160" s="192" t="str">
        <f ca="1"/>
        <v>-</v>
      </c>
      <c r="P160" s="28"/>
    </row>
    <row r="161" spans="1:16" ht="57">
      <c r="A161" s="28"/>
      <c r="B161" s="192">
        <f ca="1"/>
        <v>10.5</v>
      </c>
      <c r="C161" s="192" t="str">
        <f ca="1"/>
        <v>Devices</v>
      </c>
      <c r="D161" s="192" t="str">
        <f ca="1"/>
        <v>Protect</v>
      </c>
      <c r="E161" s="192" t="str">
        <f ca="1"/>
        <v>אפשר תכונות נגד ניצול</v>
      </c>
      <c r="F161" s="232" t="str">
        <f ca="1"/>
        <v>Enable anti-exploitation features on enterprise assets and software, where possible, such as Microsoft® Data Execution Prevention (DEP), Windows® Defender Exploit Guard (WDEG), or Apple® System Integrity Protection (SIP) and Gatekeeper™.</v>
      </c>
      <c r="G161" s="192" t="str">
        <f ca="1"/>
        <v>-</v>
      </c>
      <c r="H161" s="192" t="str">
        <f ca="1"/>
        <v>-</v>
      </c>
      <c r="I161" s="272" t="str">
        <f ca="1"/>
        <v>-</v>
      </c>
      <c r="J161" s="273" t="str">
        <f ca="1"/>
        <v>-</v>
      </c>
      <c r="K161" s="273" t="str">
        <f ca="1"/>
        <v>-</v>
      </c>
      <c r="L161" s="273" t="str">
        <f ca="1"/>
        <v>-</v>
      </c>
      <c r="M161" s="192" t="str">
        <f ca="1"/>
        <v/>
      </c>
      <c r="N161" s="192" t="str">
        <f ca="1"/>
        <v>ארגוני</v>
      </c>
      <c r="O161" s="192" t="str">
        <f ca="1"/>
        <v>-</v>
      </c>
      <c r="P161" s="28"/>
    </row>
    <row r="162" spans="1:16" ht="28.5">
      <c r="A162" s="28"/>
      <c r="B162" s="192">
        <f ca="1"/>
        <v>10.6</v>
      </c>
      <c r="C162" s="192" t="str">
        <f ca="1"/>
        <v>Devices</v>
      </c>
      <c r="D162" s="192" t="str">
        <f ca="1"/>
        <v>Protect</v>
      </c>
      <c r="E162" s="192" t="str">
        <f ca="1"/>
        <v>ניהול מרכזי של תוכנות נגד תוכנות זדוניות</v>
      </c>
      <c r="F162" s="232" t="str">
        <f ca="1"/>
        <v>Centrally manage anti-malware software.</v>
      </c>
      <c r="G162" s="192" t="str">
        <f ca="1"/>
        <v>-</v>
      </c>
      <c r="H162" s="192" t="str">
        <f ca="1"/>
        <v>-</v>
      </c>
      <c r="I162" s="272" t="str">
        <f ca="1"/>
        <v>-</v>
      </c>
      <c r="J162" s="273" t="str">
        <f ca="1"/>
        <v>-</v>
      </c>
      <c r="K162" s="273" t="str">
        <f ca="1"/>
        <v>-</v>
      </c>
      <c r="L162" s="273" t="str">
        <f ca="1"/>
        <v>-</v>
      </c>
      <c r="M162" s="192" t="str">
        <f ca="1"/>
        <v/>
      </c>
      <c r="N162" s="192" t="str">
        <f ca="1"/>
        <v>ארגוני</v>
      </c>
      <c r="O162" s="192" t="str">
        <f ca="1"/>
        <v>-</v>
      </c>
      <c r="P162" s="28"/>
    </row>
    <row r="163" spans="1:16" ht="28.5">
      <c r="A163" s="28"/>
      <c r="B163" s="192">
        <f ca="1"/>
        <v>10.7</v>
      </c>
      <c r="C163" s="192" t="str">
        <f ca="1"/>
        <v>Devices</v>
      </c>
      <c r="D163" s="192" t="str">
        <f ca="1"/>
        <v>Detect</v>
      </c>
      <c r="E163" s="192" t="str">
        <f ca="1"/>
        <v>השתמש בתוכנת אנטי-זדונית מבוססת התנהגות</v>
      </c>
      <c r="F163" s="232" t="str">
        <f ca="1"/>
        <v>Use behavior-based anti-malware software.</v>
      </c>
      <c r="G163" s="192" t="str">
        <f ca="1"/>
        <v>-</v>
      </c>
      <c r="H163" s="192" t="str">
        <f ca="1"/>
        <v>-</v>
      </c>
      <c r="I163" s="272" t="str">
        <f ca="1"/>
        <v>-</v>
      </c>
      <c r="J163" s="273" t="str">
        <f ca="1"/>
        <v>-</v>
      </c>
      <c r="K163" s="273" t="str">
        <f ca="1"/>
        <v>-</v>
      </c>
      <c r="L163" s="273" t="str">
        <f ca="1"/>
        <v>-</v>
      </c>
      <c r="M163" s="192" t="str">
        <f ca="1"/>
        <v/>
      </c>
      <c r="N163" s="192" t="str">
        <f ca="1"/>
        <v>ארגוני</v>
      </c>
      <c r="O163" s="192" t="str">
        <f ca="1"/>
        <v>-</v>
      </c>
      <c r="P163" s="28"/>
    </row>
    <row r="164" spans="1:16" ht="30">
      <c r="A164" s="28"/>
      <c r="B164" s="192" t="str">
        <f ca="1"/>
        <v>-</v>
      </c>
      <c r="C164" s="192" t="str">
        <f ca="1"/>
        <v>-</v>
      </c>
      <c r="D164" s="192" t="str">
        <f ca="1"/>
        <v>-</v>
      </c>
      <c r="E164" s="192" t="str">
        <f ca="1"/>
        <v>שחזור מידע</v>
      </c>
      <c r="F164" s="232" t="str">
        <f ca="1"/>
        <v>Establish and maintain data recovery practices sufficient to restore in-scope enterprise assets to a pre-incident and trusted state.</v>
      </c>
      <c r="G164" s="192" t="str">
        <f ca="1"/>
        <v>-</v>
      </c>
      <c r="H164" s="192" t="str">
        <f ca="1"/>
        <v>-</v>
      </c>
      <c r="I164" s="272" t="str">
        <f ca="1"/>
        <v>-</v>
      </c>
      <c r="J164" s="273" t="str">
        <f ca="1"/>
        <v>-</v>
      </c>
      <c r="K164" s="273" t="str">
        <f ca="1"/>
        <v>-</v>
      </c>
      <c r="L164" s="273" t="str">
        <f ca="1"/>
        <v>-</v>
      </c>
      <c r="M164" s="192" t="str">
        <f ca="1"/>
        <v>-</v>
      </c>
      <c r="N164" s="192" t="str">
        <f ca="1"/>
        <v>-</v>
      </c>
      <c r="O164" s="192" t="str">
        <f ca="1"/>
        <v>-</v>
      </c>
      <c r="P164" s="28"/>
    </row>
    <row r="165" spans="1:16" ht="57">
      <c r="A165" s="28"/>
      <c r="B165" s="192">
        <f ca="1"/>
        <v>11.1</v>
      </c>
      <c r="C165" s="192" t="str">
        <f ca="1"/>
        <v>Data</v>
      </c>
      <c r="D165" s="192" t="str">
        <f ca="1"/>
        <v>Recover</v>
      </c>
      <c r="E165" s="192" t="str">
        <f ca="1"/>
        <v>הקמה ותחזוקה של תהליך שחזור נתונים</v>
      </c>
      <c r="F165" s="232" t="str">
        <f ca="1"/>
        <v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v>
      </c>
      <c r="G165" s="192" t="str">
        <f ca="1"/>
        <v>-</v>
      </c>
      <c r="H165" s="192" t="str">
        <f ca="1"/>
        <v>-</v>
      </c>
      <c r="I165" s="272" t="str">
        <f ca="1"/>
        <v>-</v>
      </c>
      <c r="J165" s="273" t="str">
        <f ca="1"/>
        <v>-</v>
      </c>
      <c r="K165" s="273" t="str">
        <f ca="1"/>
        <v>-</v>
      </c>
      <c r="L165" s="273" t="str">
        <f ca="1"/>
        <v>-</v>
      </c>
      <c r="M165" s="192" t="str">
        <f ca="1"/>
        <v/>
      </c>
      <c r="N165" s="192" t="str">
        <f ca="1"/>
        <v>ארגוני</v>
      </c>
      <c r="O165" s="192" t="str">
        <f ca="1"/>
        <v>-</v>
      </c>
      <c r="P165" s="28"/>
    </row>
    <row r="166" spans="1:16" ht="409.5">
      <c r="A166" s="28"/>
      <c r="B166" s="192">
        <f ca="1"/>
        <v>11.2</v>
      </c>
      <c r="C166" s="192" t="str">
        <f ca="1"/>
        <v>Data</v>
      </c>
      <c r="D166" s="192" t="str">
        <f ca="1"/>
        <v>Recover</v>
      </c>
      <c r="E166" s="192" t="str">
        <f ca="1"/>
        <v>בצע גיבויים אוטומטיים</v>
      </c>
      <c r="F166" s="232" t="str">
        <f ca="1"/>
        <v>Perform automated backups of in-scope enterprise assets. Run backups weekly, or more frequently, based on the sensitivity of the data.</v>
      </c>
      <c r="G166" s="192" t="str">
        <f ca="1"/>
        <v>6.7 Ensure That Cloud SQL Database Instances Are Configured With Automated Backups (Automated)</v>
      </c>
      <c r="H166" s="192" t="str">
        <f ca="1"/>
        <v>It is recommended to have all SQL database instances set to enable automated backups.</v>
      </c>
      <c r="I166" s="272" t="str">
        <f ca="1"/>
        <v>6.7</v>
      </c>
      <c r="J166" s="273" t="str">
        <f ca="1"/>
        <v>Backups provide a way to restore a Cloud SQL instance to recover lost data or recover from a problem with that instance. Automated backups need to be set for any instance that contains data that should be protected from loss or damage. This recommendation is applicable for SQL Server, PostgreSql, MySql generation 1 and MySql generation 2 instances.
Impact:
Automated Backups will increase required size of storage and costs associated with it.</v>
      </c>
      <c r="K166" s="273" t="str">
        <f ca="1"/>
        <v>From Google Cloud Console
1. Go to the Cloud SQL Instances page in the Google Cloud Console by visiting https://console.cloud.google.com/sql/instances.
2. Select the instance where the backups need to be configured.
3. Click Edit.
4. In the Backups section, check `Enable automated backups', and choose a backup window.
5. Click Save.
From Google Cloud CLI
1. List all Cloud SQL database instances using the following command: gcloud sql instances list
2. Enable Automated backups for every Cloud SQL database instance using the below command: gcloud sql instances patch &lt;INSTANCE_NAME&gt; --backup-start-time &lt;[HH:MM]&gt;
The backup-start-time parameter is specified in 24-hour time, in the UTC±00 time zone, and specifies the start of a 4-hour backup window. Backups can start any time during the backup window.
Default Value:
By default, automated backups are not configured for Cloud SQL instances. Data backup is not possible on any Cloud SQL instance unless Automated Backup is configured.</v>
      </c>
      <c r="L166" s="273" t="str">
        <f ca="1"/>
        <v>1. https://cloud.google.com/sql/docs/mysql/backup-recovery/backups
2. https://cloud.google.com/sql/docs/postgres/backup-recovery/backing-up</v>
      </c>
      <c r="M166" s="192" t="str">
        <f ca="1"/>
        <v>v</v>
      </c>
      <c r="N166" s="192" t="str">
        <f ca="1"/>
        <v>מערכת</v>
      </c>
      <c r="O166" s="192" t="str">
        <f ca="1"/>
        <v>-</v>
      </c>
      <c r="P166" s="28"/>
    </row>
    <row r="167" spans="1:16" ht="28.5">
      <c r="A167" s="28"/>
      <c r="B167" s="192">
        <f ca="1"/>
        <v>11.3</v>
      </c>
      <c r="C167" s="192" t="str">
        <f ca="1"/>
        <v>Data</v>
      </c>
      <c r="D167" s="192" t="str">
        <f ca="1"/>
        <v>Protect</v>
      </c>
      <c r="E167" s="192" t="str">
        <f ca="1"/>
        <v>הגן על נתוני שחזור</v>
      </c>
      <c r="F167" s="232" t="str">
        <f ca="1"/>
        <v>Protect recovery data with equivalent controls to the original data. Reference encryption or data separation, based on requirements.</v>
      </c>
      <c r="G167" s="192" t="str">
        <f ca="1"/>
        <v>-</v>
      </c>
      <c r="H167" s="192" t="str">
        <f ca="1"/>
        <v>-</v>
      </c>
      <c r="I167" s="272" t="str">
        <f ca="1"/>
        <v>-</v>
      </c>
      <c r="J167" s="273" t="str">
        <f ca="1"/>
        <v>-</v>
      </c>
      <c r="K167" s="273" t="str">
        <f ca="1"/>
        <v>-</v>
      </c>
      <c r="L167" s="273" t="str">
        <f ca="1"/>
        <v>-</v>
      </c>
      <c r="M167" s="192" t="str">
        <f ca="1"/>
        <v/>
      </c>
      <c r="N167" s="192" t="str">
        <f ca="1"/>
        <v>ארגוני</v>
      </c>
      <c r="O167" s="192" t="str">
        <f ca="1"/>
        <v>-</v>
      </c>
      <c r="P167" s="28"/>
    </row>
    <row r="168" spans="1:16" ht="42.75">
      <c r="A168" s="28"/>
      <c r="B168" s="192">
        <f ca="1"/>
        <v>11.4</v>
      </c>
      <c r="C168" s="192" t="str">
        <f ca="1"/>
        <v>Data</v>
      </c>
      <c r="D168" s="192" t="str">
        <f ca="1"/>
        <v>Recover</v>
      </c>
      <c r="E168" s="192" t="str">
        <f ca="1"/>
        <v>הקמה ותחזוקה של מופע מבודד o</v>
      </c>
      <c r="F168" s="232" t="str">
        <f ca="1"/>
        <v>Establish and maintain an isolated instance of recovery data. Example implementations include, version controlling backup destinations through offline, cloud, or off-site systems or services.</v>
      </c>
      <c r="G168" s="192" t="str">
        <f ca="1"/>
        <v>-</v>
      </c>
      <c r="H168" s="192" t="str">
        <f ca="1"/>
        <v>-</v>
      </c>
      <c r="I168" s="272" t="str">
        <f ca="1"/>
        <v>-</v>
      </c>
      <c r="J168" s="273" t="str">
        <f ca="1"/>
        <v>-</v>
      </c>
      <c r="K168" s="273" t="str">
        <f ca="1"/>
        <v>-</v>
      </c>
      <c r="L168" s="273" t="str">
        <f ca="1"/>
        <v>-</v>
      </c>
      <c r="M168" s="192" t="str">
        <f ca="1"/>
        <v/>
      </c>
      <c r="N168" s="192" t="str">
        <f ca="1"/>
        <v>ארגוני</v>
      </c>
      <c r="O168" s="192" t="str">
        <f ca="1"/>
        <v>-</v>
      </c>
      <c r="P168" s="28"/>
    </row>
    <row r="169" spans="1:16" ht="28.5">
      <c r="A169" s="28"/>
      <c r="B169" s="192">
        <f ca="1"/>
        <v>11.5</v>
      </c>
      <c r="C169" s="192" t="str">
        <f ca="1"/>
        <v>Data</v>
      </c>
      <c r="D169" s="192" t="str">
        <f ca="1"/>
        <v>Recover</v>
      </c>
      <c r="E169" s="192" t="str">
        <f ca="1"/>
        <v>בדוק שחזור נתונים</v>
      </c>
      <c r="F169" s="232" t="str">
        <f ca="1"/>
        <v>Test backup recovery quarterly, or more frequently, for a sampling of in-scope enterprise assets.</v>
      </c>
      <c r="G169" s="192" t="str">
        <f ca="1"/>
        <v>-</v>
      </c>
      <c r="H169" s="192" t="str">
        <f ca="1"/>
        <v>-</v>
      </c>
      <c r="I169" s="272" t="str">
        <f ca="1"/>
        <v>-</v>
      </c>
      <c r="J169" s="273" t="str">
        <f ca="1"/>
        <v>-</v>
      </c>
      <c r="K169" s="273" t="str">
        <f ca="1"/>
        <v>-</v>
      </c>
      <c r="L169" s="273" t="str">
        <f ca="1"/>
        <v>-</v>
      </c>
      <c r="M169" s="192" t="str">
        <f ca="1"/>
        <v/>
      </c>
      <c r="N169" s="192" t="str">
        <f ca="1"/>
        <v>ארגוני</v>
      </c>
      <c r="O169" s="192" t="str">
        <f ca="1"/>
        <v>-</v>
      </c>
      <c r="P169" s="28"/>
    </row>
    <row r="170" spans="1:16" ht="45">
      <c r="A170" s="28"/>
      <c r="B170" s="192" t="str">
        <f ca="1"/>
        <v>-</v>
      </c>
      <c r="C170" s="192" t="str">
        <f ca="1"/>
        <v>-</v>
      </c>
      <c r="D170" s="192" t="str">
        <f ca="1"/>
        <v>-</v>
      </c>
      <c r="E170" s="192" t="str">
        <f ca="1"/>
        <v>ניהול תשתיות רשת</v>
      </c>
      <c r="F170" s="232" t="str">
        <f ca="1"/>
        <v>Establish, implement, and actively manage (track, report, correct) network devices, in order to prevent attackers from exploiting vulnerable network services and access points.</v>
      </c>
      <c r="G170" s="192" t="str">
        <f ca="1"/>
        <v>-</v>
      </c>
      <c r="H170" s="192" t="str">
        <f ca="1"/>
        <v>-</v>
      </c>
      <c r="I170" s="272" t="str">
        <f ca="1"/>
        <v>-</v>
      </c>
      <c r="J170" s="273" t="str">
        <f ca="1"/>
        <v>-</v>
      </c>
      <c r="K170" s="273" t="str">
        <f ca="1"/>
        <v>-</v>
      </c>
      <c r="L170" s="273" t="str">
        <f ca="1"/>
        <v>-</v>
      </c>
      <c r="M170" s="192" t="str">
        <f ca="1"/>
        <v>-</v>
      </c>
      <c r="N170" s="192" t="str">
        <f ca="1"/>
        <v>-</v>
      </c>
      <c r="O170" s="192" t="str">
        <f ca="1"/>
        <v>-</v>
      </c>
      <c r="P170" s="28"/>
    </row>
    <row r="171" spans="1:16" ht="57">
      <c r="A171" s="28"/>
      <c r="B171" s="192">
        <f ca="1"/>
        <v>12.1</v>
      </c>
      <c r="C171" s="192" t="str">
        <f ca="1"/>
        <v>Network</v>
      </c>
      <c r="D171" s="192" t="str">
        <f ca="1"/>
        <v>Protect</v>
      </c>
      <c r="E171" s="192" t="str">
        <f ca="1"/>
        <v>ודא שתשתית הרשת מעודכנת</v>
      </c>
      <c r="F171" s="232" t="str">
        <f ca="1"/>
        <v>Ensure network infrastructure is kept up-to-date. Example implementations include running the latest stable release of software and/or using currently supported network-as-a-service (NaaS) offerings. Review software versions monthly, or more frequently, to verify software support.</v>
      </c>
      <c r="G171" s="192" t="str">
        <f ca="1"/>
        <v>-</v>
      </c>
      <c r="H171" s="192" t="str">
        <f ca="1"/>
        <v>-</v>
      </c>
      <c r="I171" s="272" t="str">
        <f ca="1"/>
        <v>-</v>
      </c>
      <c r="J171" s="273" t="str">
        <f ca="1"/>
        <v>-</v>
      </c>
      <c r="K171" s="273" t="str">
        <f ca="1"/>
        <v>-</v>
      </c>
      <c r="L171" s="273" t="str">
        <f ca="1"/>
        <v>-</v>
      </c>
      <c r="M171" s="192" t="str">
        <f ca="1"/>
        <v/>
      </c>
      <c r="N171" s="192" t="str">
        <f ca="1"/>
        <v>ארגוני</v>
      </c>
      <c r="O171" s="192" t="str">
        <f ca="1"/>
        <v>-</v>
      </c>
      <c r="P171" s="28"/>
    </row>
    <row r="172" spans="1:16" ht="42.75">
      <c r="A172" s="28"/>
      <c r="B172" s="192">
        <f ca="1"/>
        <v>12.2</v>
      </c>
      <c r="C172" s="192" t="str">
        <f ca="1"/>
        <v>Network</v>
      </c>
      <c r="D172" s="192" t="str">
        <f ca="1"/>
        <v>Protect</v>
      </c>
      <c r="E172" s="192" t="str">
        <f ca="1"/>
        <v>הקמה ותחזוקה של ארכיטקטורת רשת מאובטחת</v>
      </c>
      <c r="F172" s="232" t="str">
        <f ca="1"/>
        <v>Establish and maintain a secure network architecture. A secure network architecture must address segmentation, least privilege, and availability, at a minimum.</v>
      </c>
      <c r="G172" s="192" t="str">
        <f ca="1"/>
        <v>-</v>
      </c>
      <c r="H172" s="192" t="str">
        <f ca="1"/>
        <v>-</v>
      </c>
      <c r="I172" s="272" t="str">
        <f ca="1"/>
        <v>-</v>
      </c>
      <c r="J172" s="273" t="str">
        <f ca="1"/>
        <v>-</v>
      </c>
      <c r="K172" s="273" t="str">
        <f ca="1"/>
        <v>-</v>
      </c>
      <c r="L172" s="273" t="str">
        <f ca="1"/>
        <v>-</v>
      </c>
      <c r="M172" s="192" t="str">
        <f ca="1"/>
        <v/>
      </c>
      <c r="N172" s="192" t="str">
        <f ca="1"/>
        <v>ארגוני</v>
      </c>
      <c r="O172" s="192" t="str">
        <f ca="1"/>
        <v>-</v>
      </c>
      <c r="P172" s="28"/>
    </row>
    <row r="173" spans="1:16" ht="42.75">
      <c r="A173" s="28"/>
      <c r="B173" s="192">
        <f ca="1"/>
        <v>12.3</v>
      </c>
      <c r="C173" s="192" t="str">
        <f ca="1"/>
        <v>Network</v>
      </c>
      <c r="D173" s="192" t="str">
        <f ca="1"/>
        <v>Protect</v>
      </c>
      <c r="E173" s="192" t="str">
        <f ca="1"/>
        <v>ניהול מאובטח של תשתית רשת</v>
      </c>
      <c r="F173" s="232" t="str">
        <f ca="1"/>
        <v xml:space="preserve">Securely manage network infrastructure. Example implementations include version-controlled-infrastructure-as-code, and the use of secure network protocols, such as SSH and HTTPS. </v>
      </c>
      <c r="G173" s="192" t="str">
        <f ca="1"/>
        <v>-</v>
      </c>
      <c r="H173" s="192" t="str">
        <f ca="1"/>
        <v>-</v>
      </c>
      <c r="I173" s="272" t="str">
        <f ca="1"/>
        <v>-</v>
      </c>
      <c r="J173" s="273" t="str">
        <f ca="1"/>
        <v>-</v>
      </c>
      <c r="K173" s="273" t="str">
        <f ca="1"/>
        <v>-</v>
      </c>
      <c r="L173" s="273" t="str">
        <f ca="1"/>
        <v>-</v>
      </c>
      <c r="M173" s="192" t="str">
        <f ca="1"/>
        <v/>
      </c>
      <c r="N173" s="192" t="str">
        <f ca="1"/>
        <v>ארגוני</v>
      </c>
      <c r="O173" s="192" t="str">
        <f ca="1"/>
        <v>-</v>
      </c>
      <c r="P173" s="28"/>
    </row>
    <row r="174" spans="1:16" ht="42.75">
      <c r="A174" s="28"/>
      <c r="B174" s="192">
        <f ca="1"/>
        <v>12.4</v>
      </c>
      <c r="C174" s="192" t="str">
        <f ca="1"/>
        <v>Network</v>
      </c>
      <c r="D174" s="192" t="str">
        <f ca="1"/>
        <v>Identify</v>
      </c>
      <c r="E174" s="192" t="str">
        <f ca="1"/>
        <v>הקמה ותחזוקה של דיאגרמות אדריכלות</v>
      </c>
      <c r="F174" s="232" t="str">
        <f ca="1"/>
        <v>Establish and maintain architecture diagram(s) and/or other network system documentation. Review and update documentation annually, or when significant enterprise changes occur that could impact this Safeguard.</v>
      </c>
      <c r="G174" s="192" t="str">
        <f ca="1"/>
        <v>-</v>
      </c>
      <c r="H174" s="192" t="str">
        <f ca="1"/>
        <v>-</v>
      </c>
      <c r="I174" s="272" t="str">
        <f ca="1"/>
        <v>-</v>
      </c>
      <c r="J174" s="273" t="str">
        <f ca="1"/>
        <v>-</v>
      </c>
      <c r="K174" s="273" t="str">
        <f ca="1"/>
        <v>-</v>
      </c>
      <c r="L174" s="273" t="str">
        <f ca="1"/>
        <v>-</v>
      </c>
      <c r="M174" s="192" t="str">
        <f ca="1"/>
        <v/>
      </c>
      <c r="N174" s="192" t="str">
        <f ca="1"/>
        <v>ארגוני</v>
      </c>
      <c r="O174" s="192" t="str">
        <f ca="1"/>
        <v>-</v>
      </c>
      <c r="P174" s="28"/>
    </row>
    <row r="175" spans="1:16" ht="28.5">
      <c r="A175" s="28"/>
      <c r="B175" s="192">
        <f ca="1"/>
        <v>12.5</v>
      </c>
      <c r="C175" s="192" t="str">
        <f ca="1"/>
        <v>Network</v>
      </c>
      <c r="D175" s="192" t="str">
        <f ca="1"/>
        <v>Protect</v>
      </c>
      <c r="E175" s="192" t="str">
        <f ca="1"/>
        <v>ריכוז אימות, הרשאה וביקורת רשת (AAA)</v>
      </c>
      <c r="F175" s="232" t="str">
        <f ca="1"/>
        <v>Centralize network AAA.</v>
      </c>
      <c r="G175" s="192" t="str">
        <f ca="1"/>
        <v>-</v>
      </c>
      <c r="H175" s="192" t="str">
        <f ca="1"/>
        <v>-</v>
      </c>
      <c r="I175" s="272" t="str">
        <f ca="1"/>
        <v>-</v>
      </c>
      <c r="J175" s="273" t="str">
        <f ca="1"/>
        <v>-</v>
      </c>
      <c r="K175" s="273" t="str">
        <f ca="1"/>
        <v>-</v>
      </c>
      <c r="L175" s="273" t="str">
        <f ca="1"/>
        <v>-</v>
      </c>
      <c r="M175" s="192" t="str">
        <f ca="1"/>
        <v/>
      </c>
      <c r="N175" s="192" t="str">
        <f ca="1"/>
        <v>ארגוני</v>
      </c>
      <c r="O175" s="192" t="str">
        <f ca="1"/>
        <v>-</v>
      </c>
      <c r="P175" s="28"/>
    </row>
    <row r="176" spans="1:16" ht="28.5">
      <c r="A176" s="28"/>
      <c r="B176" s="192">
        <f ca="1"/>
        <v>12.6</v>
      </c>
      <c r="C176" s="192" t="str">
        <f ca="1"/>
        <v>Network</v>
      </c>
      <c r="D176" s="192" t="str">
        <f ca="1"/>
        <v>Protect</v>
      </c>
      <c r="E176" s="192" t="str">
        <f ca="1"/>
        <v>שימוש בפרוטוקולי ניהול ותקשורת מאובטחים ברשת</v>
      </c>
      <c r="F176" s="232" t="str">
        <f ca="1"/>
        <v>Use secure network management and communication protocols (e.g., 802.1X, Wi-Fi Protected Access 2 (WPA2) Enterprise or greater).</v>
      </c>
      <c r="G176" s="192" t="str">
        <f ca="1"/>
        <v>-</v>
      </c>
      <c r="H176" s="192" t="str">
        <f ca="1"/>
        <v>-</v>
      </c>
      <c r="I176" s="272" t="str">
        <f ca="1"/>
        <v>-</v>
      </c>
      <c r="J176" s="273" t="str">
        <f ca="1"/>
        <v>-</v>
      </c>
      <c r="K176" s="273" t="str">
        <f ca="1"/>
        <v>-</v>
      </c>
      <c r="L176" s="273" t="str">
        <f ca="1"/>
        <v>-</v>
      </c>
      <c r="M176" s="192" t="str">
        <f ca="1"/>
        <v/>
      </c>
      <c r="N176" s="192" t="str">
        <f ca="1"/>
        <v>ארגוני</v>
      </c>
      <c r="O176" s="192" t="str">
        <f ca="1"/>
        <v>-</v>
      </c>
      <c r="P176" s="28"/>
    </row>
    <row r="177" spans="1:16" ht="57">
      <c r="A177" s="28"/>
      <c r="B177" s="192">
        <f ca="1"/>
        <v>12.7</v>
      </c>
      <c r="C177" s="192" t="str">
        <f ca="1"/>
        <v>Devices</v>
      </c>
      <c r="D177" s="192" t="str">
        <f ca="1"/>
        <v>Protect</v>
      </c>
      <c r="E177" s="192" t="str">
        <f ca="1"/>
        <v>ודא שמכשירים מרוחקים משתמשים ב-VPN ומתחברים לתשתית AAA של ארגון</v>
      </c>
      <c r="F177" s="232" t="str">
        <f ca="1"/>
        <v>Require users to authenticate to enterprise-managed VPN and authentication services prior to accessing enterprise resources on end-user devices.</v>
      </c>
      <c r="G177" s="192" t="str">
        <f ca="1"/>
        <v>-</v>
      </c>
      <c r="H177" s="192" t="str">
        <f ca="1"/>
        <v>-</v>
      </c>
      <c r="I177" s="272" t="str">
        <f ca="1"/>
        <v>-</v>
      </c>
      <c r="J177" s="273" t="str">
        <f ca="1"/>
        <v>-</v>
      </c>
      <c r="K177" s="273" t="str">
        <f ca="1"/>
        <v>-</v>
      </c>
      <c r="L177" s="273" t="str">
        <f ca="1"/>
        <v>-</v>
      </c>
      <c r="M177" s="192" t="str">
        <f ca="1"/>
        <v/>
      </c>
      <c r="N177" s="192" t="str">
        <f ca="1"/>
        <v>ארגוני</v>
      </c>
      <c r="O177" s="192" t="str">
        <f ca="1"/>
        <v>-</v>
      </c>
      <c r="P177" s="28"/>
    </row>
    <row r="178" spans="1:16" ht="57">
      <c r="A178" s="28"/>
      <c r="B178" s="192">
        <f ca="1"/>
        <v>12.8</v>
      </c>
      <c r="C178" s="192" t="str">
        <f ca="1"/>
        <v>Devices</v>
      </c>
      <c r="D178" s="192" t="str">
        <f ca="1"/>
        <v>Protect</v>
      </c>
      <c r="E178" s="192" t="str">
        <f ca="1"/>
        <v>הקמה ותחזוקה של משאבי מחשוב ייעודיים לכל העבודה הניהולית</v>
      </c>
      <c r="F178" s="232" t="str">
        <f ca="1"/>
        <v>Establish and maintain dedicated computing resources, either physically or logically separated, for all administrative tasks or tasks requiring administrative access. The computing resources should be segmented from the enterprise's primary network and not be allowed internet access.</v>
      </c>
      <c r="G178" s="192" t="str">
        <f ca="1"/>
        <v>-</v>
      </c>
      <c r="H178" s="192" t="str">
        <f ca="1"/>
        <v>-</v>
      </c>
      <c r="I178" s="272" t="str">
        <f ca="1"/>
        <v>-</v>
      </c>
      <c r="J178" s="273" t="str">
        <f ca="1"/>
        <v>-</v>
      </c>
      <c r="K178" s="273" t="str">
        <f ca="1"/>
        <v>-</v>
      </c>
      <c r="L178" s="273" t="str">
        <f ca="1"/>
        <v>-</v>
      </c>
      <c r="M178" s="192" t="str">
        <f ca="1"/>
        <v/>
      </c>
      <c r="N178" s="192" t="str">
        <f ca="1"/>
        <v>ארגוני</v>
      </c>
      <c r="O178" s="192" t="str">
        <f ca="1"/>
        <v>-</v>
      </c>
      <c r="P178" s="28"/>
    </row>
    <row r="179" spans="1:16" ht="45">
      <c r="A179" s="28"/>
      <c r="B179" s="192" t="str">
        <f ca="1"/>
        <v>-</v>
      </c>
      <c r="C179" s="192" t="str">
        <f ca="1"/>
        <v>-</v>
      </c>
      <c r="D179" s="192" t="str">
        <f ca="1"/>
        <v>-</v>
      </c>
      <c r="E179" s="192" t="str">
        <f ca="1"/>
        <v>ניטור רשת והגנה</v>
      </c>
      <c r="F179" s="232" t="str">
        <f ca="1"/>
        <v>Operate processes and tooling to establish and maintain comprehensive network monitoring and defense against security threats across the enterprise’s network infrastructure and user base.</v>
      </c>
      <c r="G179" s="192" t="str">
        <f ca="1"/>
        <v>-</v>
      </c>
      <c r="H179" s="192" t="str">
        <f ca="1"/>
        <v>-</v>
      </c>
      <c r="I179" s="272" t="str">
        <f ca="1"/>
        <v>-</v>
      </c>
      <c r="J179" s="273" t="str">
        <f ca="1"/>
        <v>-</v>
      </c>
      <c r="K179" s="273" t="str">
        <f ca="1"/>
        <v>-</v>
      </c>
      <c r="L179" s="273" t="str">
        <f ca="1"/>
        <v>-</v>
      </c>
      <c r="M179" s="192" t="str">
        <f ca="1"/>
        <v>-</v>
      </c>
      <c r="N179" s="192" t="str">
        <f ca="1"/>
        <v>-</v>
      </c>
      <c r="O179" s="192" t="str">
        <f ca="1"/>
        <v>-</v>
      </c>
      <c r="P179" s="28"/>
    </row>
    <row r="180" spans="1:16" ht="57">
      <c r="A180" s="28"/>
      <c r="B180" s="192">
        <f ca="1"/>
        <v>13.1</v>
      </c>
      <c r="C180" s="192" t="str">
        <f ca="1"/>
        <v>Network</v>
      </c>
      <c r="D180" s="192" t="str">
        <f ca="1"/>
        <v>Detect</v>
      </c>
      <c r="E180" s="192" t="str">
        <f ca="1"/>
        <v>ריכוז התרעות על אירועי אבטחה</v>
      </c>
      <c r="F180" s="232" t="str">
        <f ca="1"/>
        <v>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v>
      </c>
      <c r="G180" s="192" t="str">
        <f ca="1"/>
        <v>-</v>
      </c>
      <c r="H180" s="192" t="str">
        <f ca="1"/>
        <v>-</v>
      </c>
      <c r="I180" s="272" t="str">
        <f ca="1"/>
        <v>-</v>
      </c>
      <c r="J180" s="273" t="str">
        <f ca="1"/>
        <v>-</v>
      </c>
      <c r="K180" s="273" t="str">
        <f ca="1"/>
        <v>-</v>
      </c>
      <c r="L180" s="273" t="str">
        <f ca="1"/>
        <v>-</v>
      </c>
      <c r="M180" s="192" t="str">
        <f ca="1"/>
        <v/>
      </c>
      <c r="N180" s="192" t="str">
        <f ca="1"/>
        <v>ארגוני</v>
      </c>
      <c r="O180" s="192" t="str">
        <f ca="1"/>
        <v>-</v>
      </c>
      <c r="P180" s="28"/>
    </row>
    <row r="181" spans="1:16" ht="28.5">
      <c r="A181" s="28"/>
      <c r="B181" s="192">
        <f ca="1"/>
        <v>13.2</v>
      </c>
      <c r="C181" s="192" t="str">
        <f ca="1"/>
        <v>Devices</v>
      </c>
      <c r="D181" s="192" t="str">
        <f ca="1"/>
        <v>Detect</v>
      </c>
      <c r="E181" s="192" t="str">
        <f ca="1"/>
        <v>פרוס פתרון לזיהוי פריצה מבוסס מארח</v>
      </c>
      <c r="F181" s="232" t="str">
        <f ca="1"/>
        <v>Deploy a host-based intrusion detection solution on enterprise assets, where appropriate and/or supported.</v>
      </c>
      <c r="G181" s="192" t="str">
        <f ca="1"/>
        <v>-</v>
      </c>
      <c r="H181" s="192" t="str">
        <f ca="1"/>
        <v>-</v>
      </c>
      <c r="I181" s="272" t="str">
        <f ca="1"/>
        <v>-</v>
      </c>
      <c r="J181" s="273" t="str">
        <f ca="1"/>
        <v>-</v>
      </c>
      <c r="K181" s="273" t="str">
        <f ca="1"/>
        <v>-</v>
      </c>
      <c r="L181" s="273" t="str">
        <f ca="1"/>
        <v>-</v>
      </c>
      <c r="M181" s="192" t="str">
        <f ca="1"/>
        <v/>
      </c>
      <c r="N181" s="192" t="str">
        <f ca="1"/>
        <v>ארגוני</v>
      </c>
      <c r="O181" s="192" t="str">
        <f ca="1"/>
        <v>-</v>
      </c>
      <c r="P181" s="28"/>
    </row>
    <row r="182" spans="1:16" ht="42.75">
      <c r="A182" s="28"/>
      <c r="B182" s="192">
        <f ca="1"/>
        <v>13.3</v>
      </c>
      <c r="C182" s="192" t="str">
        <f ca="1"/>
        <v>Network</v>
      </c>
      <c r="D182" s="192" t="str">
        <f ca="1"/>
        <v>Detect</v>
      </c>
      <c r="E182" s="192" t="str">
        <f ca="1"/>
        <v>פרוס פתרון לזיהוי חדירת רשת</v>
      </c>
      <c r="F182" s="232" t="str">
        <f ca="1"/>
        <v>Deploy a network intrusion detection solution on enterprise assets, where appropriate. Example implementations include the use of a Network Intrusion Detection System (NIDS) or equivalent cloud service provider (CSP) service.</v>
      </c>
      <c r="G182" s="192" t="str">
        <f ca="1"/>
        <v>-</v>
      </c>
      <c r="H182" s="192" t="str">
        <f ca="1"/>
        <v>-</v>
      </c>
      <c r="I182" s="272" t="str">
        <f ca="1"/>
        <v>-</v>
      </c>
      <c r="J182" s="273" t="str">
        <f ca="1"/>
        <v>-</v>
      </c>
      <c r="K182" s="273" t="str">
        <f ca="1"/>
        <v>-</v>
      </c>
      <c r="L182" s="273" t="str">
        <f ca="1"/>
        <v>-</v>
      </c>
      <c r="M182" s="192" t="str">
        <f ca="1"/>
        <v/>
      </c>
      <c r="N182" s="192" t="str">
        <f ca="1"/>
        <v>ארגוני</v>
      </c>
      <c r="O182" s="192" t="str">
        <f ca="1"/>
        <v>-</v>
      </c>
      <c r="P182" s="28"/>
    </row>
    <row r="183" spans="1:16" ht="28.5">
      <c r="A183" s="28"/>
      <c r="B183" s="192">
        <f ca="1"/>
        <v>13.4</v>
      </c>
      <c r="C183" s="192" t="str">
        <f ca="1"/>
        <v>Network</v>
      </c>
      <c r="D183" s="192" t="str">
        <f ca="1"/>
        <v>Protect</v>
      </c>
      <c r="E183" s="192" t="str">
        <f ca="1"/>
        <v>בצע סינון תנועה בין סגמנטי רשת</v>
      </c>
      <c r="F183" s="232" t="str">
        <f ca="1"/>
        <v>Perform traffic filtering between network segments, where appropriate.</v>
      </c>
      <c r="G183" s="192" t="str">
        <f ca="1"/>
        <v>-</v>
      </c>
      <c r="H183" s="192" t="str">
        <f ca="1"/>
        <v>-</v>
      </c>
      <c r="I183" s="272" t="str">
        <f ca="1"/>
        <v>-</v>
      </c>
      <c r="J183" s="273" t="str">
        <f ca="1"/>
        <v>-</v>
      </c>
      <c r="K183" s="273" t="str">
        <f ca="1"/>
        <v>-</v>
      </c>
      <c r="L183" s="273" t="str">
        <f ca="1"/>
        <v>-</v>
      </c>
      <c r="M183" s="192" t="str">
        <f ca="1"/>
        <v/>
      </c>
      <c r="N183" s="192" t="str">
        <f ca="1"/>
        <v>מערכת</v>
      </c>
      <c r="O183" s="192" t="str">
        <f ca="1"/>
        <v>-</v>
      </c>
      <c r="P183" s="28"/>
    </row>
    <row r="184" spans="1:16" ht="28.5">
      <c r="A184" s="28"/>
      <c r="B184" s="192">
        <f ca="1"/>
        <v>13.4</v>
      </c>
      <c r="C184" s="192" t="str">
        <f ca="1"/>
        <v>Network</v>
      </c>
      <c r="D184" s="192" t="str">
        <f ca="1"/>
        <v>Protect</v>
      </c>
      <c r="E184" s="192" t="str">
        <f ca="1"/>
        <v>בצע סינון תנועה בין סגמנטי רשת</v>
      </c>
      <c r="F184" s="232" t="str">
        <f ca="1"/>
        <v>Perform traffic filtering between network segments, where appropriate.</v>
      </c>
      <c r="G184" s="192" t="str">
        <f ca="1"/>
        <v>-</v>
      </c>
      <c r="H184" s="192" t="str">
        <f ca="1"/>
        <v>-</v>
      </c>
      <c r="I184" s="272" t="str">
        <f ca="1"/>
        <v>-</v>
      </c>
      <c r="J184" s="273" t="str">
        <f ca="1"/>
        <v>-</v>
      </c>
      <c r="K184" s="273" t="str">
        <f ca="1"/>
        <v>-</v>
      </c>
      <c r="L184" s="273" t="str">
        <f ca="1"/>
        <v>-</v>
      </c>
      <c r="M184" s="192" t="str">
        <f ca="1"/>
        <v/>
      </c>
      <c r="N184" s="192" t="str">
        <f ca="1"/>
        <v>מערכת</v>
      </c>
      <c r="O184" s="192" t="str">
        <f ca="1"/>
        <v>-</v>
      </c>
      <c r="P184" s="28"/>
    </row>
    <row r="185" spans="1:16" ht="28.5">
      <c r="A185" s="28"/>
      <c r="B185" s="192">
        <f ca="1"/>
        <v>13.4</v>
      </c>
      <c r="C185" s="192" t="str">
        <f ca="1"/>
        <v>Network</v>
      </c>
      <c r="D185" s="192" t="str">
        <f ca="1"/>
        <v>Protect</v>
      </c>
      <c r="E185" s="192" t="str">
        <f ca="1"/>
        <v>בצע סינון תנועה בין סגמנטי רשת</v>
      </c>
      <c r="F185" s="232" t="str">
        <f ca="1"/>
        <v>Perform traffic filtering between network segments, where appropriate.</v>
      </c>
      <c r="G185" s="192" t="str">
        <f ca="1"/>
        <v>-</v>
      </c>
      <c r="H185" s="192" t="str">
        <f ca="1"/>
        <v>-</v>
      </c>
      <c r="I185" s="272" t="str">
        <f ca="1"/>
        <v>-</v>
      </c>
      <c r="J185" s="273" t="str">
        <f ca="1"/>
        <v>-</v>
      </c>
      <c r="K185" s="273" t="str">
        <f ca="1"/>
        <v>-</v>
      </c>
      <c r="L185" s="273" t="str">
        <f ca="1"/>
        <v>-</v>
      </c>
      <c r="M185" s="192" t="str">
        <f ca="1"/>
        <v/>
      </c>
      <c r="N185" s="192" t="str">
        <f ca="1"/>
        <v>מערכת</v>
      </c>
      <c r="O185" s="192" t="str">
        <f ca="1"/>
        <v>-</v>
      </c>
      <c r="P185" s="28"/>
    </row>
    <row r="186" spans="1:16" ht="71.25">
      <c r="A186" s="28"/>
      <c r="B186" s="192">
        <f ca="1"/>
        <v>13.5</v>
      </c>
      <c r="C186" s="192" t="str">
        <f ca="1"/>
        <v>Devices</v>
      </c>
      <c r="D186" s="192" t="str">
        <f ca="1"/>
        <v>Protect</v>
      </c>
      <c r="E186" s="192" t="str">
        <f ca="1"/>
        <v>ניהול בקרת גישה לנכסים מרוחקים</v>
      </c>
      <c r="F186" s="232" t="str">
        <f ca="1"/>
        <v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v>
      </c>
      <c r="G186" s="192" t="str">
        <f ca="1"/>
        <v>-</v>
      </c>
      <c r="H186" s="192" t="str">
        <f ca="1"/>
        <v>-</v>
      </c>
      <c r="I186" s="272" t="str">
        <f ca="1"/>
        <v>-</v>
      </c>
      <c r="J186" s="273" t="str">
        <f ca="1"/>
        <v>-</v>
      </c>
      <c r="K186" s="273" t="str">
        <f ca="1"/>
        <v>-</v>
      </c>
      <c r="L186" s="273" t="str">
        <f ca="1"/>
        <v>-</v>
      </c>
      <c r="M186" s="192" t="str">
        <f ca="1"/>
        <v/>
      </c>
      <c r="N186" s="192" t="str">
        <f ca="1"/>
        <v>ארגוני</v>
      </c>
      <c r="O186" s="192" t="str">
        <f ca="1"/>
        <v>-</v>
      </c>
      <c r="P186" s="28"/>
    </row>
    <row r="187" spans="1:16" ht="356.25">
      <c r="A187" s="28"/>
      <c r="B187" s="192">
        <f ca="1"/>
        <v>13.6</v>
      </c>
      <c r="C187" s="192" t="str">
        <f ca="1"/>
        <v>Network</v>
      </c>
      <c r="D187" s="192" t="str">
        <f ca="1"/>
        <v>Detect</v>
      </c>
      <c r="E187" s="192" t="str">
        <f ca="1"/>
        <v>אסוף יומני זרימת תנועה ברשת</v>
      </c>
      <c r="F187" s="232" t="str">
        <f ca="1"/>
        <v>Collect network traffic flow logs and/or network traffic to review and alert upon from network devices.</v>
      </c>
      <c r="G187" s="192" t="str">
        <f ca="1"/>
        <v>3.8 Ensure that VPC Flow Logs is Enabled for Every Subnet in a VPC Network (Automated)</v>
      </c>
      <c r="H187" s="192" t="str">
        <f ca="1"/>
        <v>Flow Logs is a feature that enables users to capture information about the IP traffic going to and from network interfaces in the organization's VPC Subnets. Once a flow log is created, the user can view and retrieve its data in Stackdriver Logging. It is recommended that Flow Logs be enabled for every business-critical VPC subnet.</v>
      </c>
      <c r="I187" s="272" t="str">
        <f ca="1"/>
        <v>3.8</v>
      </c>
      <c r="J187" s="273" t="str">
        <f ca="1"/>
        <v>VPC networks and subnetworks not reserved for internal HTTP(S) load balancing provide logically isolated and secure network partitions where GCP resources can be launched. When Flow Logs are enabled for a subnet, VMs within that subnet start reporting on all Transmission Control Protocol (TCP) and User Datagram Protocol (UDP) flows. Each VM samples the TCP and UDP flows it sees, inbound and outbound, whether the flow is to or from another VM, a host in the on-premises datacenter, a Google service, or a host on the Internet. If two GCP VMs are communicating, and both are in subnets that have VPC Flow Logs enabled, both VMs report the flows.
Flow Logs supports the following use cases:
• Network monitoring
• Understanding network usage and optimizing network traffic expenses
• Network forensics
• Real-time security analysis
Flow Logs provide visibility into network traffic for each VM inside the subnet and can be used to detect anomalous traffic or provide insight during security workflows.
The Flow Logs must be configured such that all network traffic is logged, the interval of logging is granular to provide detailed information on the connections, no logs are filtered, and metadata to facilitate investigations are included.
Note: Subnets reserved for use by internal HTTP(S) load balancers do not support VPC flow logs.
Impact:
Standard pricing for Stackdriver Logging, BigQuery, or Cloud Pub/Sub applies. VPC Flow Logs generation will be charged starting in GA as described in reference: https://cloud.google.com/vpc/</v>
      </c>
      <c r="K187" s="273" t="str">
        <f ca="1"/>
        <v>From Google Cloud Console
1. Go to the VPC network GCP Console visiting https://console.cloud.google.com/networking/networks/list
2. Click the name of a subnet, The Subnet details page displays.
3. Click the EDIT button.
4. Set Flow Logs to On.
5. Expand the Configure Logs section.
6. Set Aggregation Interval to 5 SEC.
7. Check the box beside Include metadata.
8. Set Sample rate to 100.
9. Click Save.
Note: It is not possible to configure a Log filter from the console. From Google Cloud CLI To enable VPC Flow Logs for a network subnet, run the following command: gcloud compute networks subnets update [SUBNET_NAME] --region [REGION] --enable-flow-logs --logging-aggregation-interval=interval-5-sec --logging-flow-sampling=1 --logging-metadata=include-all
Default Value:
By default, Flow Logs is set to Off when a new VPC network subnet is created.</v>
      </c>
      <c r="L187" s="273" t="str">
        <f ca="1"/>
        <v>1. https://cloud.google.com/vpc/docs/using-flow-logs#enabling_vpc_flow_logging
2. https://cloud.google.com/vpc/</v>
      </c>
      <c r="M187" s="192" t="str">
        <f ca="1"/>
        <v>v</v>
      </c>
      <c r="N187" s="192" t="str">
        <f ca="1"/>
        <v>מערכת</v>
      </c>
      <c r="O187" s="192" t="str">
        <f ca="1"/>
        <v>-</v>
      </c>
      <c r="P187" s="28"/>
    </row>
    <row r="188" spans="1:16" ht="42.75">
      <c r="A188" s="28"/>
      <c r="B188" s="192">
        <f ca="1"/>
        <v>13.7</v>
      </c>
      <c r="C188" s="192" t="str">
        <f ca="1"/>
        <v>Devices</v>
      </c>
      <c r="D188" s="192" t="str">
        <f ca="1"/>
        <v>Protect</v>
      </c>
      <c r="E188" s="192" t="str">
        <f ca="1"/>
        <v>פרוס פתרון למניעת חדירות מבוסס מארח</v>
      </c>
      <c r="F188" s="232" t="str">
        <f ca="1"/>
        <v xml:space="preserve"> Deploy a host-based intrusion prevention solution on enterprise assets, where appropriate and/or supported. Example implementations include use of an Endpoint Detection and Response (EDR) client or host-based IPS agent.</v>
      </c>
      <c r="G188" s="192" t="str">
        <f ca="1"/>
        <v>-</v>
      </c>
      <c r="H188" s="192" t="str">
        <f ca="1"/>
        <v>-</v>
      </c>
      <c r="I188" s="272" t="str">
        <f ca="1"/>
        <v>-</v>
      </c>
      <c r="J188" s="273" t="str">
        <f ca="1"/>
        <v>-</v>
      </c>
      <c r="K188" s="273" t="str">
        <f ca="1"/>
        <v>-</v>
      </c>
      <c r="L188" s="273" t="str">
        <f ca="1"/>
        <v>-</v>
      </c>
      <c r="M188" s="192" t="str">
        <f ca="1"/>
        <v/>
      </c>
      <c r="N188" s="192" t="str">
        <f ca="1"/>
        <v>ארגוני</v>
      </c>
      <c r="O188" s="192" t="str">
        <f ca="1"/>
        <v>-</v>
      </c>
      <c r="P188" s="28"/>
    </row>
    <row r="189" spans="1:16" ht="42.75">
      <c r="A189" s="28"/>
      <c r="B189" s="192">
        <f ca="1"/>
        <v>13.8</v>
      </c>
      <c r="C189" s="192" t="str">
        <f ca="1"/>
        <v>Network</v>
      </c>
      <c r="D189" s="192" t="str">
        <f ca="1"/>
        <v>Protect</v>
      </c>
      <c r="E189" s="192" t="str">
        <f ca="1"/>
        <v>פרוס פתרון למניעת חדירת רשת</v>
      </c>
      <c r="F189" s="232" t="str">
        <f ca="1"/>
        <v>Deploy a network intrusion prevention solution, where appropriate. Example implementations include the use of a Network Intrusion Prevention System (NIPS) or equivalent CSP service.</v>
      </c>
      <c r="G189" s="192" t="str">
        <f ca="1"/>
        <v>-</v>
      </c>
      <c r="H189" s="192" t="str">
        <f ca="1"/>
        <v>-</v>
      </c>
      <c r="I189" s="272" t="str">
        <f ca="1"/>
        <v>-</v>
      </c>
      <c r="J189" s="273" t="str">
        <f ca="1"/>
        <v>-</v>
      </c>
      <c r="K189" s="273" t="str">
        <f ca="1"/>
        <v>-</v>
      </c>
      <c r="L189" s="273" t="str">
        <f ca="1"/>
        <v>-</v>
      </c>
      <c r="M189" s="192" t="str">
        <f ca="1"/>
        <v/>
      </c>
      <c r="N189" s="192" t="str">
        <f ca="1"/>
        <v>ארגוני</v>
      </c>
      <c r="O189" s="192" t="str">
        <f ca="1"/>
        <v>-</v>
      </c>
      <c r="P189" s="28"/>
    </row>
    <row r="190" spans="1:16" ht="42.75">
      <c r="A190" s="28"/>
      <c r="B190" s="192">
        <f ca="1"/>
        <v>13.9</v>
      </c>
      <c r="C190" s="192" t="str">
        <f ca="1"/>
        <v>Devices</v>
      </c>
      <c r="D190" s="192" t="str">
        <f ca="1"/>
        <v>Protect</v>
      </c>
      <c r="E190" s="192" t="str">
        <f ca="1"/>
        <v>פרוס בקרת גישה ברמת יציאה</v>
      </c>
      <c r="F190" s="232" t="str">
        <f ca="1"/>
        <v>Deploy port-level access control. Port-level access control utilizes 802.1x, or similar network access control protocols, such as certificates, and may incorporate user and/or device authentication.</v>
      </c>
      <c r="G190" s="192" t="str">
        <f ca="1"/>
        <v>-</v>
      </c>
      <c r="H190" s="192" t="str">
        <f ca="1"/>
        <v>-</v>
      </c>
      <c r="I190" s="272" t="str">
        <f ca="1"/>
        <v>-</v>
      </c>
      <c r="J190" s="273" t="str">
        <f ca="1"/>
        <v>-</v>
      </c>
      <c r="K190" s="273" t="str">
        <f ca="1"/>
        <v>-</v>
      </c>
      <c r="L190" s="273" t="str">
        <f ca="1"/>
        <v>-</v>
      </c>
      <c r="M190" s="192" t="str">
        <f ca="1"/>
        <v/>
      </c>
      <c r="N190" s="192" t="str">
        <f ca="1"/>
        <v>ארגוני</v>
      </c>
      <c r="O190" s="192" t="str">
        <f ca="1"/>
        <v>-</v>
      </c>
      <c r="P190" s="28"/>
    </row>
    <row r="191" spans="1:16" ht="28.5">
      <c r="A191" s="28"/>
      <c r="B191" s="192">
        <f ca="1"/>
        <v>13.1</v>
      </c>
      <c r="C191" s="192" t="str">
        <f ca="1"/>
        <v>Network</v>
      </c>
      <c r="D191" s="192" t="str">
        <f ca="1"/>
        <v>Protect</v>
      </c>
      <c r="E191" s="192" t="str">
        <f ca="1"/>
        <v>בצע סינון שכבת יישומים</v>
      </c>
      <c r="F191" s="232" t="str">
        <f ca="1"/>
        <v>Perform application layer filtering. Example implementations include a filtering proxy, application layer firewall, or gateway.</v>
      </c>
      <c r="G191" s="192" t="str">
        <f ca="1"/>
        <v>-</v>
      </c>
      <c r="H191" s="192" t="str">
        <f ca="1"/>
        <v>-</v>
      </c>
      <c r="I191" s="272" t="str">
        <f ca="1"/>
        <v>-</v>
      </c>
      <c r="J191" s="273" t="str">
        <f ca="1"/>
        <v>-</v>
      </c>
      <c r="K191" s="273" t="str">
        <f ca="1"/>
        <v>-</v>
      </c>
      <c r="L191" s="273" t="str">
        <f ca="1"/>
        <v>-</v>
      </c>
      <c r="M191" s="192" t="str">
        <f ca="1"/>
        <v/>
      </c>
      <c r="N191" s="192" t="str">
        <f ca="1"/>
        <v>ארגוני</v>
      </c>
      <c r="O191" s="192" t="str">
        <f ca="1"/>
        <v>-</v>
      </c>
      <c r="P191" s="28"/>
    </row>
    <row r="192" spans="1:16" ht="28.5">
      <c r="A192" s="28"/>
      <c r="B192" s="192">
        <f ca="1"/>
        <v>13.11</v>
      </c>
      <c r="C192" s="192" t="str">
        <f ca="1"/>
        <v>Network</v>
      </c>
      <c r="D192" s="192" t="str">
        <f ca="1"/>
        <v>Detect</v>
      </c>
      <c r="E192" s="192" t="str">
        <f ca="1"/>
        <v>כוונן את ספי ההתראה על אירועי אבטחה</v>
      </c>
      <c r="F192" s="232" t="str">
        <f ca="1"/>
        <v>Tune security event alerting thresholds monthly, or more frequently.</v>
      </c>
      <c r="G192" s="192" t="str">
        <f ca="1"/>
        <v>-</v>
      </c>
      <c r="H192" s="192" t="str">
        <f ca="1"/>
        <v>-</v>
      </c>
      <c r="I192" s="272" t="str">
        <f ca="1"/>
        <v>-</v>
      </c>
      <c r="J192" s="273" t="str">
        <f ca="1"/>
        <v>-</v>
      </c>
      <c r="K192" s="273" t="str">
        <f ca="1"/>
        <v>-</v>
      </c>
      <c r="L192" s="273" t="str">
        <f ca="1"/>
        <v>-</v>
      </c>
      <c r="M192" s="192" t="str">
        <f ca="1"/>
        <v/>
      </c>
      <c r="N192" s="192" t="str">
        <f ca="1"/>
        <v>ארגוני</v>
      </c>
      <c r="O192" s="192" t="str">
        <f ca="1"/>
        <v>-</v>
      </c>
      <c r="P192" s="28"/>
    </row>
    <row r="193" spans="1:16" ht="45">
      <c r="A193" s="28"/>
      <c r="B193" s="192" t="str">
        <f ca="1"/>
        <v>-</v>
      </c>
      <c r="C193" s="192" t="str">
        <f ca="1"/>
        <v>-</v>
      </c>
      <c r="D193" s="192" t="str">
        <f ca="1"/>
        <v>-</v>
      </c>
      <c r="E193" s="192" t="str">
        <f ca="1"/>
        <v>הכשרת מודעות ומיומנויות אבטחה</v>
      </c>
      <c r="F193" s="232" t="str">
        <f ca="1"/>
        <v>Establish and maintain a security awareness program to influence behavior among the workforce to be security conscious and properly skilled to reduce cybersecurity risks to the enterprise.</v>
      </c>
      <c r="G193" s="192" t="str">
        <f ca="1"/>
        <v>-</v>
      </c>
      <c r="H193" s="192" t="str">
        <f ca="1"/>
        <v>-</v>
      </c>
      <c r="I193" s="272" t="str">
        <f ca="1"/>
        <v>-</v>
      </c>
      <c r="J193" s="273" t="str">
        <f ca="1"/>
        <v>-</v>
      </c>
      <c r="K193" s="273" t="str">
        <f ca="1"/>
        <v>-</v>
      </c>
      <c r="L193" s="273" t="str">
        <f ca="1"/>
        <v>-</v>
      </c>
      <c r="M193" s="192" t="str">
        <f ca="1"/>
        <v>-</v>
      </c>
      <c r="N193" s="192" t="str">
        <f ca="1"/>
        <v>-</v>
      </c>
      <c r="O193" s="192" t="str">
        <f ca="1"/>
        <v>-</v>
      </c>
      <c r="P193" s="28"/>
    </row>
    <row r="194" spans="1:16" ht="71.25">
      <c r="A194" s="28"/>
      <c r="B194" s="192">
        <f ca="1"/>
        <v>14.1</v>
      </c>
      <c r="C194" s="192" t="str">
        <f ca="1"/>
        <v>N/A</v>
      </c>
      <c r="D194" s="192" t="str">
        <f ca="1"/>
        <v>Protect</v>
      </c>
      <c r="E194" s="192" t="str">
        <f ca="1"/>
        <v>הקמה ותחזוקה של תוכנית מודעות לאבטחה</v>
      </c>
      <c r="F194" s="232" t="str">
        <f ca="1"/>
        <v>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v>
      </c>
      <c r="G194" s="192" t="str">
        <f ca="1"/>
        <v>-</v>
      </c>
      <c r="H194" s="192" t="str">
        <f ca="1"/>
        <v>-</v>
      </c>
      <c r="I194" s="272" t="str">
        <f ca="1"/>
        <v>-</v>
      </c>
      <c r="J194" s="273" t="str">
        <f ca="1"/>
        <v>-</v>
      </c>
      <c r="K194" s="273" t="str">
        <f ca="1"/>
        <v>-</v>
      </c>
      <c r="L194" s="273" t="str">
        <f ca="1"/>
        <v>-</v>
      </c>
      <c r="M194" s="192" t="str">
        <f ca="1"/>
        <v/>
      </c>
      <c r="N194" s="192" t="str">
        <f ca="1"/>
        <v>ארגוני</v>
      </c>
      <c r="O194" s="192" t="str">
        <f ca="1"/>
        <v>-</v>
      </c>
      <c r="P194" s="28"/>
    </row>
    <row r="195" spans="1:16" ht="42.75">
      <c r="A195" s="28"/>
      <c r="B195" s="192">
        <f ca="1"/>
        <v>14.2</v>
      </c>
      <c r="C195" s="192" t="str">
        <f ca="1"/>
        <v>N/A</v>
      </c>
      <c r="D195" s="192" t="str">
        <f ca="1"/>
        <v>Protect</v>
      </c>
      <c r="E195" s="192" t="str">
        <f ca="1"/>
        <v>הכשר את חברי כוח העבודה לזהות התקפות הנדסה חברתית</v>
      </c>
      <c r="F195" s="232" t="str">
        <f ca="1"/>
        <v>Train workforce members to recognize social engineering attacks, such as phishing, pre-texting, and tailgating. </v>
      </c>
      <c r="G195" s="192" t="str">
        <f ca="1"/>
        <v>-</v>
      </c>
      <c r="H195" s="192" t="str">
        <f ca="1"/>
        <v>-</v>
      </c>
      <c r="I195" s="272" t="str">
        <f ca="1"/>
        <v>-</v>
      </c>
      <c r="J195" s="273" t="str">
        <f ca="1"/>
        <v>-</v>
      </c>
      <c r="K195" s="273" t="str">
        <f ca="1"/>
        <v>-</v>
      </c>
      <c r="L195" s="273" t="str">
        <f ca="1"/>
        <v>-</v>
      </c>
      <c r="M195" s="192" t="str">
        <f ca="1"/>
        <v/>
      </c>
      <c r="N195" s="192" t="str">
        <f ca="1"/>
        <v>ארגוני</v>
      </c>
      <c r="O195" s="192" t="str">
        <f ca="1"/>
        <v>-</v>
      </c>
      <c r="P195" s="28"/>
    </row>
    <row r="196" spans="1:16" ht="42.75">
      <c r="A196" s="28"/>
      <c r="B196" s="192">
        <f ca="1"/>
        <v>14.3</v>
      </c>
      <c r="C196" s="192" t="str">
        <f ca="1"/>
        <v>N/A</v>
      </c>
      <c r="D196" s="192" t="str">
        <f ca="1"/>
        <v>Protect</v>
      </c>
      <c r="E196" s="192" t="str">
        <f ca="1"/>
        <v>הדרכת חברי כוח העבודה על שיטות עבודה מומלצות לאימות</v>
      </c>
      <c r="F196" s="232" t="str">
        <f ca="1"/>
        <v>Train workforce members on authentication best practices. Example topics include MFA, password composition, and credential management.</v>
      </c>
      <c r="G196" s="192" t="str">
        <f ca="1"/>
        <v>-</v>
      </c>
      <c r="H196" s="192" t="str">
        <f ca="1"/>
        <v>-</v>
      </c>
      <c r="I196" s="272" t="str">
        <f ca="1"/>
        <v>-</v>
      </c>
      <c r="J196" s="273" t="str">
        <f ca="1"/>
        <v>-</v>
      </c>
      <c r="K196" s="273" t="str">
        <f ca="1"/>
        <v>-</v>
      </c>
      <c r="L196" s="273" t="str">
        <f ca="1"/>
        <v>-</v>
      </c>
      <c r="M196" s="192" t="str">
        <f ca="1"/>
        <v/>
      </c>
      <c r="N196" s="192" t="str">
        <f ca="1"/>
        <v>ארגוני</v>
      </c>
      <c r="O196" s="192" t="str">
        <f ca="1"/>
        <v>-</v>
      </c>
      <c r="P196" s="28"/>
    </row>
    <row r="197" spans="1:16" ht="85.5">
      <c r="A197" s="28"/>
      <c r="B197" s="192">
        <f ca="1"/>
        <v>14.4</v>
      </c>
      <c r="C197" s="192" t="str">
        <f ca="1"/>
        <v>N/A</v>
      </c>
      <c r="D197" s="192" t="str">
        <f ca="1"/>
        <v>Protect</v>
      </c>
      <c r="E197" s="192" t="str">
        <f ca="1"/>
        <v>הדרכת כוח העבודה על שיטות עבודה מומלצות לטיפול בנתונים</v>
      </c>
      <c r="F197" s="232" t="str">
        <f ca="1"/>
        <v>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v>
      </c>
      <c r="G197" s="192" t="str">
        <f ca="1"/>
        <v>-</v>
      </c>
      <c r="H197" s="192" t="str">
        <f ca="1"/>
        <v>-</v>
      </c>
      <c r="I197" s="272" t="str">
        <f ca="1"/>
        <v>-</v>
      </c>
      <c r="J197" s="273" t="str">
        <f ca="1"/>
        <v>-</v>
      </c>
      <c r="K197" s="273" t="str">
        <f ca="1"/>
        <v>-</v>
      </c>
      <c r="L197" s="273" t="str">
        <f ca="1"/>
        <v>-</v>
      </c>
      <c r="M197" s="192" t="str">
        <f ca="1"/>
        <v/>
      </c>
      <c r="N197" s="192" t="str">
        <f ca="1"/>
        <v>ארגוני</v>
      </c>
      <c r="O197" s="192" t="str">
        <f ca="1"/>
        <v>-</v>
      </c>
      <c r="P197" s="28"/>
    </row>
    <row r="198" spans="1:16" ht="42.75">
      <c r="A198" s="28"/>
      <c r="B198" s="192">
        <f ca="1"/>
        <v>14.5</v>
      </c>
      <c r="C198" s="192" t="str">
        <f ca="1"/>
        <v>N/A</v>
      </c>
      <c r="D198" s="192" t="str">
        <f ca="1"/>
        <v>Protect</v>
      </c>
      <c r="E198" s="192" t="str">
        <f ca="1"/>
        <v>הדרכת חברי כוח העבודה על גורמים לחשיפה לא מכוונת של נתונים</v>
      </c>
      <c r="F198" s="232" t="str">
        <f ca="1"/>
        <v>Train workforce members to be aware of causes for unintentional data exposure. Example topics include mis-delivery of sensitive data, losing a portable end-user device, or publishing data to unintended audiences.</v>
      </c>
      <c r="G198" s="192" t="str">
        <f ca="1"/>
        <v>-</v>
      </c>
      <c r="H198" s="192" t="str">
        <f ca="1"/>
        <v>-</v>
      </c>
      <c r="I198" s="272" t="str">
        <f ca="1"/>
        <v>-</v>
      </c>
      <c r="J198" s="273" t="str">
        <f ca="1"/>
        <v>-</v>
      </c>
      <c r="K198" s="273" t="str">
        <f ca="1"/>
        <v>-</v>
      </c>
      <c r="L198" s="273" t="str">
        <f ca="1"/>
        <v>-</v>
      </c>
      <c r="M198" s="192" t="str">
        <f ca="1"/>
        <v/>
      </c>
      <c r="N198" s="192" t="str">
        <f ca="1"/>
        <v>ארגוני</v>
      </c>
      <c r="O198" s="192" t="str">
        <f ca="1"/>
        <v>-</v>
      </c>
      <c r="P198" s="28"/>
    </row>
    <row r="199" spans="1:16" ht="42.75">
      <c r="A199" s="28"/>
      <c r="B199" s="192">
        <f ca="1"/>
        <v>14.6</v>
      </c>
      <c r="C199" s="192" t="str">
        <f ca="1"/>
        <v>N/A</v>
      </c>
      <c r="D199" s="192" t="str">
        <f ca="1"/>
        <v>Protect</v>
      </c>
      <c r="E199" s="192" t="str">
        <f ca="1"/>
        <v>הדרכת חברי כוח העבודה בזיהוי ודיווח על אירועי אבטחה</v>
      </c>
      <c r="F199" s="232" t="str">
        <f ca="1"/>
        <v>Train workforce members to be able to recognize a potential incident and be able to report such an incident. </v>
      </c>
      <c r="G199" s="192" t="str">
        <f ca="1"/>
        <v>-</v>
      </c>
      <c r="H199" s="192" t="str">
        <f ca="1"/>
        <v>-</v>
      </c>
      <c r="I199" s="272" t="str">
        <f ca="1"/>
        <v>-</v>
      </c>
      <c r="J199" s="273" t="str">
        <f ca="1"/>
        <v>-</v>
      </c>
      <c r="K199" s="273" t="str">
        <f ca="1"/>
        <v>-</v>
      </c>
      <c r="L199" s="273" t="str">
        <f ca="1"/>
        <v>-</v>
      </c>
      <c r="M199" s="192" t="str">
        <f ca="1"/>
        <v/>
      </c>
      <c r="N199" s="192" t="str">
        <f ca="1"/>
        <v>ארגוני</v>
      </c>
      <c r="O199" s="192" t="str">
        <f ca="1"/>
        <v>-</v>
      </c>
      <c r="P199" s="28"/>
    </row>
    <row r="200" spans="1:16" ht="57">
      <c r="A200" s="28"/>
      <c r="B200" s="192">
        <f ca="1"/>
        <v>14.7</v>
      </c>
      <c r="C200" s="192" t="str">
        <f ca="1"/>
        <v>N/A</v>
      </c>
      <c r="D200" s="192" t="str">
        <f ca="1"/>
        <v>Protect</v>
      </c>
      <c r="E200" s="192" t="str">
        <f ca="1"/>
        <v>הדרכת כוח העבודה כיצד לזהות ולדווח אם חסרים עדכוני אבטחה בנכסים הארגוניים שלהם</v>
      </c>
      <c r="F200" s="232" t="str">
        <f ca="1"/>
        <v>Train workforce to understand how to verify and report out-of-date software patches or any failures in automated processes and tools. Part of this training should include notifying IT personnel of any failures in automated processes and tools.</v>
      </c>
      <c r="G200" s="192" t="str">
        <f ca="1"/>
        <v>-</v>
      </c>
      <c r="H200" s="192" t="str">
        <f ca="1"/>
        <v>-</v>
      </c>
      <c r="I200" s="272" t="str">
        <f ca="1"/>
        <v>-</v>
      </c>
      <c r="J200" s="273" t="str">
        <f ca="1"/>
        <v>-</v>
      </c>
      <c r="K200" s="273" t="str">
        <f ca="1"/>
        <v>-</v>
      </c>
      <c r="L200" s="273" t="str">
        <f ca="1"/>
        <v>-</v>
      </c>
      <c r="M200" s="192" t="str">
        <f ca="1"/>
        <v/>
      </c>
      <c r="N200" s="192" t="str">
        <f ca="1"/>
        <v>ארגוני</v>
      </c>
      <c r="O200" s="192" t="str">
        <f ca="1"/>
        <v>-</v>
      </c>
      <c r="P200" s="28"/>
    </row>
    <row r="201" spans="1:16" ht="57">
      <c r="A201" s="28"/>
      <c r="B201" s="192">
        <f ca="1"/>
        <v>14.8</v>
      </c>
      <c r="C201" s="192" t="str">
        <f ca="1"/>
        <v>N/A</v>
      </c>
      <c r="D201" s="192" t="str">
        <f ca="1"/>
        <v>Protect</v>
      </c>
      <c r="E201" s="192" t="str">
        <f ca="1"/>
        <v>הדרכת כוח העבודה על הסכנות של התחברות והעברת נתונים ארגוניים ברשתות לא מאובטחות</v>
      </c>
      <c r="F201" s="232" t="str">
        <f ca="1"/>
        <v>Train workforce members on the dangers of connecting to, and transmitting data over, insecure networks for enterprise activities. If the enterprise has remote workers, training must include guidance to ensure that all users securely configure their home network infrastructure.</v>
      </c>
      <c r="G201" s="192" t="str">
        <f ca="1"/>
        <v>-</v>
      </c>
      <c r="H201" s="192" t="str">
        <f ca="1"/>
        <v>-</v>
      </c>
      <c r="I201" s="272" t="str">
        <f ca="1"/>
        <v>-</v>
      </c>
      <c r="J201" s="273" t="str">
        <f ca="1"/>
        <v>-</v>
      </c>
      <c r="K201" s="273" t="str">
        <f ca="1"/>
        <v>-</v>
      </c>
      <c r="L201" s="273" t="str">
        <f ca="1"/>
        <v>-</v>
      </c>
      <c r="M201" s="192" t="str">
        <f ca="1"/>
        <v/>
      </c>
      <c r="N201" s="192" t="str">
        <f ca="1"/>
        <v>ארגוני</v>
      </c>
      <c r="O201" s="192" t="str">
        <f ca="1"/>
        <v>-</v>
      </c>
      <c r="P201" s="28"/>
    </row>
    <row r="202" spans="1:16" ht="71.25">
      <c r="A202" s="28"/>
      <c r="B202" s="192">
        <f ca="1"/>
        <v>14.9</v>
      </c>
      <c r="C202" s="192" t="str">
        <f ca="1"/>
        <v>N/A</v>
      </c>
      <c r="D202" s="192" t="str">
        <f ca="1"/>
        <v>Protect</v>
      </c>
      <c r="E202" s="192" t="str">
        <f ca="1"/>
        <v>ערכו הכשרת מודעות ואבטחה ספציפית לתפקידים</v>
      </c>
      <c r="F202" s="232" t="str">
        <f ca="1"/>
        <v>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v>
      </c>
      <c r="G202" s="192" t="str">
        <f ca="1"/>
        <v>-</v>
      </c>
      <c r="H202" s="192" t="str">
        <f ca="1"/>
        <v>-</v>
      </c>
      <c r="I202" s="272" t="str">
        <f ca="1"/>
        <v>-</v>
      </c>
      <c r="J202" s="273" t="str">
        <f ca="1"/>
        <v>-</v>
      </c>
      <c r="K202" s="273" t="str">
        <f ca="1"/>
        <v>-</v>
      </c>
      <c r="L202" s="273" t="str">
        <f ca="1"/>
        <v>-</v>
      </c>
      <c r="M202" s="192" t="str">
        <f ca="1"/>
        <v/>
      </c>
      <c r="N202" s="192" t="str">
        <f ca="1"/>
        <v>ארגוני</v>
      </c>
      <c r="O202" s="192" t="str">
        <f ca="1"/>
        <v>-</v>
      </c>
      <c r="P202" s="28"/>
    </row>
    <row r="203" spans="1:16" ht="60">
      <c r="A203" s="28"/>
      <c r="B203" s="192" t="str">
        <f ca="1"/>
        <v>-</v>
      </c>
      <c r="C203" s="192" t="str">
        <f ca="1"/>
        <v>-</v>
      </c>
      <c r="D203" s="192" t="str">
        <f ca="1"/>
        <v>-</v>
      </c>
      <c r="E203" s="192" t="str">
        <f ca="1"/>
        <v>ניהול ספקי שירותים</v>
      </c>
      <c r="F203" s="232" t="str">
        <f ca="1"/>
        <v>Develop a process to evaluate service providers who hold sensitive data, or are responsible for an enterprise’s critical IT platforms or processes, to ensure these providers are protecting those platforms and data appropriately.</v>
      </c>
      <c r="G203" s="192" t="str">
        <f ca="1"/>
        <v>-</v>
      </c>
      <c r="H203" s="192" t="str">
        <f ca="1"/>
        <v>-</v>
      </c>
      <c r="I203" s="272" t="str">
        <f ca="1"/>
        <v>-</v>
      </c>
      <c r="J203" s="273" t="str">
        <f ca="1"/>
        <v>-</v>
      </c>
      <c r="K203" s="273" t="str">
        <f ca="1"/>
        <v>-</v>
      </c>
      <c r="L203" s="273" t="str">
        <f ca="1"/>
        <v>-</v>
      </c>
      <c r="M203" s="192" t="str">
        <f ca="1"/>
        <v>-</v>
      </c>
      <c r="N203" s="192" t="str">
        <f ca="1"/>
        <v>-</v>
      </c>
      <c r="O203" s="192" t="str">
        <f ca="1"/>
        <v>-</v>
      </c>
      <c r="P203" s="28"/>
    </row>
    <row r="204" spans="1:16" ht="71.25">
      <c r="A204" s="28"/>
      <c r="B204" s="192">
        <f ca="1"/>
        <v>15.1</v>
      </c>
      <c r="C204" s="192" t="str">
        <f ca="1"/>
        <v>N/A</v>
      </c>
      <c r="D204" s="192" t="str">
        <f ca="1"/>
        <v>Identify</v>
      </c>
      <c r="E204" s="192" t="str">
        <f ca="1"/>
        <v>הקמה ותחזוקה של מיפוי של נותני שירותים</v>
      </c>
      <c r="F204" s="232" t="str">
        <f ca="1"/>
        <v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v>
      </c>
      <c r="G204" s="192" t="str">
        <f ca="1"/>
        <v>-</v>
      </c>
      <c r="H204" s="192" t="str">
        <f ca="1"/>
        <v>-</v>
      </c>
      <c r="I204" s="272" t="str">
        <f ca="1"/>
        <v>-</v>
      </c>
      <c r="J204" s="273" t="str">
        <f ca="1"/>
        <v>-</v>
      </c>
      <c r="K204" s="273" t="str">
        <f ca="1"/>
        <v>-</v>
      </c>
      <c r="L204" s="273" t="str">
        <f ca="1"/>
        <v>-</v>
      </c>
      <c r="M204" s="192" t="str">
        <f ca="1"/>
        <v/>
      </c>
      <c r="N204" s="192" t="str">
        <f ca="1"/>
        <v>ארגוני</v>
      </c>
      <c r="O204" s="192" t="str">
        <f ca="1"/>
        <v>-</v>
      </c>
      <c r="P204" s="28"/>
    </row>
    <row r="205" spans="1:16" ht="57">
      <c r="A205" s="28"/>
      <c r="B205" s="192">
        <f ca="1"/>
        <v>15.2</v>
      </c>
      <c r="C205" s="192" t="str">
        <f ca="1"/>
        <v>N/A</v>
      </c>
      <c r="D205" s="192" t="str">
        <f ca="1"/>
        <v>Identify</v>
      </c>
      <c r="E205" s="192" t="str">
        <f ca="1"/>
        <v>קבע ותחזק מדיניות ניהול ספק שירות</v>
      </c>
      <c r="F205" s="232" t="str">
        <f ca="1"/>
        <v>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v>
      </c>
      <c r="G205" s="192" t="str">
        <f ca="1"/>
        <v>-</v>
      </c>
      <c r="H205" s="192" t="str">
        <f ca="1"/>
        <v>-</v>
      </c>
      <c r="I205" s="272" t="str">
        <f ca="1"/>
        <v>-</v>
      </c>
      <c r="J205" s="273" t="str">
        <f ca="1"/>
        <v>-</v>
      </c>
      <c r="K205" s="273" t="str">
        <f ca="1"/>
        <v>-</v>
      </c>
      <c r="L205" s="273" t="str">
        <f ca="1"/>
        <v>-</v>
      </c>
      <c r="M205" s="192" t="str">
        <f ca="1"/>
        <v/>
      </c>
      <c r="N205" s="192" t="str">
        <f ca="1"/>
        <v>ארגוני</v>
      </c>
      <c r="O205" s="192" t="str">
        <f ca="1"/>
        <v>-</v>
      </c>
      <c r="P205" s="28"/>
    </row>
    <row r="206" spans="1:16" ht="71.25">
      <c r="A206" s="28"/>
      <c r="B206" s="192">
        <f ca="1"/>
        <v>15.3</v>
      </c>
      <c r="C206" s="192" t="str">
        <f ca="1"/>
        <v>N/A</v>
      </c>
      <c r="D206" s="192" t="str">
        <f ca="1"/>
        <v>Identify</v>
      </c>
      <c r="E206" s="192" t="str">
        <f ca="1"/>
        <v>סיווג ספקי שירות</v>
      </c>
      <c r="F206" s="232" t="str">
        <f ca="1"/>
        <v>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v>
      </c>
      <c r="G206" s="192" t="str">
        <f ca="1"/>
        <v>-</v>
      </c>
      <c r="H206" s="192" t="str">
        <f ca="1"/>
        <v>-</v>
      </c>
      <c r="I206" s="272" t="str">
        <f ca="1"/>
        <v>-</v>
      </c>
      <c r="J206" s="273" t="str">
        <f ca="1"/>
        <v>-</v>
      </c>
      <c r="K206" s="273" t="str">
        <f ca="1"/>
        <v>-</v>
      </c>
      <c r="L206" s="273" t="str">
        <f ca="1"/>
        <v>-</v>
      </c>
      <c r="M206" s="192" t="str">
        <f ca="1"/>
        <v/>
      </c>
      <c r="N206" s="192" t="str">
        <f ca="1"/>
        <v>ארגוני</v>
      </c>
      <c r="O206" s="192" t="str">
        <f ca="1"/>
        <v>-</v>
      </c>
      <c r="P206" s="28"/>
    </row>
    <row r="207" spans="1:16" ht="99.75">
      <c r="A207" s="28"/>
      <c r="B207" s="192">
        <f ca="1"/>
        <v>15.4</v>
      </c>
      <c r="C207" s="192" t="str">
        <f ca="1"/>
        <v>N/A</v>
      </c>
      <c r="D207" s="192" t="str">
        <f ca="1"/>
        <v>Protect</v>
      </c>
      <c r="E207" s="192" t="str">
        <f ca="1"/>
        <v>ודא שחוזי ספקי שירות כוללים דרישות אבטחה</v>
      </c>
      <c r="F207" s="232" t="str">
        <f ca="1"/>
        <v>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v>
      </c>
      <c r="G207" s="192" t="str">
        <f ca="1"/>
        <v>-</v>
      </c>
      <c r="H207" s="192" t="str">
        <f ca="1"/>
        <v>-</v>
      </c>
      <c r="I207" s="272" t="str">
        <f ca="1"/>
        <v>-</v>
      </c>
      <c r="J207" s="273" t="str">
        <f ca="1"/>
        <v>-</v>
      </c>
      <c r="K207" s="273" t="str">
        <f ca="1"/>
        <v>-</v>
      </c>
      <c r="L207" s="273" t="str">
        <f ca="1"/>
        <v>-</v>
      </c>
      <c r="M207" s="192" t="str">
        <f ca="1"/>
        <v/>
      </c>
      <c r="N207" s="192" t="str">
        <f ca="1"/>
        <v>ארגוני</v>
      </c>
      <c r="O207" s="192" t="str">
        <f ca="1"/>
        <v>-</v>
      </c>
      <c r="P207" s="28"/>
    </row>
    <row r="208" spans="1:16" ht="99.75">
      <c r="A208" s="28"/>
      <c r="B208" s="192">
        <f ca="1"/>
        <v>15.5</v>
      </c>
      <c r="C208" s="192" t="str">
        <f ca="1"/>
        <v>N/A</v>
      </c>
      <c r="D208" s="192" t="str">
        <f ca="1"/>
        <v>Identify</v>
      </c>
      <c r="E208" s="192" t="str">
        <f ca="1"/>
        <v>הערכת נותני שירות</v>
      </c>
      <c r="F208" s="232" t="str">
        <f ca="1"/>
        <v>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v>
      </c>
      <c r="G208" s="192" t="str">
        <f ca="1"/>
        <v>-</v>
      </c>
      <c r="H208" s="192" t="str">
        <f ca="1"/>
        <v>-</v>
      </c>
      <c r="I208" s="272" t="str">
        <f ca="1"/>
        <v>-</v>
      </c>
      <c r="J208" s="273" t="str">
        <f ca="1"/>
        <v>-</v>
      </c>
      <c r="K208" s="273" t="str">
        <f ca="1"/>
        <v>-</v>
      </c>
      <c r="L208" s="273" t="str">
        <f ca="1"/>
        <v>-</v>
      </c>
      <c r="M208" s="192" t="str">
        <f ca="1"/>
        <v/>
      </c>
      <c r="N208" s="192" t="str">
        <f ca="1"/>
        <v>ארגוני</v>
      </c>
      <c r="O208" s="192" t="str">
        <f ca="1"/>
        <v>-</v>
      </c>
      <c r="P208" s="28"/>
    </row>
    <row r="209" spans="1:16" ht="57">
      <c r="A209" s="28"/>
      <c r="B209" s="192">
        <f ca="1"/>
        <v>15.6</v>
      </c>
      <c r="C209" s="192" t="str">
        <f ca="1"/>
        <v>Data</v>
      </c>
      <c r="D209" s="192" t="str">
        <f ca="1"/>
        <v>Detect</v>
      </c>
      <c r="E209" s="192" t="str">
        <f ca="1"/>
        <v>מעקב אחר ספקי שירות</v>
      </c>
      <c r="F209" s="232" t="str">
        <f ca="1"/>
        <v>Monitor service providers consistent with the enterprise’s service provider management policy. Monitoring may include periodic reassessment of service provider compliance, monitoring service provider release notes, and dark web monitoring.</v>
      </c>
      <c r="G209" s="192" t="str">
        <f ca="1"/>
        <v>-</v>
      </c>
      <c r="H209" s="192" t="str">
        <f ca="1"/>
        <v>-</v>
      </c>
      <c r="I209" s="272" t="str">
        <f ca="1"/>
        <v>-</v>
      </c>
      <c r="J209" s="273" t="str">
        <f ca="1"/>
        <v>-</v>
      </c>
      <c r="K209" s="273" t="str">
        <f ca="1"/>
        <v>-</v>
      </c>
      <c r="L209" s="273" t="str">
        <f ca="1"/>
        <v>-</v>
      </c>
      <c r="M209" s="192" t="str">
        <f ca="1"/>
        <v/>
      </c>
      <c r="N209" s="192" t="str">
        <f ca="1"/>
        <v>ארגוני</v>
      </c>
      <c r="O209" s="192" t="str">
        <f ca="1"/>
        <v>-</v>
      </c>
      <c r="P209" s="28"/>
    </row>
    <row r="210" spans="1:16" ht="42.75">
      <c r="A210" s="28"/>
      <c r="B210" s="192">
        <f ca="1"/>
        <v>15.7</v>
      </c>
      <c r="C210" s="192" t="str">
        <f ca="1"/>
        <v>Data</v>
      </c>
      <c r="D210" s="192" t="str">
        <f ca="1"/>
        <v>Protect</v>
      </c>
      <c r="E210" s="192" t="str">
        <f ca="1"/>
        <v>ספקי שירות ביטול מאובטח</v>
      </c>
      <c r="F210" s="232" t="str">
        <f ca="1"/>
        <v xml:space="preserve">Securely decommission service providers. Example considerations include user and service account deactivation, termination of data flows, and secure disposal of enterprise data within service provider systems. </v>
      </c>
      <c r="G210" s="192" t="str">
        <f ca="1"/>
        <v>-</v>
      </c>
      <c r="H210" s="192" t="str">
        <f ca="1"/>
        <v>-</v>
      </c>
      <c r="I210" s="272" t="str">
        <f ca="1"/>
        <v>-</v>
      </c>
      <c r="J210" s="273" t="str">
        <f ca="1"/>
        <v>-</v>
      </c>
      <c r="K210" s="273" t="str">
        <f ca="1"/>
        <v>-</v>
      </c>
      <c r="L210" s="273" t="str">
        <f ca="1"/>
        <v>-</v>
      </c>
      <c r="M210" s="192" t="str">
        <f ca="1"/>
        <v/>
      </c>
      <c r="N210" s="192" t="str">
        <f ca="1"/>
        <v>ארגוני</v>
      </c>
      <c r="O210" s="192" t="str">
        <f ca="1"/>
        <v>-</v>
      </c>
      <c r="P210" s="28"/>
    </row>
    <row r="211" spans="1:16" ht="45">
      <c r="A211" s="28"/>
      <c r="B211" s="192" t="str">
        <f ca="1"/>
        <v>-</v>
      </c>
      <c r="C211" s="192" t="str">
        <f ca="1"/>
        <v>-</v>
      </c>
      <c r="D211" s="192" t="str">
        <f ca="1"/>
        <v>-</v>
      </c>
      <c r="E211" s="192" t="str">
        <f ca="1"/>
        <v>אבטחת תוכנת יישומים</v>
      </c>
      <c r="F211" s="232" t="str">
        <f ca="1"/>
        <v>Manage the security life cycle of in-house developed, hosted, or acquired software to prevent, detect, and remediate security weaknesses before they can impact the enterprise.</v>
      </c>
      <c r="G211" s="192" t="str">
        <f ca="1"/>
        <v>-</v>
      </c>
      <c r="H211" s="192" t="str">
        <f ca="1"/>
        <v>-</v>
      </c>
      <c r="I211" s="272" t="str">
        <f ca="1"/>
        <v>-</v>
      </c>
      <c r="J211" s="273" t="str">
        <f ca="1"/>
        <v>-</v>
      </c>
      <c r="K211" s="273" t="str">
        <f ca="1"/>
        <v>-</v>
      </c>
      <c r="L211" s="273" t="str">
        <f ca="1"/>
        <v>-</v>
      </c>
      <c r="M211" s="192" t="str">
        <f ca="1"/>
        <v>-</v>
      </c>
      <c r="N211" s="192" t="str">
        <f ca="1"/>
        <v>-</v>
      </c>
      <c r="O211" s="192" t="str">
        <f ca="1"/>
        <v>-</v>
      </c>
      <c r="P211" s="28"/>
    </row>
    <row r="212" spans="1:16" ht="85.5">
      <c r="A212" s="28"/>
      <c r="B212" s="192">
        <f ca="1"/>
        <v>16.100000000000001</v>
      </c>
      <c r="C212" s="192" t="str">
        <f ca="1"/>
        <v>Applications</v>
      </c>
      <c r="D212" s="192" t="str">
        <f ca="1"/>
        <v>Protect</v>
      </c>
      <c r="E212" s="192" t="str">
        <f ca="1"/>
        <v>הקמה ותחזוקה של תהליך פיתוח אפליקציות מאובטח</v>
      </c>
      <c r="F212" s="232" t="str">
        <f ca="1"/>
        <v>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v>
      </c>
      <c r="G212" s="192" t="str">
        <f ca="1"/>
        <v>-</v>
      </c>
      <c r="H212" s="192" t="str">
        <f ca="1"/>
        <v>-</v>
      </c>
      <c r="I212" s="272" t="str">
        <f ca="1"/>
        <v>-</v>
      </c>
      <c r="J212" s="273" t="str">
        <f ca="1"/>
        <v>-</v>
      </c>
      <c r="K212" s="273" t="str">
        <f ca="1"/>
        <v>-</v>
      </c>
      <c r="L212" s="273" t="str">
        <f ca="1"/>
        <v>-</v>
      </c>
      <c r="M212" s="192" t="str">
        <f ca="1"/>
        <v/>
      </c>
      <c r="N212" s="192" t="str">
        <f ca="1"/>
        <v>ארגוני</v>
      </c>
      <c r="O212" s="192" t="str">
        <f ca="1"/>
        <v>-</v>
      </c>
      <c r="P212" s="28"/>
    </row>
    <row r="213" spans="1:16" ht="171">
      <c r="A213" s="28"/>
      <c r="B213" s="192">
        <f ca="1"/>
        <v>16.2</v>
      </c>
      <c r="C213" s="192" t="str">
        <f ca="1"/>
        <v>Applications</v>
      </c>
      <c r="D213" s="192" t="str">
        <f ca="1"/>
        <v>Protect</v>
      </c>
      <c r="E213" s="192" t="str">
        <f ca="1"/>
        <v>הקמה ותחזוקה של תהליך לקבלת וטיפול בפרצות תוכנה</v>
      </c>
      <c r="F213" s="232" t="str">
        <f ca="1"/>
        <v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v>
      </c>
      <c r="G213" s="192" t="str">
        <f ca="1"/>
        <v>-</v>
      </c>
      <c r="H213" s="192" t="str">
        <f ca="1"/>
        <v>-</v>
      </c>
      <c r="I213" s="272" t="str">
        <f ca="1"/>
        <v>-</v>
      </c>
      <c r="J213" s="273" t="str">
        <f ca="1"/>
        <v>-</v>
      </c>
      <c r="K213" s="273" t="str">
        <f ca="1"/>
        <v>-</v>
      </c>
      <c r="L213" s="273" t="str">
        <f ca="1"/>
        <v>-</v>
      </c>
      <c r="M213" s="192" t="str">
        <f ca="1"/>
        <v/>
      </c>
      <c r="N213" s="192" t="str">
        <f ca="1"/>
        <v>ארגוני</v>
      </c>
      <c r="O213" s="192" t="str">
        <f ca="1"/>
        <v>-</v>
      </c>
      <c r="P213" s="28"/>
    </row>
    <row r="214" spans="1:16" ht="57">
      <c r="A214" s="28"/>
      <c r="B214" s="192">
        <f ca="1"/>
        <v>16.3</v>
      </c>
      <c r="C214" s="192" t="str">
        <f ca="1"/>
        <v>Applications</v>
      </c>
      <c r="D214" s="192" t="str">
        <f ca="1"/>
        <v>Protect</v>
      </c>
      <c r="E214" s="192" t="str">
        <f ca="1"/>
        <v>בצע ניתוח סיבת שורש על פרצות אבטחה</v>
      </c>
      <c r="F214" s="232" t="str">
        <f ca="1"/>
        <v>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v>
      </c>
      <c r="G214" s="192" t="str">
        <f ca="1"/>
        <v>-</v>
      </c>
      <c r="H214" s="192" t="str">
        <f ca="1"/>
        <v>-</v>
      </c>
      <c r="I214" s="272" t="str">
        <f ca="1"/>
        <v>-</v>
      </c>
      <c r="J214" s="273" t="str">
        <f ca="1"/>
        <v>-</v>
      </c>
      <c r="K214" s="273" t="str">
        <f ca="1"/>
        <v>-</v>
      </c>
      <c r="L214" s="273" t="str">
        <f ca="1"/>
        <v>-</v>
      </c>
      <c r="M214" s="192" t="str">
        <f ca="1"/>
        <v/>
      </c>
      <c r="N214" s="192" t="str">
        <f ca="1"/>
        <v>ארגוני</v>
      </c>
      <c r="O214" s="192" t="str">
        <f ca="1"/>
        <v>-</v>
      </c>
      <c r="P214" s="28"/>
    </row>
    <row r="215" spans="1:16" ht="85.5">
      <c r="A215" s="28"/>
      <c r="B215" s="192">
        <f ca="1"/>
        <v>16.399999999999999</v>
      </c>
      <c r="C215" s="192" t="str">
        <f ca="1"/>
        <v>Applications</v>
      </c>
      <c r="D215" s="192" t="str">
        <f ca="1"/>
        <v>Protect</v>
      </c>
      <c r="E215" s="192" t="str">
        <f ca="1"/>
        <v>הקמה וניהול מיפוי של רכיבי תוכנה של צד שלישי</v>
      </c>
      <c r="F215" s="232" t="str">
        <f ca="1"/>
        <v>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v>
      </c>
      <c r="G215" s="192" t="str">
        <f ca="1"/>
        <v>-</v>
      </c>
      <c r="H215" s="192" t="str">
        <f ca="1"/>
        <v>-</v>
      </c>
      <c r="I215" s="272" t="str">
        <f ca="1"/>
        <v>-</v>
      </c>
      <c r="J215" s="273" t="str">
        <f ca="1"/>
        <v>-</v>
      </c>
      <c r="K215" s="273" t="str">
        <f ca="1"/>
        <v>-</v>
      </c>
      <c r="L215" s="273" t="str">
        <f ca="1"/>
        <v>-</v>
      </c>
      <c r="M215" s="192" t="str">
        <f ca="1"/>
        <v/>
      </c>
      <c r="N215" s="192" t="str">
        <f ca="1"/>
        <v>ארגוני</v>
      </c>
      <c r="O215" s="192" t="str">
        <f ca="1"/>
        <v>-</v>
      </c>
      <c r="P215" s="28"/>
    </row>
    <row r="216" spans="1:16" ht="57">
      <c r="A216" s="28"/>
      <c r="B216" s="192">
        <f ca="1"/>
        <v>16.5</v>
      </c>
      <c r="C216" s="192" t="str">
        <f ca="1"/>
        <v>Applications</v>
      </c>
      <c r="D216" s="192" t="str">
        <f ca="1"/>
        <v>Protect</v>
      </c>
      <c r="E216" s="192" t="str">
        <f ca="1"/>
        <v>השתמש ברכיבי תוכנה מעודכנים ומהימנים של צד שלישי</v>
      </c>
      <c r="F216" s="232" t="str">
        <f ca="1"/>
        <v>Use up-to-date and trusted third-party software components. When possible, choose established and proven frameworks and libraries that provide adequate security. Acquire these components from trusted sources or evaluate the software for vulnerabilities before use.</v>
      </c>
      <c r="G216" s="192" t="str">
        <f ca="1"/>
        <v>-</v>
      </c>
      <c r="H216" s="192" t="str">
        <f ca="1"/>
        <v>-</v>
      </c>
      <c r="I216" s="272" t="str">
        <f ca="1"/>
        <v>-</v>
      </c>
      <c r="J216" s="273" t="str">
        <f ca="1"/>
        <v>-</v>
      </c>
      <c r="K216" s="273" t="str">
        <f ca="1"/>
        <v>-</v>
      </c>
      <c r="L216" s="273" t="str">
        <f ca="1"/>
        <v>-</v>
      </c>
      <c r="M216" s="192" t="str">
        <f ca="1"/>
        <v/>
      </c>
      <c r="N216" s="192" t="str">
        <f ca="1"/>
        <v>ארגוני</v>
      </c>
      <c r="O216" s="192" t="str">
        <f ca="1"/>
        <v>-</v>
      </c>
      <c r="P216" s="28"/>
    </row>
    <row r="217" spans="1:16" ht="99.75">
      <c r="A217" s="28"/>
      <c r="B217" s="192">
        <f ca="1"/>
        <v>16.600000000000001</v>
      </c>
      <c r="C217" s="192" t="str">
        <f ca="1"/>
        <v>Applications</v>
      </c>
      <c r="D217" s="192" t="str">
        <f ca="1"/>
        <v>Protect</v>
      </c>
      <c r="E217" s="192" t="str">
        <f ca="1"/>
        <v>הקמה ותחזוקה של מערכת דירוג חומרה ותהליך עבור פרצות יישומים</v>
      </c>
      <c r="F217" s="232" t="str">
        <f ca="1"/>
        <v>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v>
      </c>
      <c r="G217" s="192" t="str">
        <f ca="1"/>
        <v>-</v>
      </c>
      <c r="H217" s="192" t="str">
        <f ca="1"/>
        <v>-</v>
      </c>
      <c r="I217" s="272" t="str">
        <f ca="1"/>
        <v>-</v>
      </c>
      <c r="J217" s="273" t="str">
        <f ca="1"/>
        <v>-</v>
      </c>
      <c r="K217" s="273" t="str">
        <f ca="1"/>
        <v>-</v>
      </c>
      <c r="L217" s="273" t="str">
        <f ca="1"/>
        <v>-</v>
      </c>
      <c r="M217" s="192" t="str">
        <f ca="1"/>
        <v/>
      </c>
      <c r="N217" s="192" t="str">
        <f ca="1"/>
        <v>ארגוני</v>
      </c>
      <c r="O217" s="192" t="str">
        <f ca="1"/>
        <v>-</v>
      </c>
      <c r="P217" s="28"/>
    </row>
    <row r="218" spans="1:16" ht="409.5">
      <c r="A218" s="28"/>
      <c r="B218" s="192">
        <f ca="1"/>
        <v>16.7</v>
      </c>
      <c r="C218" s="192" t="str">
        <f ca="1"/>
        <v>Applications</v>
      </c>
      <c r="D218" s="192" t="str">
        <f ca="1"/>
        <v>Protect</v>
      </c>
      <c r="E218" s="192" t="str">
        <f ca="1"/>
        <v>השתמש בתבניות תצורת התקשות סטנדרטיות עבור תשתית יישומים</v>
      </c>
      <c r="F218" s="232" t="str">
        <f ca="1"/>
        <v>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v>
      </c>
      <c r="G218" s="192" t="str">
        <f ca="1"/>
        <v>6.1.3 Ensure That the ‘Local_infile’ Database Flag for a Cloud SQL MySQL Instance Is Set to ‘Off’ (Automated)</v>
      </c>
      <c r="H218" s="192" t="str">
        <f ca="1"/>
        <v>It is recommended to set the local_infile database flag for a Cloud SQL MySQL instance to off.</v>
      </c>
      <c r="I218" s="272" t="str">
        <f ca="1"/>
        <v>6.1.3</v>
      </c>
      <c r="J218" s="273" t="str">
        <f ca="1"/>
        <v>The local_infile flag controls the server-side LOCAL capability for LOAD DATA statements. Depending on the local_infile setting, the server refuses or permits local data loading by clients that have LOCAL enabled on the client side.
To explicitly cause the server to refuse LOAD DATA LOCAL statements (regardless of how client programs and libraries are configured at build time or runtime), start mysqld with local_infile disabled. local_infile can also be set at runtime.
Due to security issues associated with the local_infile flag, it is recommended to disable it. This recommendation is applicable to MySQL database instances.
Impact:
Disabling local_infile makes the server refuse local data loading by clients that have LOCAL enabled on the client side.</v>
      </c>
      <c r="K218" s="273" t="str">
        <f ca="1"/>
        <v>-</v>
      </c>
      <c r="L218" s="273" t="str">
        <f ca="1"/>
        <v>From Google Cloud Console
1. Go to the Cloud SQL Instances page in the Google Cloud Console by visiting https://console.cloud.google.com/sql/instances.
2. Select the MySQL instance where the database flag needs to be enabled.
3. Click Edit.
4. Scroll down to the Flags section.
5. To set a flag that has not been set on the instance before, click Add item, choose the flag local_infile from the drop-down menu, and set its value to off.
6. Click Save.
7. Confirm the changes under Flags on the Overview page.
From Google Cloud CLI
1. List all Cloud SQL database instances using the following command: gcloud sql instances list
2. Configure the local_infile database flag for every Cloud SQL Mysql database instance using the below command: gcloud sql instances patch INSTANCE_NAME --database-flags local_infile=off Note : This command will overwrite all database flags that were previously set. To keep those and add new ones, include the values for all flags to be set on the instance; any flag not specifically included is set to its default value. For flags that do not take a value, specify the flag name followed by an equals sign ("=").
Default Value:
By default local_infile is on.</v>
      </c>
      <c r="M218" s="192" t="str">
        <f ca="1"/>
        <v>v</v>
      </c>
      <c r="N218" s="192" t="str">
        <f ca="1"/>
        <v>מערכת</v>
      </c>
      <c r="O218" s="192" t="str">
        <f ca="1"/>
        <v>-</v>
      </c>
      <c r="P218" s="28"/>
    </row>
    <row r="219" spans="1:16" ht="28.5">
      <c r="A219" s="28"/>
      <c r="B219" s="192">
        <f ca="1"/>
        <v>16.8</v>
      </c>
      <c r="C219" s="192" t="str">
        <f ca="1"/>
        <v>Applications</v>
      </c>
      <c r="D219" s="192" t="str">
        <f ca="1"/>
        <v>Protect</v>
      </c>
      <c r="E219" s="192" t="str">
        <f ca="1"/>
        <v>מערכות ייצור נפרדות ולא ייצור</v>
      </c>
      <c r="F219" s="232" t="str">
        <f ca="1"/>
        <v>Maintain separate environments for production and non-production systems.</v>
      </c>
      <c r="G219" s="192" t="str">
        <f ca="1"/>
        <v>-</v>
      </c>
      <c r="H219" s="192" t="str">
        <f ca="1"/>
        <v>-</v>
      </c>
      <c r="I219" s="272" t="str">
        <f ca="1"/>
        <v>-</v>
      </c>
      <c r="J219" s="273" t="str">
        <f ca="1"/>
        <v>-</v>
      </c>
      <c r="K219" s="273" t="str">
        <f ca="1"/>
        <v>-</v>
      </c>
      <c r="L219" s="273" t="str">
        <f ca="1"/>
        <v>-</v>
      </c>
      <c r="M219" s="192" t="str">
        <f ca="1"/>
        <v/>
      </c>
      <c r="N219" s="192" t="str">
        <f ca="1"/>
        <v>ארגוני</v>
      </c>
      <c r="O219" s="192" t="str">
        <f ca="1"/>
        <v>-</v>
      </c>
      <c r="P219" s="28"/>
    </row>
    <row r="220" spans="1:16" ht="85.5">
      <c r="A220" s="28"/>
      <c r="B220" s="192">
        <f ca="1"/>
        <v>16.899999999999999</v>
      </c>
      <c r="C220" s="192" t="str">
        <f ca="1"/>
        <v>Applications</v>
      </c>
      <c r="D220" s="192" t="str">
        <f ca="1"/>
        <v>Protect</v>
      </c>
      <c r="E220" s="192" t="str">
        <f ca="1"/>
        <v>הדרכת מפתחים במושגי אבטחת יישומים וקידוד מאובטח</v>
      </c>
      <c r="F220" s="232" t="str">
        <f ca="1"/>
        <v>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v>
      </c>
      <c r="G220" s="192" t="str">
        <f ca="1"/>
        <v>-</v>
      </c>
      <c r="H220" s="192" t="str">
        <f ca="1"/>
        <v>-</v>
      </c>
      <c r="I220" s="272" t="str">
        <f ca="1"/>
        <v>-</v>
      </c>
      <c r="J220" s="273" t="str">
        <f ca="1"/>
        <v>-</v>
      </c>
      <c r="K220" s="273" t="str">
        <f ca="1"/>
        <v>-</v>
      </c>
      <c r="L220" s="273" t="str">
        <f ca="1"/>
        <v>-</v>
      </c>
      <c r="M220" s="192" t="str">
        <f ca="1"/>
        <v/>
      </c>
      <c r="N220" s="192" t="str">
        <f ca="1"/>
        <v>ארגוני</v>
      </c>
      <c r="O220" s="192" t="str">
        <f ca="1"/>
        <v>-</v>
      </c>
      <c r="P220" s="28"/>
    </row>
    <row r="221" spans="1:16" ht="185.25">
      <c r="A221" s="28"/>
      <c r="B221" s="192">
        <f ca="1"/>
        <v>16.100000000000001</v>
      </c>
      <c r="C221" s="192" t="str">
        <f ca="1"/>
        <v>Applications</v>
      </c>
      <c r="D221" s="192" t="str">
        <f ca="1"/>
        <v>Protect</v>
      </c>
      <c r="E221" s="192" t="str">
        <f ca="1"/>
        <v>יישם עקרונות עיצוב מאובטח בארכיטקטורות יישומים</v>
      </c>
      <c r="F221" s="232" t="str">
        <f ca="1"/>
        <v>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v>
      </c>
      <c r="G221" s="192" t="str">
        <f ca="1"/>
        <v>1.12 Ensure API Keys Only Exist for Active Services (Automated)</v>
      </c>
      <c r="H221" s="192" t="str">
        <f ca="1"/>
        <v>API Keys should only be used for services in cases where other authentication methods are unavailable. Unused keys with their permissions in tact may still exist within a project. Keys are insecure because they can be viewed publicly, such as from within a browser, or they can be accessed on a device where the key resides. It is recommended to use standard authentication flow instead.</v>
      </c>
      <c r="I221" s="272" t="str">
        <f ca="1"/>
        <v>1.12</v>
      </c>
      <c r="J221" s="273" t="str">
        <f ca="1"/>
        <v>To avoid the security risk in using API keys, it is recommended to use standard authentication flow instead. Security risks involved in using API-Keys appear below:
• API keys are simple encrypted strings
• API keys do not identify the user or the application making the API request
• API keys are typically accessible to clients, making it easy to discover and steal an API key
Impact:
Deleting an API key will break dependent applications (if any).</v>
      </c>
      <c r="K221" s="273" t="str">
        <f ca="1"/>
        <v>From Console:
1. Go to APIs &amp; Services\Credentials using
2. In the section API Keys, to delete API Keys: Click the Delete Bin Icon in front of every API Key Name.
From Google Cloud Command Line
1. Run the following from within the project you wish to audit gcloud services api-keys list --filter
2. **Pipe the results into ** gcloud alpha services api-keys delete
Default Value:
By default, API keys are not created for a project.</v>
      </c>
      <c r="L221" s="273" t="str">
        <f ca="1"/>
        <v>1. https://cloud.google.com/docs/authentication/api-keys
2. https://cloud.google.com/sdk/gcloud/reference/services/api-keys/list
3. https://cloud.google.com/docs/authentication
4. https://cloud.google.com/sdk/gcloud/reference/alpha/services/api-keys/delete</v>
      </c>
      <c r="M221" s="192" t="str">
        <f ca="1"/>
        <v>v</v>
      </c>
      <c r="N221" s="192" t="str">
        <f ca="1"/>
        <v>מערכת</v>
      </c>
      <c r="O221" s="192" t="str">
        <f ca="1"/>
        <v>-</v>
      </c>
      <c r="P221" s="28"/>
    </row>
    <row r="222" spans="1:16" ht="384.75">
      <c r="A222" s="28"/>
      <c r="B222" s="192">
        <f ca="1"/>
        <v>16.100000000000001</v>
      </c>
      <c r="C222" s="192" t="str">
        <f ca="1"/>
        <v>Applications</v>
      </c>
      <c r="D222" s="192" t="str">
        <f ca="1"/>
        <v>Protect</v>
      </c>
      <c r="E222" s="192" t="str">
        <f ca="1"/>
        <v>יישם עקרונות עיצוב מאובטח בארכיטקטורות יישומים</v>
      </c>
      <c r="F222" s="232" t="str">
        <f ca="1"/>
        <v>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v>
      </c>
      <c r="G222" s="192" t="str">
        <f ca="1"/>
        <v>1.13 Ensure API Keys Are Restricted To Use by Only Specified Hosts and Apps (Manual)</v>
      </c>
      <c r="H222" s="192" t="str">
        <f ca="1"/>
        <v>API Keys should only be used for services in cases where other authentication methods are unavailable. In this case, unrestricted keys are insecure because they can be viewed publicly, such as from within a browser, or they can be accessed on a device where the key resides. It is recommended to restrict API key usage to trusted hosts, HTTP referrers and apps. It is recommended to use the more secure standard authentication flow instead.
Default Value:
By default, Application Restrictions are set to None.</v>
      </c>
      <c r="I222" s="272" t="str">
        <f ca="1"/>
        <v>1.13</v>
      </c>
      <c r="J222" s="273" t="str">
        <f ca="1"/>
        <v>Security risks involved in using API-Keys appear below:
• API keys are simple encrypted strings
• API keys do not identify the user or the application making the API request
• API keys are typically accessible to clients, making it easy to discover and steal an API key
In light of these potential risks, Google recommends using the standard authentication flow instead of API keys. However, there are limited cases where API keys are more appropriate. For example, if there is a mobile application that needs to use the Google Cloud Translation API, but doesn't otherwise need a backend server, API keys are the simplest way to authenticate to that API.
In order to reduce attack vectors, API-Keys can be restricted only to trusted hosts, HTTP referrers and applications.
Impact:
Setting Application Restrictions may break existing application functioning, if not done carefully.</v>
      </c>
      <c r="K222" s="273" t="str">
        <f ca="1"/>
        <v>From Google Cloud Console Leaving Keys in Place
1. Go to APIs &amp; Services\Credentials using https://console.cloud.google.com/apis/credentials
2. In the section API Keys, Click the API Key Name. The API Key properties display on a new page.
3. In the Key restrictions section, set the application restrictions to any of HTTP referrers, IP addresses, Android apps, iOS apps.
4. Click Save.
5. Repeat steps 2,3,4 for every unrestricted API key. Note: Do not set HTTP referrers to wild-cards (* or *.[TLD] or .[TLD]/) allowing access to any/wide HTTP referrer(s) Do not set IP addresses and referrer to any host (0.0.0.0 or 0.0.0.0/0 or ::0)
Removing Keys Another option is to remove the keys entirely.
1. Go to APIs &amp; Services\Credentials using https://console.cloud.google.com/apis/credentials
2. In the section API Keys, select the checkbox next to each key you wish to remove
3. Select Delete and confirm.</v>
      </c>
      <c r="L222" s="273" t="str">
        <f ca="1"/>
        <v>1. https://cloud.google.com/docs/authentication/api-keys
2. https://cloud.google.com/sdk/gcloud/reference/services/api-keys/list
3. https://cloud.google.com/sdk/gcloud/reference/alpha/services/api-keys/update</v>
      </c>
      <c r="M222" s="192" t="str">
        <f ca="1"/>
        <v>v</v>
      </c>
      <c r="N222" s="192" t="str">
        <f ca="1"/>
        <v>מערכת</v>
      </c>
      <c r="O222" s="192" t="str">
        <f ca="1"/>
        <v>-</v>
      </c>
      <c r="P222" s="28"/>
    </row>
    <row r="223" spans="1:16" ht="409.5">
      <c r="A223" s="28"/>
      <c r="B223" s="192">
        <f ca="1"/>
        <v>16.100000000000001</v>
      </c>
      <c r="C223" s="192" t="str">
        <f ca="1"/>
        <v>Applications</v>
      </c>
      <c r="D223" s="192" t="str">
        <f ca="1"/>
        <v>Protect</v>
      </c>
      <c r="E223" s="192" t="str">
        <f ca="1"/>
        <v>יישם עקרונות עיצוב מאובטח בארכיטקטורות יישומים</v>
      </c>
      <c r="F223" s="232" t="str">
        <f ca="1"/>
        <v>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v>
      </c>
      <c r="G223" s="192" t="str">
        <f ca="1"/>
        <v>1.14 Ensure API Keys Are Restricted to Only APIs That Application Needs Access (Automated)</v>
      </c>
      <c r="H223" s="192" t="str">
        <f ca="1"/>
        <v>API Keys should only be used for services in cases where other authentication methods are unavailable. API keys are always at risk because they can be viewed publicly, such as from within a browser, or they can be accessed on a device where the key resides. It is recommended to restrict API keys to use (call) only APIs required by an application.
Default Value:
By default, API restrictions are set to None.</v>
      </c>
      <c r="I223" s="272" t="str">
        <f ca="1"/>
        <v>1.14</v>
      </c>
      <c r="J223" s="273" t="str">
        <f ca="1"/>
        <v>Security risks involved in using API-Keys are below:
• API keys are simple encrypted strings
• API keys do not identify the user or the application making the API request
• API keys are typically accessible to clients, making it easy to discover and steal an API key
In light of these potential risks, Google recommends using the standard authentication flow instead of API-Keys. However, there are limited cases where API keys are more appropriate. For example, if there is a mobile application that needs to use the Google Cloud Translation API, but doesn't otherwise need a backend server, API keys are the simplest way to authenticate to that API.
In order to reduce attack surfaces by providing least privileges, API-Keys can be restricted to use (call) only APIs required by an application.
Impact:
Setting API restrictions may break existing application functioning, if not done carefully.</v>
      </c>
      <c r="K223" s="273" t="str">
        <f ca="1"/>
        <v>From Console:
1. Go to APIs &amp; Services\Credentials using https://console.cloud.google.com/apis/credentials
2. In the section API Keys, Click the API Key Name. The API Key properties display on a new page.
3. In the Key restrictions section go to API restrictions.
4. Click the Select API drop-down to choose an API.
5. Click Save.
6. Repeat steps 2,3,4,5 for every unrestricted API key
Note: Do not set API restrictions to Google Cloud APIs, as this option allows access to all services offered by Google cloud.
From Google Cloud CLI
1. List all API keys. gcloud services api-keys list
2. Note the UID of the key to add restrictions to.
3. Run the update command with the appropriate flags to add the required restrictions. gcloud alpha services api-keys update &lt;UID&gt; &lt;restriction_flags&gt;
Note- Flags can be found by running gcloud alpha services api-keys update --help
or in this documentation https://cloud.google.com/sdk/gcloud/reference/alpha/services/api-keys/update</v>
      </c>
      <c r="L223" s="273" t="str">
        <f ca="1"/>
        <v>1. https://cloud.google.com/docs/authentication/api-keys
2. https://cloud.google.com/apis/docs/overview</v>
      </c>
      <c r="M223" s="192" t="str">
        <f ca="1"/>
        <v>v</v>
      </c>
      <c r="N223" s="192" t="str">
        <f ca="1"/>
        <v>מערכת</v>
      </c>
      <c r="O223" s="192" t="str">
        <f ca="1"/>
        <v>-</v>
      </c>
      <c r="P223" s="28"/>
    </row>
    <row r="224" spans="1:16" ht="409.5">
      <c r="A224" s="28"/>
      <c r="B224" s="192">
        <f ca="1"/>
        <v>16.100000000000001</v>
      </c>
      <c r="C224" s="192" t="str">
        <f ca="1"/>
        <v>Applications</v>
      </c>
      <c r="D224" s="192" t="str">
        <f ca="1"/>
        <v>Protect</v>
      </c>
      <c r="E224" s="192" t="str">
        <f ca="1"/>
        <v>יישם עקרונות עיצוב מאובטח בארכיטקטורות יישומים</v>
      </c>
      <c r="F224" s="232" t="str">
        <f ca="1"/>
        <v>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v>
      </c>
      <c r="G224" s="192" t="str">
        <f ca="1"/>
        <v>1.15 Ensure API Keys Are Rotated Every 90 Days (Automated)</v>
      </c>
      <c r="H224" s="192" t="str">
        <f ca="1"/>
        <v>API Keys should only be used for services in cases where other authentication methods are unavailable. If they are in use it is recommended to rotate API keys every 90 days.
Additional Information:
There is no option to automatically regenerate (rotate) API keys periodically.</v>
      </c>
      <c r="I224" s="272" t="str">
        <f ca="1"/>
        <v>1.15</v>
      </c>
      <c r="J224" s="273" t="str">
        <f ca="1"/>
        <v>Security risks involved in using API-Keys are listed below:
• API keys are simple encrypted strings
• API keys do not identify the user or the application making the API request
• API keys are typically accessible to clients, making it easy to discover and steal an API key
Because of these potential risks, Google recommends using the standard authentication flow instead of API Keys. However, there are limited cases where API keys are more appropriate. For example, if there is a mobile application that needs to use the Google Cloud Translation API, but doesn't otherwise need a backend server, API keys are the simplest way to authenticate to that API.
Once a key is stolen, it has no expiration, meaning it may be used indefinitely unless the project owner revokes or regenerates the key. Rotating API keys will reduce the window of opportunity for an access key that is associated with a compromised or terminated account to be used.
API keys should be rotated to ensure that data cannot be accessed with an old key that might have been lost, cracked, or stolen.
Impact:
Regenerating Key may break existing client connectivity as the client will try to connect with older API keys they have stored on devices.</v>
      </c>
      <c r="K224" s="273" t="str">
        <f ca="1"/>
        <v>From Google Cloud Console
1. Go to APIs &amp; Services\Credentials using https://console.cloud.google.com/apis/credentials
2. In the section API Keys, Click the API Key Name. The API Key properties display on a new page.
3. Click REGENERATE KEY to rotate API key.
4. Click Save.
5. Repeat steps 2,3,4 for every API key that has not been rotated in the last 90 days.
Note: Do not set HTTP referrers to wild-cards (* or *.[TLD] or .[TLD]/) allowing access to any/wide HTTP referrer(s) Do not set IP addresses and referrer to any host (0.0.0.0 or 0.0.0.0/0 or ::0)
From Google Cloud CLI There is not currently a way to regenerate and API key using gcloud commands. To 'regenerate' a key you will need to create a new one, duplicate the restrictions from the key being rotated, and delete the old key.
1. List existing keys. gcloud services api-keys list
2. Note the UID and restrictions of the key to regenerate.
3. Run this command to create a new API key. &lt;key_name&gt; is the display name of the new key. gcloud alpha services api-keys create --display-name="&lt;key_name&gt;"
Note the UID of the newly created key
4. Run the update command to add required restrictions.
Note - the restriction may vary for each key. Refer to this documentation for the appropriate flags. https://cloud.google.com/sdk/gcloud/reference/alpha/services/api-keys/update gcloud alpha services api-keys update &lt;UID of new key&gt;
5. Delete the old key. gcloud alpha services api-keys delete &lt;UID of old key&gt;</v>
      </c>
      <c r="L224" s="273" t="str">
        <f ca="1"/>
        <v>1. https://developers.google.com/maps/api-security-best-practices#regenerate-apikey
2. https://cloud.google.com/sdk/gcloud/reference/alpha/services/api-keys</v>
      </c>
      <c r="M224" s="192" t="str">
        <f ca="1"/>
        <v>v</v>
      </c>
      <c r="N224" s="192" t="str">
        <f ca="1"/>
        <v>מערכת</v>
      </c>
      <c r="O224" s="192" t="str">
        <f ca="1"/>
        <v>-</v>
      </c>
      <c r="P224" s="28"/>
    </row>
    <row r="225" spans="1:16" ht="128.25">
      <c r="A225" s="28"/>
      <c r="B225" s="253">
        <f ca="1"/>
        <v>16.11</v>
      </c>
      <c r="C225" s="253" t="str">
        <f ca="1"/>
        <v>Applications</v>
      </c>
      <c r="D225" s="253" t="str">
        <f ca="1"/>
        <v>Protect</v>
      </c>
      <c r="E225" s="253" t="str">
        <f ca="1"/>
        <v>נצל מודולים או שירותים בדוקים עבור רכיבי אבטחת יישומים</v>
      </c>
      <c r="F225" s="254" t="str">
        <f ca="1"/>
        <v>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v>
      </c>
      <c r="G225" s="253" t="str">
        <f ca="1"/>
        <v>4.10 Ensure That App Engine Applications Enforce HTTPS Connections (Manual)</v>
      </c>
      <c r="H225" s="253" t="str">
        <f ca="1"/>
        <v>In order to maintain the highest level of security all connections to an application should be secure by default.</v>
      </c>
      <c r="I225" s="272" t="str">
        <f ca="1"/>
        <v>4.10</v>
      </c>
      <c r="J225" s="273" t="str">
        <f ca="1"/>
        <v>Insecure HTTP connections maybe subject to eavesdropping which can expose sensitive data.
Impact:
All connections to appengine will automatically be redirected to the HTTPS endpoint ensuring that all connections are secured by TLS.</v>
      </c>
      <c r="K225" s="273" t="str">
        <f ca="1"/>
        <v>Add a line to the app.yaml file controlling the application which enforces secure connections. For example handlers: - url: /.* **secure: always** redirect_http_response_code: 301 script: auto
[https://cloud.google.com/appengine/docs/standard/python3/config/appref]
Default Value:
By default both HTTP and HTTP are supported</v>
      </c>
      <c r="L225" s="273" t="str">
        <f ca="1"/>
        <v>1. https://cloud.google.com/appengine/docs/standard/python3/config/appref
2. https://cloud.google.com/appengine/docs/flexible/nodejs/configuring-your-app-with-app-yaml</v>
      </c>
      <c r="M225" s="253" t="str">
        <f ca="1"/>
        <v>v</v>
      </c>
      <c r="N225" s="253" t="str">
        <f ca="1"/>
        <v>מערכת</v>
      </c>
      <c r="O225" s="253" t="str">
        <f ca="1"/>
        <v>-</v>
      </c>
      <c r="P225" s="28"/>
    </row>
    <row r="226" spans="1:16">
      <c r="A226" s="28"/>
      <c r="B226" s="28" t="str">
        <f ca="1"/>
        <v>-</v>
      </c>
      <c r="C226" s="28" t="str">
        <f ca="1"/>
        <v>-</v>
      </c>
      <c r="D226" s="28" t="str">
        <f ca="1"/>
        <v>-</v>
      </c>
      <c r="E226" s="28" t="str">
        <f ca="1"/>
        <v>ניהול תגובה לאירועים</v>
      </c>
      <c r="F226" s="28" t="str">
        <f ca="1"/>
        <v>Establish a program to develop and maintain an incident response capability (e.g., policies, plans, procedures, defined roles, training, and communications) to prepare, detect, and quickly respond to an attack.</v>
      </c>
      <c r="G226" s="28" t="str">
        <f ca="1"/>
        <v>-</v>
      </c>
      <c r="H226" s="28" t="str">
        <f ca="1"/>
        <v>-</v>
      </c>
      <c r="I226" s="28" t="str">
        <f ca="1"/>
        <v>-</v>
      </c>
      <c r="J226" s="28" t="str">
        <f ca="1"/>
        <v>-</v>
      </c>
      <c r="K226" s="28" t="str">
        <f ca="1"/>
        <v>-</v>
      </c>
      <c r="L226" s="28" t="str">
        <f ca="1"/>
        <v>-</v>
      </c>
      <c r="M226" s="28" t="str">
        <f ca="1"/>
        <v>-</v>
      </c>
      <c r="N226" s="28" t="str">
        <f ca="1"/>
        <v>-</v>
      </c>
      <c r="O226" s="28" t="str">
        <f ca="1"/>
        <v>-</v>
      </c>
      <c r="P226" s="28"/>
    </row>
    <row r="227" spans="1:16">
      <c r="A227" s="28"/>
      <c r="B227" s="28">
        <f ca="1"/>
        <v>17.100000000000001</v>
      </c>
      <c r="C227" s="28" t="str">
        <f ca="1"/>
        <v>N/A</v>
      </c>
      <c r="D227" s="28" t="str">
        <f ca="1"/>
        <v>Respond</v>
      </c>
      <c r="E227" s="28" t="str">
        <f ca="1"/>
        <v>ייעוד כוח אדם לניהול טיפול בתקריות</v>
      </c>
      <c r="F227" s="28" t="str">
        <f ca="1"/>
        <v>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v>
      </c>
      <c r="G227" s="28" t="str">
        <f ca="1"/>
        <v>-</v>
      </c>
      <c r="H227" s="28" t="str">
        <f ca="1"/>
        <v>-</v>
      </c>
      <c r="I227" s="28" t="str">
        <f ca="1"/>
        <v>-</v>
      </c>
      <c r="J227" s="28" t="str">
        <f ca="1"/>
        <v>-</v>
      </c>
      <c r="K227" s="28" t="str">
        <f ca="1"/>
        <v>-</v>
      </c>
      <c r="L227" s="28" t="str">
        <f ca="1"/>
        <v>-</v>
      </c>
      <c r="M227" s="28" t="str">
        <f ca="1"/>
        <v/>
      </c>
      <c r="N227" s="28" t="str">
        <f ca="1"/>
        <v>ארגוני</v>
      </c>
      <c r="O227" s="28" t="str">
        <f ca="1"/>
        <v>-</v>
      </c>
      <c r="P227" s="28"/>
    </row>
    <row r="228" spans="1:16">
      <c r="A228" s="28"/>
      <c r="B228" s="28">
        <f ca="1"/>
        <v>17.2</v>
      </c>
      <c r="C228" s="28" t="str">
        <f ca="1"/>
        <v>N/A</v>
      </c>
      <c r="D228" s="28" t="str">
        <f ca="1"/>
        <v>Respond</v>
      </c>
      <c r="E228" s="28" t="str">
        <f ca="1"/>
        <v>צור ותחזק מידע ליצירת קשר לדיווח על אירועי אבטחה</v>
      </c>
      <c r="F228" s="28" t="str">
        <f ca="1"/>
        <v>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v>
      </c>
      <c r="G228" s="28" t="str">
        <f ca="1"/>
        <v>1.16 Ensure Essential Contacts is Configured for Organization (Automated)</v>
      </c>
      <c r="H228" s="28" t="str">
        <f ca="1"/>
        <v>It is recommended that Essential Contacts is configured to designate email addresses for Google Cloud services to notify of important technical or security information.
Default Value:
By default, there are no Essential Contacts configured.
In the absence of an Essential Contact, the following IAM roles are used to identify users to notify for the following categories:
• Legal: roles/billing.admin
• Security: roles/resourcemanager.organizationAdmin
• Suspension: roles/owner
• Technical: roles/owner
• Technical Incidents: roles/owner</v>
      </c>
      <c r="I228" s="28" t="str">
        <f ca="1"/>
        <v>1.16</v>
      </c>
      <c r="J228" s="28" t="str">
        <f ca="1"/>
        <v>Many Google Cloud services, such as Cloud Billing, send out notifications to share important information with Google Cloud users. By default, these notifications are sent to members with certain Identity and Access Management (IAM) roles. With Essential Contacts, you can customize who receives notifications by providing your own list of contacts.
Impact:
There is no charge for Essential Contacts.</v>
      </c>
      <c r="K228" s="28" t="str">
        <f ca="1"/>
        <v>From Google Cloud Console
1. Go to Essential Contacts by visiting https://console.cloud.google.com/iam-admin/essential-contacts
2. Make sure the organization appears in the resource selector at the top of the page. The resource selector tells you what project, folder, or organization you are currently managing contacts for.
3. Click +Add contact
4. In the Email and Confirm Email fields, enter the email address of the contact.
5. From the Notification categories drop-down menu, select the notification categories that you want the contact to receive communications for.
6. Click Save
From Google Cloud CLI
1. To add an organization Essential Contacts run a command: gcloud essential-contacts create --email="&lt;EMAIL&gt;" \ --notification-categories="&lt;NOTIFICATION_CATEGORIES&gt;" \ --organization=&lt;ORGANIZATION_ID&gt;</v>
      </c>
      <c r="L228" s="28" t="str">
        <f ca="1"/>
        <v>1. https://cloud.google.com/resource-manager/docs/managing-notification-contacts</v>
      </c>
      <c r="M228" s="28" t="str">
        <f ca="1"/>
        <v>v</v>
      </c>
      <c r="N228" s="28" t="str">
        <f ca="1"/>
        <v>ארגוני</v>
      </c>
      <c r="O228" s="28" t="str">
        <f ca="1"/>
        <v>v</v>
      </c>
      <c r="P228" s="28"/>
    </row>
    <row r="229" spans="1:16" ht="85.5">
      <c r="B229" s="22">
        <f ca="1"/>
        <v>17.3</v>
      </c>
      <c r="C229" s="22" t="str">
        <f ca="1"/>
        <v>N/A</v>
      </c>
      <c r="D229" s="22" t="str">
        <f ca="1"/>
        <v>Respond</v>
      </c>
      <c r="E229" s="22" t="str">
        <f ca="1"/>
        <v>הקמה ותחזוקה של תהליך ארגוני לדיווח על תקריות</v>
      </c>
      <c r="F229" s="234" t="str">
        <f ca="1"/>
        <v>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v>
      </c>
      <c r="G229" s="22" t="str">
        <f ca="1"/>
        <v>-</v>
      </c>
      <c r="H229" s="22" t="str">
        <f ca="1"/>
        <v>-</v>
      </c>
      <c r="I229" s="22" t="str">
        <f ca="1"/>
        <v>-</v>
      </c>
      <c r="J229" s="248" t="str">
        <f ca="1"/>
        <v>-</v>
      </c>
      <c r="K229" s="248" t="str">
        <f ca="1"/>
        <v>-</v>
      </c>
      <c r="L229" s="248" t="str">
        <f ca="1"/>
        <v>-</v>
      </c>
      <c r="M229" s="22" t="str">
        <f ca="1"/>
        <v/>
      </c>
      <c r="N229" s="22" t="str">
        <f ca="1"/>
        <v>ארגוני</v>
      </c>
      <c r="O229" s="22" t="str">
        <f ca="1"/>
        <v>-</v>
      </c>
    </row>
    <row r="230" spans="1:16" ht="57">
      <c r="B230" s="22">
        <f ca="1"/>
        <v>17.399999999999999</v>
      </c>
      <c r="C230" s="22" t="str">
        <f ca="1"/>
        <v>N/A</v>
      </c>
      <c r="D230" s="22" t="str">
        <f ca="1"/>
        <v>Respond</v>
      </c>
      <c r="E230" s="22" t="str">
        <f ca="1"/>
        <v>הקמה ותחזוקה של תהליך תגובה לאירועים</v>
      </c>
      <c r="F230" s="234" t="str">
        <f ca="1"/>
        <v>Establish and maintain an incident response process that addresses roles and responsibilities, compliance requirements, and a communication plan. Review annually, or when significant enterprise changes occur that could impact this Safeguard.</v>
      </c>
      <c r="G230" s="22" t="str">
        <f ca="1"/>
        <v>-</v>
      </c>
      <c r="H230" s="22" t="str">
        <f ca="1"/>
        <v>-</v>
      </c>
      <c r="I230" s="22" t="str">
        <f ca="1"/>
        <v>-</v>
      </c>
      <c r="J230" s="248" t="str">
        <f ca="1"/>
        <v>-</v>
      </c>
      <c r="K230" s="248" t="str">
        <f ca="1"/>
        <v>-</v>
      </c>
      <c r="L230" s="248" t="str">
        <f ca="1"/>
        <v>-</v>
      </c>
      <c r="M230" s="22" t="str">
        <f ca="1"/>
        <v/>
      </c>
      <c r="N230" s="22" t="str">
        <f ca="1"/>
        <v>ארגוני</v>
      </c>
      <c r="O230" s="22" t="str">
        <f ca="1"/>
        <v>-</v>
      </c>
    </row>
    <row r="231" spans="1:16" ht="57">
      <c r="B231" s="22">
        <f ca="1"/>
        <v>17.5</v>
      </c>
      <c r="C231" s="22" t="str">
        <f ca="1"/>
        <v>N/A</v>
      </c>
      <c r="D231" s="22" t="str">
        <f ca="1"/>
        <v>Respond</v>
      </c>
      <c r="E231" s="22" t="str">
        <f ca="1"/>
        <v>הקצאת תפקידי מפתח ואחריות</v>
      </c>
      <c r="F231" s="234" t="str">
        <f ca="1"/>
        <v>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v>
      </c>
      <c r="G231" s="22" t="str">
        <f ca="1"/>
        <v>-</v>
      </c>
      <c r="H231" s="22" t="str">
        <f ca="1"/>
        <v>-</v>
      </c>
      <c r="I231" s="22" t="str">
        <f ca="1"/>
        <v>-</v>
      </c>
      <c r="J231" s="248" t="str">
        <f ca="1"/>
        <v>-</v>
      </c>
      <c r="K231" s="248" t="str">
        <f ca="1"/>
        <v>-</v>
      </c>
      <c r="L231" s="248" t="str">
        <f ca="1"/>
        <v>-</v>
      </c>
      <c r="M231" s="22" t="str">
        <f ca="1"/>
        <v/>
      </c>
      <c r="N231" s="22" t="str">
        <f ca="1"/>
        <v>ארגוני</v>
      </c>
      <c r="O231" s="22" t="str">
        <f ca="1"/>
        <v>-</v>
      </c>
    </row>
    <row r="232" spans="1:16" ht="71.25">
      <c r="B232" s="22">
        <f ca="1"/>
        <v>17.600000000000001</v>
      </c>
      <c r="C232" s="22" t="str">
        <f ca="1"/>
        <v>N/A</v>
      </c>
      <c r="D232" s="22" t="str">
        <f ca="1"/>
        <v>Respond</v>
      </c>
      <c r="E232" s="22" t="str">
        <f ca="1"/>
        <v>הגדר מנגנונים לתקשורת במהלך תגובה לאירועים</v>
      </c>
      <c r="F232" s="234" t="str">
        <f ca="1"/>
        <v>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v>
      </c>
      <c r="G232" s="22" t="str">
        <f ca="1"/>
        <v>-</v>
      </c>
      <c r="H232" s="22" t="str">
        <f ca="1"/>
        <v>-</v>
      </c>
      <c r="I232" s="22" t="str">
        <f ca="1"/>
        <v>-</v>
      </c>
      <c r="J232" s="248" t="str">
        <f ca="1"/>
        <v>-</v>
      </c>
      <c r="K232" s="248" t="str">
        <f ca="1"/>
        <v>-</v>
      </c>
      <c r="L232" s="248" t="str">
        <f ca="1"/>
        <v>-</v>
      </c>
      <c r="M232" s="22" t="str">
        <f ca="1"/>
        <v/>
      </c>
      <c r="N232" s="22" t="str">
        <f ca="1"/>
        <v>מערכת</v>
      </c>
      <c r="O232" s="22" t="str">
        <f ca="1"/>
        <v>-</v>
      </c>
    </row>
    <row r="233" spans="1:16" ht="71.25">
      <c r="B233" s="22">
        <f ca="1"/>
        <v>17.7</v>
      </c>
      <c r="C233" s="22" t="str">
        <f ca="1"/>
        <v>N/A</v>
      </c>
      <c r="D233" s="22" t="str">
        <f ca="1"/>
        <v>Recover</v>
      </c>
      <c r="E233" s="22" t="str">
        <f ca="1"/>
        <v>בצע תרגילי תגובה שגרתיים לאירועים</v>
      </c>
      <c r="F233" s="234" t="str">
        <f ca="1"/>
        <v>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v>
      </c>
      <c r="G233" s="22" t="str">
        <f ca="1"/>
        <v>-</v>
      </c>
      <c r="H233" s="22" t="str">
        <f ca="1"/>
        <v>-</v>
      </c>
      <c r="I233" s="22" t="str">
        <f ca="1"/>
        <v>-</v>
      </c>
      <c r="J233" s="248" t="str">
        <f ca="1"/>
        <v>-</v>
      </c>
      <c r="K233" s="248" t="str">
        <f ca="1"/>
        <v>-</v>
      </c>
      <c r="L233" s="248" t="str">
        <f ca="1"/>
        <v>-</v>
      </c>
      <c r="M233" s="22" t="str">
        <f ca="1"/>
        <v/>
      </c>
      <c r="N233" s="22" t="str">
        <f ca="1"/>
        <v>ארגוני</v>
      </c>
      <c r="O233" s="22" t="str">
        <f ca="1"/>
        <v>-</v>
      </c>
    </row>
    <row r="234" spans="1:16" ht="28.5">
      <c r="B234" s="22">
        <f ca="1"/>
        <v>17.8</v>
      </c>
      <c r="C234" s="22" t="str">
        <f ca="1"/>
        <v>N/A</v>
      </c>
      <c r="D234" s="22" t="str">
        <f ca="1"/>
        <v>Recover</v>
      </c>
      <c r="E234" s="22" t="str">
        <f ca="1"/>
        <v>ערוך ביקורות לאחר התקרית</v>
      </c>
      <c r="F234" s="234" t="str">
        <f ca="1"/>
        <v>Conduct post-incident reviews. Post-incident reviews help prevent incident recurrence through identifying lessons learned and follow-up action.</v>
      </c>
      <c r="G234" s="22" t="str">
        <f ca="1"/>
        <v>-</v>
      </c>
      <c r="H234" s="22" t="str">
        <f ca="1"/>
        <v>-</v>
      </c>
      <c r="I234" s="22" t="str">
        <f ca="1"/>
        <v>-</v>
      </c>
      <c r="J234" s="248" t="str">
        <f ca="1"/>
        <v>-</v>
      </c>
      <c r="K234" s="248" t="str">
        <f ca="1"/>
        <v>-</v>
      </c>
      <c r="L234" s="248" t="str">
        <f ca="1"/>
        <v>-</v>
      </c>
      <c r="M234" s="22" t="str">
        <f ca="1"/>
        <v/>
      </c>
      <c r="N234" s="22" t="str">
        <f ca="1"/>
        <v>ארגוני</v>
      </c>
      <c r="O234" s="22" t="str">
        <f ca="1"/>
        <v>-</v>
      </c>
    </row>
    <row r="235" spans="1:16" ht="71.25">
      <c r="B235" s="22">
        <f ca="1"/>
        <v>17.899999999999999</v>
      </c>
      <c r="C235" s="22" t="str">
        <f ca="1"/>
        <v>N/A</v>
      </c>
      <c r="D235" s="22" t="str">
        <f ca="1"/>
        <v>Recover</v>
      </c>
      <c r="E235" s="22" t="str">
        <f ca="1"/>
        <v>קבע ותחזוק ספי אירועי אבטחה</v>
      </c>
      <c r="F235" s="234" t="str">
        <f ca="1"/>
        <v>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v>
      </c>
      <c r="G235" s="22" t="str">
        <f ca="1"/>
        <v>-</v>
      </c>
      <c r="H235" s="22" t="str">
        <f ca="1"/>
        <v>-</v>
      </c>
      <c r="I235" s="22" t="str">
        <f ca="1"/>
        <v>-</v>
      </c>
      <c r="J235" s="248" t="str">
        <f ca="1"/>
        <v>-</v>
      </c>
      <c r="K235" s="248" t="str">
        <f ca="1"/>
        <v>-</v>
      </c>
      <c r="L235" s="248" t="str">
        <f ca="1"/>
        <v>-</v>
      </c>
      <c r="M235" s="22" t="str">
        <f ca="1"/>
        <v/>
      </c>
      <c r="N235" s="22" t="str">
        <f ca="1"/>
        <v>ארגוני</v>
      </c>
      <c r="O235" s="22" t="str">
        <f ca="1"/>
        <v>-</v>
      </c>
    </row>
    <row r="236" spans="1:16" ht="45">
      <c r="B236" s="22" t="str">
        <f ca="1"/>
        <v>-</v>
      </c>
      <c r="C236" s="22" t="str">
        <f ca="1"/>
        <v>-</v>
      </c>
      <c r="D236" s="22" t="str">
        <f ca="1"/>
        <v>-</v>
      </c>
      <c r="E236" s="22" t="str">
        <f ca="1"/>
        <v>בדיקת חדירה</v>
      </c>
      <c r="F236" s="234" t="str">
        <f ca="1"/>
        <v>Test the effectiveness and resiliency of enterprise assets through identifying and exploiting weaknesses in controls (people, processes, and technology), and simulating the objectives and actions of an attacker.</v>
      </c>
      <c r="G236" s="22" t="str">
        <f ca="1"/>
        <v>-</v>
      </c>
      <c r="H236" s="22" t="str">
        <f ca="1"/>
        <v>-</v>
      </c>
      <c r="I236" s="22" t="str">
        <f ca="1"/>
        <v>-</v>
      </c>
      <c r="J236" s="248" t="str">
        <f ca="1"/>
        <v>-</v>
      </c>
      <c r="K236" s="248" t="str">
        <f ca="1"/>
        <v>-</v>
      </c>
      <c r="L236" s="248" t="str">
        <f ca="1"/>
        <v>-</v>
      </c>
      <c r="M236" s="22" t="str">
        <f ca="1"/>
        <v>-</v>
      </c>
      <c r="N236" s="22" t="str">
        <f ca="1"/>
        <v>-</v>
      </c>
      <c r="O236" s="22" t="str">
        <f ca="1"/>
        <v>-</v>
      </c>
    </row>
    <row r="237" spans="1:16" ht="99.75">
      <c r="B237" s="22">
        <f ca="1"/>
        <v>18.100000000000001</v>
      </c>
      <c r="C237" s="22" t="str">
        <f ca="1"/>
        <v>N/A</v>
      </c>
      <c r="D237" s="22" t="str">
        <f ca="1"/>
        <v>Identify</v>
      </c>
      <c r="E237" s="22" t="str">
        <f ca="1"/>
        <v>הקמה ותחזוקה של תוכנית בדיקות חדירה</v>
      </c>
      <c r="F237" s="234" t="str">
        <f ca="1"/>
        <v>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v>
      </c>
      <c r="G237" s="22" t="str">
        <f ca="1"/>
        <v>-</v>
      </c>
      <c r="H237" s="22" t="str">
        <f ca="1"/>
        <v>-</v>
      </c>
      <c r="I237" s="22" t="str">
        <f ca="1"/>
        <v>-</v>
      </c>
      <c r="J237" s="248" t="str">
        <f ca="1"/>
        <v>-</v>
      </c>
      <c r="K237" s="248" t="str">
        <f ca="1"/>
        <v>-</v>
      </c>
      <c r="L237" s="248" t="str">
        <f ca="1"/>
        <v>-</v>
      </c>
      <c r="M237" s="22" t="str">
        <f ca="1"/>
        <v/>
      </c>
      <c r="N237" s="22" t="str">
        <f ca="1"/>
        <v>ארגוני</v>
      </c>
      <c r="O237" s="22" t="str">
        <f ca="1"/>
        <v>-</v>
      </c>
    </row>
    <row r="238" spans="1:16" ht="71.25">
      <c r="B238" s="22">
        <f ca="1"/>
        <v>18.2</v>
      </c>
      <c r="C238" s="22" t="str">
        <f ca="1"/>
        <v>Network</v>
      </c>
      <c r="D238" s="22" t="str">
        <f ca="1"/>
        <v>Identify</v>
      </c>
      <c r="E238" s="22" t="str">
        <f ca="1"/>
        <v>ביצוע בדיקות חדירות חיצוניות תקופתיות</v>
      </c>
      <c r="F238" s="234" t="str">
        <f ca="1"/>
        <v>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v>
      </c>
      <c r="G238" s="22" t="str">
        <f ca="1"/>
        <v>-</v>
      </c>
      <c r="H238" s="22" t="str">
        <f ca="1"/>
        <v>-</v>
      </c>
      <c r="I238" s="22" t="str">
        <f ca="1"/>
        <v>-</v>
      </c>
      <c r="J238" s="248" t="str">
        <f ca="1"/>
        <v>-</v>
      </c>
      <c r="K238" s="248" t="str">
        <f ca="1"/>
        <v>-</v>
      </c>
      <c r="L238" s="248" t="str">
        <f ca="1"/>
        <v>-</v>
      </c>
      <c r="M238" s="22" t="str">
        <f ca="1"/>
        <v/>
      </c>
      <c r="N238" s="22" t="str">
        <f ca="1"/>
        <v>ארגוני</v>
      </c>
      <c r="O238" s="22" t="str">
        <f ca="1"/>
        <v>-</v>
      </c>
    </row>
    <row r="239" spans="1:16" ht="28.5">
      <c r="B239" s="22">
        <f ca="1"/>
        <v>18.3</v>
      </c>
      <c r="C239" s="22" t="str">
        <f ca="1"/>
        <v>Network</v>
      </c>
      <c r="D239" s="22" t="str">
        <f ca="1"/>
        <v>Protect</v>
      </c>
      <c r="E239" s="22" t="str">
        <f ca="1"/>
        <v>ממיפוי בדיקת חדירה מתקנת</v>
      </c>
      <c r="F239" s="234" t="str">
        <f ca="1"/>
        <v>Remediate penetration test findings based on the enterprise’s policy for remediation scope and prioritization.</v>
      </c>
      <c r="G239" s="22" t="str">
        <f ca="1"/>
        <v>-</v>
      </c>
      <c r="H239" s="22" t="str">
        <f ca="1"/>
        <v>-</v>
      </c>
      <c r="I239" s="22" t="str">
        <f ca="1"/>
        <v>-</v>
      </c>
      <c r="J239" s="248" t="str">
        <f ca="1"/>
        <v>-</v>
      </c>
      <c r="K239" s="248" t="str">
        <f ca="1"/>
        <v>-</v>
      </c>
      <c r="L239" s="248" t="str">
        <f ca="1"/>
        <v>-</v>
      </c>
      <c r="M239" s="22" t="str">
        <f ca="1"/>
        <v/>
      </c>
      <c r="N239" s="22" t="str">
        <f ca="1"/>
        <v>ארגוני</v>
      </c>
      <c r="O239" s="22" t="str">
        <f ca="1"/>
        <v>-</v>
      </c>
    </row>
    <row r="240" spans="1:16">
      <c r="B240" s="22" t="e">
        <f ca="1"/>
        <v>#NUM!</v>
      </c>
      <c r="C240" s="22" t="e">
        <f ca="1"/>
        <v>#NUM!</v>
      </c>
      <c r="D240" s="22" t="e">
        <f ca="1"/>
        <v>#NUM!</v>
      </c>
      <c r="E240" s="22" t="e">
        <f ca="1"/>
        <v>#NUM!</v>
      </c>
      <c r="F240" s="234" t="e">
        <f ca="1"/>
        <v>#NUM!</v>
      </c>
      <c r="G240" s="22" t="e">
        <f ca="1"/>
        <v>#NUM!</v>
      </c>
      <c r="H240" s="22" t="e">
        <f ca="1"/>
        <v>#NUM!</v>
      </c>
      <c r="I240" s="22" t="e">
        <f ca="1"/>
        <v>#NUM!</v>
      </c>
      <c r="J240" s="248" t="e">
        <f ca="1"/>
        <v>#NUM!</v>
      </c>
      <c r="K240" s="248" t="e">
        <f ca="1"/>
        <v>#NUM!</v>
      </c>
      <c r="L240" s="248" t="e">
        <f ca="1"/>
        <v>#NUM!</v>
      </c>
      <c r="M240" s="22" t="e">
        <f ca="1"/>
        <v>#NUM!</v>
      </c>
      <c r="N240" s="22" t="e">
        <f ca="1"/>
        <v>#NUM!</v>
      </c>
      <c r="O240" s="22" t="e">
        <f ca="1"/>
        <v>#NUM!</v>
      </c>
    </row>
    <row r="241" spans="2:15">
      <c r="B241" s="22" t="e">
        <f ca="1"/>
        <v>#NUM!</v>
      </c>
      <c r="C241" s="22" t="e">
        <f ca="1"/>
        <v>#NUM!</v>
      </c>
      <c r="D241" s="22" t="e">
        <f ca="1"/>
        <v>#NUM!</v>
      </c>
      <c r="E241" s="22" t="e">
        <f ca="1"/>
        <v>#NUM!</v>
      </c>
      <c r="F241" s="234" t="e">
        <f ca="1"/>
        <v>#NUM!</v>
      </c>
      <c r="G241" s="22" t="e">
        <f ca="1"/>
        <v>#NUM!</v>
      </c>
      <c r="H241" s="22" t="e">
        <f ca="1"/>
        <v>#NUM!</v>
      </c>
      <c r="I241" s="22" t="e">
        <f ca="1"/>
        <v>#NUM!</v>
      </c>
      <c r="J241" s="248" t="e">
        <f ca="1"/>
        <v>#NUM!</v>
      </c>
      <c r="K241" s="248" t="e">
        <f ca="1"/>
        <v>#NUM!</v>
      </c>
      <c r="L241" s="248" t="e">
        <f ca="1"/>
        <v>#NUM!</v>
      </c>
      <c r="M241" s="22" t="e">
        <f ca="1"/>
        <v>#NUM!</v>
      </c>
      <c r="N241" s="22" t="e">
        <f ca="1"/>
        <v>#NUM!</v>
      </c>
      <c r="O241" s="22" t="e">
        <f ca="1"/>
        <v>#NUM!</v>
      </c>
    </row>
    <row r="242" spans="2:15">
      <c r="B242" s="22" t="e">
        <f ca="1"/>
        <v>#NUM!</v>
      </c>
      <c r="C242" s="22" t="e">
        <f ca="1"/>
        <v>#NUM!</v>
      </c>
      <c r="D242" s="22" t="e">
        <f ca="1"/>
        <v>#NUM!</v>
      </c>
      <c r="E242" s="22" t="e">
        <f ca="1"/>
        <v>#NUM!</v>
      </c>
      <c r="F242" s="234" t="e">
        <f ca="1"/>
        <v>#NUM!</v>
      </c>
      <c r="G242" s="22" t="e">
        <f ca="1"/>
        <v>#NUM!</v>
      </c>
      <c r="H242" s="22" t="e">
        <f ca="1"/>
        <v>#NUM!</v>
      </c>
      <c r="I242" s="22" t="e">
        <f ca="1"/>
        <v>#NUM!</v>
      </c>
      <c r="J242" s="248" t="e">
        <f ca="1"/>
        <v>#NUM!</v>
      </c>
      <c r="K242" s="248" t="e">
        <f ca="1"/>
        <v>#NUM!</v>
      </c>
      <c r="L242" s="248" t="e">
        <f ca="1"/>
        <v>#NUM!</v>
      </c>
      <c r="M242" s="22" t="e">
        <f ca="1"/>
        <v>#NUM!</v>
      </c>
      <c r="N242" s="22" t="e">
        <f ca="1"/>
        <v>#NUM!</v>
      </c>
      <c r="O242" s="22" t="e">
        <f ca="1"/>
        <v>#NUM!</v>
      </c>
    </row>
    <row r="243" spans="2:15">
      <c r="B243" s="22" t="e">
        <f ca="1"/>
        <v>#NUM!</v>
      </c>
      <c r="C243" s="22" t="e">
        <f ca="1"/>
        <v>#NUM!</v>
      </c>
      <c r="D243" s="22" t="e">
        <f ca="1"/>
        <v>#NUM!</v>
      </c>
      <c r="E243" s="22" t="e">
        <f ca="1"/>
        <v>#NUM!</v>
      </c>
      <c r="F243" s="234" t="e">
        <f ca="1"/>
        <v>#NUM!</v>
      </c>
      <c r="G243" s="22" t="e">
        <f ca="1"/>
        <v>#NUM!</v>
      </c>
      <c r="H243" s="22" t="e">
        <f ca="1"/>
        <v>#NUM!</v>
      </c>
      <c r="I243" s="22" t="e">
        <f ca="1"/>
        <v>#NUM!</v>
      </c>
      <c r="J243" s="248" t="e">
        <f ca="1"/>
        <v>#NUM!</v>
      </c>
      <c r="K243" s="248" t="e">
        <f ca="1"/>
        <v>#NUM!</v>
      </c>
      <c r="L243" s="248" t="e">
        <f ca="1"/>
        <v>#NUM!</v>
      </c>
      <c r="M243" s="22" t="e">
        <f ca="1"/>
        <v>#NUM!</v>
      </c>
      <c r="N243" s="22" t="e">
        <f ca="1"/>
        <v>#NUM!</v>
      </c>
      <c r="O243" s="22" t="e">
        <f ca="1"/>
        <v>#NUM!</v>
      </c>
    </row>
    <row r="244" spans="2:15">
      <c r="B244" s="22" t="e">
        <f ca="1"/>
        <v>#NUM!</v>
      </c>
      <c r="C244" s="22" t="e">
        <f ca="1"/>
        <v>#NUM!</v>
      </c>
      <c r="D244" s="22" t="e">
        <f ca="1"/>
        <v>#NUM!</v>
      </c>
      <c r="E244" s="22" t="e">
        <f ca="1"/>
        <v>#NUM!</v>
      </c>
      <c r="F244" s="234" t="e">
        <f ca="1"/>
        <v>#NUM!</v>
      </c>
      <c r="G244" s="22" t="e">
        <f ca="1"/>
        <v>#NUM!</v>
      </c>
      <c r="H244" s="22" t="e">
        <f ca="1"/>
        <v>#NUM!</v>
      </c>
      <c r="I244" s="22" t="e">
        <f ca="1"/>
        <v>#NUM!</v>
      </c>
      <c r="J244" s="248" t="e">
        <f ca="1"/>
        <v>#NUM!</v>
      </c>
      <c r="K244" s="248" t="e">
        <f ca="1"/>
        <v>#NUM!</v>
      </c>
      <c r="L244" s="248" t="e">
        <f ca="1"/>
        <v>#NUM!</v>
      </c>
      <c r="M244" s="22" t="e">
        <f ca="1"/>
        <v>#NUM!</v>
      </c>
      <c r="N244" s="22" t="e">
        <f ca="1"/>
        <v>#NUM!</v>
      </c>
      <c r="O244" s="22" t="e">
        <f ca="1"/>
        <v>#NUM!</v>
      </c>
    </row>
    <row r="245" spans="2:15">
      <c r="B245" s="22" t="e">
        <f ca="1"/>
        <v>#NUM!</v>
      </c>
      <c r="C245" s="22" t="e">
        <f ca="1"/>
        <v>#NUM!</v>
      </c>
      <c r="D245" s="22" t="e">
        <f ca="1"/>
        <v>#NUM!</v>
      </c>
      <c r="E245" s="22" t="e">
        <f ca="1"/>
        <v>#NUM!</v>
      </c>
      <c r="F245" s="234" t="e">
        <f ca="1"/>
        <v>#NUM!</v>
      </c>
      <c r="G245" s="22" t="e">
        <f ca="1"/>
        <v>#NUM!</v>
      </c>
      <c r="H245" s="22" t="e">
        <f ca="1"/>
        <v>#NUM!</v>
      </c>
      <c r="I245" s="22" t="e">
        <f ca="1"/>
        <v>#NUM!</v>
      </c>
      <c r="J245" s="248" t="e">
        <f ca="1"/>
        <v>#NUM!</v>
      </c>
      <c r="K245" s="248" t="e">
        <f ca="1"/>
        <v>#NUM!</v>
      </c>
      <c r="L245" s="248" t="e">
        <f ca="1"/>
        <v>#NUM!</v>
      </c>
      <c r="M245" s="22" t="e">
        <f ca="1"/>
        <v>#NUM!</v>
      </c>
      <c r="N245" s="22" t="e">
        <f ca="1"/>
        <v>#NUM!</v>
      </c>
      <c r="O245" s="22" t="e">
        <f ca="1"/>
        <v>#NUM!</v>
      </c>
    </row>
    <row r="246" spans="2:15">
      <c r="B246" s="22" t="e">
        <f ca="1"/>
        <v>#NUM!</v>
      </c>
      <c r="C246" s="22" t="e">
        <f ca="1"/>
        <v>#NUM!</v>
      </c>
      <c r="D246" s="22" t="e">
        <f ca="1"/>
        <v>#NUM!</v>
      </c>
      <c r="E246" s="22" t="e">
        <f ca="1"/>
        <v>#NUM!</v>
      </c>
      <c r="F246" s="234" t="e">
        <f ca="1"/>
        <v>#NUM!</v>
      </c>
      <c r="G246" s="22" t="e">
        <f ca="1"/>
        <v>#NUM!</v>
      </c>
      <c r="H246" s="22" t="e">
        <f ca="1"/>
        <v>#NUM!</v>
      </c>
      <c r="I246" s="22" t="e">
        <f ca="1"/>
        <v>#NUM!</v>
      </c>
      <c r="J246" s="248" t="e">
        <f ca="1"/>
        <v>#NUM!</v>
      </c>
      <c r="K246" s="248" t="e">
        <f ca="1"/>
        <v>#NUM!</v>
      </c>
      <c r="L246" s="248" t="e">
        <f ca="1"/>
        <v>#NUM!</v>
      </c>
      <c r="M246" s="22" t="e">
        <f ca="1"/>
        <v>#NUM!</v>
      </c>
      <c r="N246" s="22" t="e">
        <f ca="1"/>
        <v>#NUM!</v>
      </c>
      <c r="O246" s="22" t="e">
        <f ca="1"/>
        <v>#NUM!</v>
      </c>
    </row>
    <row r="247" spans="2:15">
      <c r="B247" s="22" t="e">
        <f ca="1"/>
        <v>#NUM!</v>
      </c>
      <c r="C247" s="22" t="e">
        <f ca="1"/>
        <v>#NUM!</v>
      </c>
      <c r="D247" s="22" t="e">
        <f ca="1"/>
        <v>#NUM!</v>
      </c>
      <c r="E247" s="22" t="e">
        <f ca="1"/>
        <v>#NUM!</v>
      </c>
      <c r="F247" s="234" t="e">
        <f ca="1"/>
        <v>#NUM!</v>
      </c>
      <c r="G247" s="22" t="e">
        <f ca="1"/>
        <v>#NUM!</v>
      </c>
      <c r="H247" s="22" t="e">
        <f ca="1"/>
        <v>#NUM!</v>
      </c>
      <c r="I247" s="22" t="e">
        <f ca="1"/>
        <v>#NUM!</v>
      </c>
      <c r="J247" s="248" t="e">
        <f ca="1"/>
        <v>#NUM!</v>
      </c>
      <c r="K247" s="248" t="e">
        <f ca="1"/>
        <v>#NUM!</v>
      </c>
      <c r="L247" s="248" t="e">
        <f ca="1"/>
        <v>#NUM!</v>
      </c>
      <c r="M247" s="22" t="e">
        <f ca="1"/>
        <v>#NUM!</v>
      </c>
      <c r="N247" s="22" t="e">
        <f ca="1"/>
        <v>#NUM!</v>
      </c>
      <c r="O247" s="22" t="e">
        <f ca="1"/>
        <v>#NUM!</v>
      </c>
    </row>
    <row r="248" spans="2:15">
      <c r="B248" s="22" t="e">
        <f ca="1"/>
        <v>#NUM!</v>
      </c>
      <c r="C248" s="22" t="e">
        <f ca="1"/>
        <v>#NUM!</v>
      </c>
      <c r="D248" s="22" t="e">
        <f ca="1"/>
        <v>#NUM!</v>
      </c>
      <c r="E248" s="22" t="e">
        <f ca="1"/>
        <v>#NUM!</v>
      </c>
      <c r="F248" s="234" t="e">
        <f ca="1"/>
        <v>#NUM!</v>
      </c>
      <c r="G248" s="22" t="e">
        <f ca="1"/>
        <v>#NUM!</v>
      </c>
      <c r="H248" s="22" t="e">
        <f ca="1"/>
        <v>#NUM!</v>
      </c>
      <c r="I248" s="22" t="e">
        <f ca="1"/>
        <v>#NUM!</v>
      </c>
      <c r="J248" s="248" t="e">
        <f ca="1"/>
        <v>#NUM!</v>
      </c>
      <c r="K248" s="248" t="e">
        <f ca="1"/>
        <v>#NUM!</v>
      </c>
      <c r="L248" s="248" t="e">
        <f ca="1"/>
        <v>#NUM!</v>
      </c>
      <c r="M248" s="22" t="e">
        <f ca="1"/>
        <v>#NUM!</v>
      </c>
      <c r="N248" s="22" t="e">
        <f ca="1"/>
        <v>#NUM!</v>
      </c>
      <c r="O248" s="22" t="e">
        <f ca="1"/>
        <v>#NUM!</v>
      </c>
    </row>
    <row r="249" spans="2:15">
      <c r="B249" s="22" t="e">
        <f ca="1"/>
        <v>#NUM!</v>
      </c>
      <c r="C249" s="22" t="e">
        <f ca="1"/>
        <v>#NUM!</v>
      </c>
      <c r="D249" s="22" t="e">
        <f ca="1"/>
        <v>#NUM!</v>
      </c>
      <c r="E249" s="22" t="e">
        <f ca="1"/>
        <v>#NUM!</v>
      </c>
      <c r="F249" s="234" t="e">
        <f ca="1"/>
        <v>#NUM!</v>
      </c>
      <c r="G249" s="22" t="e">
        <f ca="1"/>
        <v>#NUM!</v>
      </c>
      <c r="H249" s="22" t="e">
        <f ca="1"/>
        <v>#NUM!</v>
      </c>
      <c r="I249" s="22" t="e">
        <f ca="1"/>
        <v>#NUM!</v>
      </c>
      <c r="J249" s="248" t="e">
        <f ca="1"/>
        <v>#NUM!</v>
      </c>
      <c r="K249" s="248" t="e">
        <f ca="1"/>
        <v>#NUM!</v>
      </c>
      <c r="L249" s="248" t="e">
        <f ca="1"/>
        <v>#NUM!</v>
      </c>
      <c r="M249" s="22" t="e">
        <f ca="1"/>
        <v>#NUM!</v>
      </c>
      <c r="N249" s="22" t="e">
        <f ca="1"/>
        <v>#NUM!</v>
      </c>
      <c r="O249" s="22" t="e">
        <f ca="1"/>
        <v>#NUM!</v>
      </c>
    </row>
    <row r="250" spans="2:15">
      <c r="B250" s="22" t="e">
        <f ca="1"/>
        <v>#NUM!</v>
      </c>
      <c r="C250" s="22" t="e">
        <f ca="1"/>
        <v>#NUM!</v>
      </c>
      <c r="D250" s="22" t="e">
        <f ca="1"/>
        <v>#NUM!</v>
      </c>
      <c r="E250" s="22" t="e">
        <f ca="1"/>
        <v>#NUM!</v>
      </c>
      <c r="F250" s="234" t="e">
        <f ca="1"/>
        <v>#NUM!</v>
      </c>
      <c r="G250" s="22" t="e">
        <f ca="1"/>
        <v>#NUM!</v>
      </c>
      <c r="H250" s="22" t="e">
        <f ca="1"/>
        <v>#NUM!</v>
      </c>
      <c r="I250" s="22" t="e">
        <f ca="1"/>
        <v>#NUM!</v>
      </c>
      <c r="J250" s="248" t="e">
        <f ca="1"/>
        <v>#NUM!</v>
      </c>
      <c r="K250" s="248" t="e">
        <f ca="1"/>
        <v>#NUM!</v>
      </c>
      <c r="L250" s="248" t="e">
        <f ca="1"/>
        <v>#NUM!</v>
      </c>
      <c r="M250" s="22" t="e">
        <f ca="1"/>
        <v>#NUM!</v>
      </c>
      <c r="N250" s="22" t="e">
        <f ca="1"/>
        <v>#NUM!</v>
      </c>
      <c r="O250" s="22" t="e">
        <f ca="1"/>
        <v>#NUM!</v>
      </c>
    </row>
    <row r="251" spans="2:15">
      <c r="B251" s="22" t="e">
        <f ca="1"/>
        <v>#NUM!</v>
      </c>
      <c r="C251" s="22" t="e">
        <f ca="1"/>
        <v>#NUM!</v>
      </c>
      <c r="D251" s="22" t="e">
        <f ca="1"/>
        <v>#NUM!</v>
      </c>
      <c r="E251" s="22" t="e">
        <f ca="1"/>
        <v>#NUM!</v>
      </c>
      <c r="F251" s="234" t="e">
        <f ca="1"/>
        <v>#NUM!</v>
      </c>
      <c r="G251" s="22" t="e">
        <f ca="1"/>
        <v>#NUM!</v>
      </c>
      <c r="H251" s="22" t="e">
        <f ca="1"/>
        <v>#NUM!</v>
      </c>
      <c r="I251" s="22" t="e">
        <f ca="1"/>
        <v>#NUM!</v>
      </c>
      <c r="J251" s="248" t="e">
        <f ca="1"/>
        <v>#NUM!</v>
      </c>
      <c r="K251" s="248" t="e">
        <f ca="1"/>
        <v>#NUM!</v>
      </c>
      <c r="L251" s="248" t="e">
        <f ca="1"/>
        <v>#NUM!</v>
      </c>
      <c r="M251" s="22" t="e">
        <f ca="1"/>
        <v>#NUM!</v>
      </c>
      <c r="N251" s="22" t="e">
        <f ca="1"/>
        <v>#NUM!</v>
      </c>
      <c r="O251" s="22" t="e">
        <f ca="1"/>
        <v>#NUM!</v>
      </c>
    </row>
    <row r="252" spans="2:15">
      <c r="B252" s="22" t="e">
        <f ca="1"/>
        <v>#NUM!</v>
      </c>
      <c r="C252" s="22" t="e">
        <f ca="1"/>
        <v>#NUM!</v>
      </c>
      <c r="D252" s="22" t="e">
        <f ca="1"/>
        <v>#NUM!</v>
      </c>
      <c r="E252" s="22" t="e">
        <f ca="1"/>
        <v>#NUM!</v>
      </c>
      <c r="F252" s="234" t="e">
        <f ca="1"/>
        <v>#NUM!</v>
      </c>
      <c r="G252" s="22" t="e">
        <f ca="1"/>
        <v>#NUM!</v>
      </c>
      <c r="H252" s="22" t="e">
        <f ca="1"/>
        <v>#NUM!</v>
      </c>
      <c r="I252" s="22" t="e">
        <f ca="1"/>
        <v>#NUM!</v>
      </c>
      <c r="J252" s="248" t="e">
        <f ca="1"/>
        <v>#NUM!</v>
      </c>
      <c r="K252" s="248" t="e">
        <f ca="1"/>
        <v>#NUM!</v>
      </c>
      <c r="L252" s="248" t="e">
        <f ca="1"/>
        <v>#NUM!</v>
      </c>
      <c r="M252" s="22" t="e">
        <f ca="1"/>
        <v>#NUM!</v>
      </c>
      <c r="N252" s="22" t="e">
        <f ca="1"/>
        <v>#NUM!</v>
      </c>
      <c r="O252" s="22" t="e">
        <f ca="1"/>
        <v>#NUM!</v>
      </c>
    </row>
    <row r="253" spans="2:15">
      <c r="B253" s="22" t="e">
        <f ca="1"/>
        <v>#NUM!</v>
      </c>
      <c r="C253" s="22" t="e">
        <f ca="1"/>
        <v>#NUM!</v>
      </c>
      <c r="D253" s="22" t="e">
        <f ca="1"/>
        <v>#NUM!</v>
      </c>
      <c r="E253" s="22" t="e">
        <f ca="1"/>
        <v>#NUM!</v>
      </c>
      <c r="F253" s="234" t="e">
        <f ca="1"/>
        <v>#NUM!</v>
      </c>
      <c r="G253" s="22" t="e">
        <f ca="1"/>
        <v>#NUM!</v>
      </c>
      <c r="H253" s="22" t="e">
        <f ca="1"/>
        <v>#NUM!</v>
      </c>
      <c r="I253" s="22" t="e">
        <f ca="1"/>
        <v>#NUM!</v>
      </c>
      <c r="J253" s="248" t="e">
        <f ca="1"/>
        <v>#NUM!</v>
      </c>
      <c r="K253" s="248" t="e">
        <f ca="1"/>
        <v>#NUM!</v>
      </c>
      <c r="L253" s="248" t="e">
        <f ca="1"/>
        <v>#NUM!</v>
      </c>
      <c r="M253" s="22" t="e">
        <f ca="1"/>
        <v>#NUM!</v>
      </c>
      <c r="N253" s="22" t="e">
        <f ca="1"/>
        <v>#NUM!</v>
      </c>
      <c r="O253" s="22" t="e">
        <f ca="1"/>
        <v>#NUM!</v>
      </c>
    </row>
    <row r="254" spans="2:15">
      <c r="B254" s="22" t="e">
        <f ca="1"/>
        <v>#NUM!</v>
      </c>
      <c r="C254" s="22" t="e">
        <f ca="1"/>
        <v>#NUM!</v>
      </c>
      <c r="D254" s="22" t="e">
        <f ca="1"/>
        <v>#NUM!</v>
      </c>
      <c r="E254" s="22" t="e">
        <f ca="1"/>
        <v>#NUM!</v>
      </c>
      <c r="F254" s="234" t="e">
        <f ca="1"/>
        <v>#NUM!</v>
      </c>
      <c r="G254" s="22" t="e">
        <f ca="1"/>
        <v>#NUM!</v>
      </c>
      <c r="H254" s="22" t="e">
        <f ca="1"/>
        <v>#NUM!</v>
      </c>
      <c r="I254" s="22" t="e">
        <f ca="1"/>
        <v>#NUM!</v>
      </c>
      <c r="J254" s="248" t="e">
        <f ca="1"/>
        <v>#NUM!</v>
      </c>
      <c r="K254" s="248" t="e">
        <f ca="1"/>
        <v>#NUM!</v>
      </c>
      <c r="L254" s="248" t="e">
        <f ca="1"/>
        <v>#NUM!</v>
      </c>
      <c r="M254" s="22" t="e">
        <f ca="1"/>
        <v>#NUM!</v>
      </c>
      <c r="N254" s="22" t="e">
        <f ca="1"/>
        <v>#NUM!</v>
      </c>
      <c r="O254" s="22" t="e">
        <f ca="1"/>
        <v>#NUM!</v>
      </c>
    </row>
    <row r="255" spans="2:15">
      <c r="B255" s="22" t="e">
        <f ca="1"/>
        <v>#NUM!</v>
      </c>
      <c r="C255" s="22" t="e">
        <f ca="1"/>
        <v>#NUM!</v>
      </c>
      <c r="D255" s="22" t="e">
        <f ca="1"/>
        <v>#NUM!</v>
      </c>
      <c r="E255" s="22" t="e">
        <f ca="1"/>
        <v>#NUM!</v>
      </c>
      <c r="F255" s="234" t="e">
        <f ca="1"/>
        <v>#NUM!</v>
      </c>
      <c r="G255" s="22" t="e">
        <f ca="1"/>
        <v>#NUM!</v>
      </c>
      <c r="H255" s="22" t="e">
        <f ca="1"/>
        <v>#NUM!</v>
      </c>
      <c r="I255" s="22" t="e">
        <f ca="1"/>
        <v>#NUM!</v>
      </c>
      <c r="J255" s="248" t="e">
        <f ca="1"/>
        <v>#NUM!</v>
      </c>
      <c r="K255" s="248" t="e">
        <f ca="1"/>
        <v>#NUM!</v>
      </c>
      <c r="L255" s="248" t="e">
        <f ca="1"/>
        <v>#NUM!</v>
      </c>
      <c r="M255" s="22" t="e">
        <f ca="1"/>
        <v>#NUM!</v>
      </c>
      <c r="N255" s="22" t="e">
        <f ca="1"/>
        <v>#NUM!</v>
      </c>
      <c r="O255" s="22" t="e">
        <f ca="1"/>
        <v>#NUM!</v>
      </c>
    </row>
    <row r="256" spans="2:15">
      <c r="B256" s="22" t="e">
        <f ca="1"/>
        <v>#NUM!</v>
      </c>
      <c r="C256" s="22" t="e">
        <f ca="1"/>
        <v>#NUM!</v>
      </c>
      <c r="D256" s="22" t="e">
        <f ca="1"/>
        <v>#NUM!</v>
      </c>
      <c r="E256" s="22" t="e">
        <f ca="1"/>
        <v>#NUM!</v>
      </c>
      <c r="F256" s="234" t="e">
        <f ca="1"/>
        <v>#NUM!</v>
      </c>
      <c r="G256" s="22" t="e">
        <f ca="1"/>
        <v>#NUM!</v>
      </c>
      <c r="H256" s="22" t="e">
        <f ca="1"/>
        <v>#NUM!</v>
      </c>
      <c r="I256" s="22" t="e">
        <f ca="1"/>
        <v>#NUM!</v>
      </c>
      <c r="J256" s="248" t="e">
        <f ca="1"/>
        <v>#NUM!</v>
      </c>
      <c r="K256" s="248" t="e">
        <f ca="1"/>
        <v>#NUM!</v>
      </c>
      <c r="L256" s="248" t="e">
        <f ca="1"/>
        <v>#NUM!</v>
      </c>
      <c r="M256" s="22" t="e">
        <f ca="1"/>
        <v>#NUM!</v>
      </c>
      <c r="N256" s="22" t="e">
        <f ca="1"/>
        <v>#NUM!</v>
      </c>
      <c r="O256" s="22" t="e">
        <f ca="1"/>
        <v>#NUM!</v>
      </c>
    </row>
    <row r="257" spans="2:15">
      <c r="B257" s="22" t="e">
        <f ca="1"/>
        <v>#NUM!</v>
      </c>
      <c r="C257" s="22" t="e">
        <f ca="1"/>
        <v>#NUM!</v>
      </c>
      <c r="D257" s="22" t="e">
        <f ca="1"/>
        <v>#NUM!</v>
      </c>
      <c r="E257" s="22" t="e">
        <f ca="1"/>
        <v>#NUM!</v>
      </c>
      <c r="F257" s="234" t="e">
        <f ca="1"/>
        <v>#NUM!</v>
      </c>
      <c r="G257" s="22" t="e">
        <f ca="1"/>
        <v>#NUM!</v>
      </c>
      <c r="H257" s="22" t="e">
        <f ca="1"/>
        <v>#NUM!</v>
      </c>
      <c r="I257" s="22" t="e">
        <f ca="1"/>
        <v>#NUM!</v>
      </c>
      <c r="J257" s="248" t="e">
        <f ca="1"/>
        <v>#NUM!</v>
      </c>
      <c r="K257" s="248" t="e">
        <f ca="1"/>
        <v>#NUM!</v>
      </c>
      <c r="L257" s="248" t="e">
        <f ca="1"/>
        <v>#NUM!</v>
      </c>
      <c r="M257" s="22" t="e">
        <f ca="1"/>
        <v>#NUM!</v>
      </c>
      <c r="N257" s="22" t="e">
        <f ca="1"/>
        <v>#NUM!</v>
      </c>
      <c r="O257" s="22" t="e">
        <f ca="1"/>
        <v>#NUM!</v>
      </c>
    </row>
    <row r="258" spans="2:15">
      <c r="B258" s="22" t="e">
        <f ca="1"/>
        <v>#NUM!</v>
      </c>
      <c r="C258" s="22" t="e">
        <f ca="1"/>
        <v>#NUM!</v>
      </c>
      <c r="D258" s="22" t="e">
        <f ca="1"/>
        <v>#NUM!</v>
      </c>
      <c r="E258" s="22" t="e">
        <f ca="1"/>
        <v>#NUM!</v>
      </c>
      <c r="F258" s="234" t="e">
        <f ca="1"/>
        <v>#NUM!</v>
      </c>
      <c r="G258" s="22" t="e">
        <f ca="1"/>
        <v>#NUM!</v>
      </c>
      <c r="H258" s="22" t="e">
        <f ca="1"/>
        <v>#NUM!</v>
      </c>
      <c r="I258" s="22" t="e">
        <f ca="1"/>
        <v>#NUM!</v>
      </c>
      <c r="J258" s="248" t="e">
        <f ca="1"/>
        <v>#NUM!</v>
      </c>
      <c r="K258" s="248" t="e">
        <f ca="1"/>
        <v>#NUM!</v>
      </c>
      <c r="L258" s="248" t="e">
        <f ca="1"/>
        <v>#NUM!</v>
      </c>
      <c r="M258" s="22" t="e">
        <f ca="1"/>
        <v>#NUM!</v>
      </c>
      <c r="N258" s="22" t="e">
        <f ca="1"/>
        <v>#NUM!</v>
      </c>
      <c r="O258" s="22" t="e">
        <f ca="1"/>
        <v>#NUM!</v>
      </c>
    </row>
    <row r="259" spans="2:15">
      <c r="B259" s="22" t="e">
        <f ca="1"/>
        <v>#NUM!</v>
      </c>
      <c r="C259" s="22" t="e">
        <f ca="1"/>
        <v>#NUM!</v>
      </c>
      <c r="D259" s="22" t="e">
        <f ca="1"/>
        <v>#NUM!</v>
      </c>
      <c r="E259" s="22" t="e">
        <f ca="1"/>
        <v>#NUM!</v>
      </c>
      <c r="F259" s="234" t="e">
        <f ca="1"/>
        <v>#NUM!</v>
      </c>
      <c r="G259" s="22" t="e">
        <f ca="1"/>
        <v>#NUM!</v>
      </c>
      <c r="H259" s="22" t="e">
        <f ca="1"/>
        <v>#NUM!</v>
      </c>
      <c r="I259" s="22" t="e">
        <f ca="1"/>
        <v>#NUM!</v>
      </c>
      <c r="J259" s="248" t="e">
        <f ca="1"/>
        <v>#NUM!</v>
      </c>
      <c r="K259" s="248" t="e">
        <f ca="1"/>
        <v>#NUM!</v>
      </c>
      <c r="L259" s="248" t="e">
        <f ca="1"/>
        <v>#NUM!</v>
      </c>
      <c r="M259" s="22" t="e">
        <f ca="1"/>
        <v>#NUM!</v>
      </c>
      <c r="N259" s="22" t="e">
        <f ca="1"/>
        <v>#NUM!</v>
      </c>
      <c r="O259" s="22" t="e">
        <f ca="1"/>
        <v>#NUM!</v>
      </c>
    </row>
    <row r="260" spans="2:15">
      <c r="B260" s="22" t="e">
        <f ca="1"/>
        <v>#NUM!</v>
      </c>
      <c r="C260" s="22" t="e">
        <f ca="1"/>
        <v>#NUM!</v>
      </c>
      <c r="D260" s="22" t="e">
        <f ca="1"/>
        <v>#NUM!</v>
      </c>
      <c r="E260" s="22" t="e">
        <f ca="1"/>
        <v>#NUM!</v>
      </c>
      <c r="F260" s="234" t="e">
        <f ca="1"/>
        <v>#NUM!</v>
      </c>
      <c r="G260" s="22" t="e">
        <f ca="1"/>
        <v>#NUM!</v>
      </c>
      <c r="H260" s="22" t="e">
        <f ca="1"/>
        <v>#NUM!</v>
      </c>
      <c r="I260" s="22" t="e">
        <f ca="1"/>
        <v>#NUM!</v>
      </c>
      <c r="J260" s="248" t="e">
        <f ca="1"/>
        <v>#NUM!</v>
      </c>
      <c r="K260" s="248" t="e">
        <f ca="1"/>
        <v>#NUM!</v>
      </c>
      <c r="L260" s="248" t="e">
        <f ca="1"/>
        <v>#NUM!</v>
      </c>
      <c r="M260" s="22" t="e">
        <f ca="1"/>
        <v>#NUM!</v>
      </c>
      <c r="N260" s="22" t="e">
        <f ca="1"/>
        <v>#NUM!</v>
      </c>
      <c r="O260" s="22" t="e">
        <f ca="1"/>
        <v>#NUM!</v>
      </c>
    </row>
    <row r="261" spans="2:15">
      <c r="B261" s="22" t="e">
        <f ca="1"/>
        <v>#NUM!</v>
      </c>
      <c r="C261" s="22" t="e">
        <f ca="1"/>
        <v>#NUM!</v>
      </c>
      <c r="D261" s="22" t="e">
        <f ca="1"/>
        <v>#NUM!</v>
      </c>
      <c r="E261" s="22" t="e">
        <f ca="1"/>
        <v>#NUM!</v>
      </c>
      <c r="F261" s="234" t="e">
        <f ca="1"/>
        <v>#NUM!</v>
      </c>
      <c r="G261" s="22" t="e">
        <f ca="1"/>
        <v>#NUM!</v>
      </c>
      <c r="H261" s="22" t="e">
        <f ca="1"/>
        <v>#NUM!</v>
      </c>
      <c r="I261" s="22" t="e">
        <f ca="1"/>
        <v>#NUM!</v>
      </c>
      <c r="J261" s="248" t="e">
        <f ca="1"/>
        <v>#NUM!</v>
      </c>
      <c r="K261" s="248" t="e">
        <f ca="1"/>
        <v>#NUM!</v>
      </c>
      <c r="L261" s="248" t="e">
        <f ca="1"/>
        <v>#NUM!</v>
      </c>
      <c r="M261" s="22" t="e">
        <f ca="1"/>
        <v>#NUM!</v>
      </c>
      <c r="N261" s="22" t="e">
        <f ca="1"/>
        <v>#NUM!</v>
      </c>
      <c r="O261" s="22" t="e">
        <f ca="1"/>
        <v>#NUM!</v>
      </c>
    </row>
    <row r="262" spans="2:15">
      <c r="B262" s="22" t="e">
        <f ca="1"/>
        <v>#NUM!</v>
      </c>
      <c r="C262" s="22" t="e">
        <f ca="1"/>
        <v>#NUM!</v>
      </c>
      <c r="D262" s="22" t="e">
        <f ca="1"/>
        <v>#NUM!</v>
      </c>
      <c r="E262" s="22" t="e">
        <f ca="1"/>
        <v>#NUM!</v>
      </c>
      <c r="F262" s="234" t="e">
        <f ca="1"/>
        <v>#NUM!</v>
      </c>
      <c r="G262" s="22" t="e">
        <f ca="1"/>
        <v>#NUM!</v>
      </c>
      <c r="H262" s="22" t="e">
        <f ca="1"/>
        <v>#NUM!</v>
      </c>
      <c r="I262" s="22" t="e">
        <f ca="1"/>
        <v>#NUM!</v>
      </c>
      <c r="J262" s="248" t="e">
        <f ca="1"/>
        <v>#NUM!</v>
      </c>
      <c r="K262" s="248" t="e">
        <f ca="1"/>
        <v>#NUM!</v>
      </c>
      <c r="L262" s="248" t="e">
        <f ca="1"/>
        <v>#NUM!</v>
      </c>
      <c r="M262" s="22" t="e">
        <f ca="1"/>
        <v>#NUM!</v>
      </c>
      <c r="N262" s="22" t="e">
        <f ca="1"/>
        <v>#NUM!</v>
      </c>
      <c r="O262" s="22" t="e">
        <f ca="1"/>
        <v>#NUM!</v>
      </c>
    </row>
    <row r="263" spans="2:15">
      <c r="B263" s="22" t="e">
        <f ca="1"/>
        <v>#NUM!</v>
      </c>
      <c r="C263" s="22" t="e">
        <f ca="1"/>
        <v>#NUM!</v>
      </c>
      <c r="D263" s="22" t="e">
        <f ca="1"/>
        <v>#NUM!</v>
      </c>
      <c r="E263" s="22" t="e">
        <f ca="1"/>
        <v>#NUM!</v>
      </c>
      <c r="F263" s="234" t="e">
        <f ca="1"/>
        <v>#NUM!</v>
      </c>
      <c r="G263" s="22" t="e">
        <f ca="1"/>
        <v>#NUM!</v>
      </c>
      <c r="H263" s="22" t="e">
        <f ca="1"/>
        <v>#NUM!</v>
      </c>
      <c r="I263" s="22" t="e">
        <f ca="1"/>
        <v>#NUM!</v>
      </c>
      <c r="J263" s="248" t="e">
        <f ca="1"/>
        <v>#NUM!</v>
      </c>
      <c r="K263" s="248" t="e">
        <f ca="1"/>
        <v>#NUM!</v>
      </c>
      <c r="L263" s="248" t="e">
        <f ca="1"/>
        <v>#NUM!</v>
      </c>
      <c r="M263" s="22" t="e">
        <f ca="1"/>
        <v>#NUM!</v>
      </c>
      <c r="N263" s="22" t="e">
        <f ca="1"/>
        <v>#NUM!</v>
      </c>
      <c r="O263" s="22" t="e">
        <f ca="1"/>
        <v>#NUM!</v>
      </c>
    </row>
    <row r="264" spans="2:15">
      <c r="B264" s="22" t="e">
        <f ca="1"/>
        <v>#NUM!</v>
      </c>
      <c r="C264" s="22" t="e">
        <f ca="1"/>
        <v>#NUM!</v>
      </c>
      <c r="D264" s="22" t="e">
        <f ca="1"/>
        <v>#NUM!</v>
      </c>
      <c r="E264" s="22" t="e">
        <f ca="1"/>
        <v>#NUM!</v>
      </c>
      <c r="F264" s="234" t="e">
        <f ca="1"/>
        <v>#NUM!</v>
      </c>
      <c r="G264" s="22" t="e">
        <f ca="1"/>
        <v>#NUM!</v>
      </c>
      <c r="H264" s="22" t="e">
        <f ca="1"/>
        <v>#NUM!</v>
      </c>
      <c r="I264" s="22" t="e">
        <f ca="1"/>
        <v>#NUM!</v>
      </c>
      <c r="J264" s="248" t="e">
        <f ca="1"/>
        <v>#NUM!</v>
      </c>
      <c r="K264" s="248" t="e">
        <f ca="1"/>
        <v>#NUM!</v>
      </c>
      <c r="L264" s="248" t="e">
        <f ca="1"/>
        <v>#NUM!</v>
      </c>
      <c r="M264" s="22" t="e">
        <f ca="1"/>
        <v>#NUM!</v>
      </c>
      <c r="N264" s="22" t="e">
        <f ca="1"/>
        <v>#NUM!</v>
      </c>
      <c r="O264" s="22" t="e">
        <f ca="1"/>
        <v>#NUM!</v>
      </c>
    </row>
    <row r="265" spans="2:15">
      <c r="B265" s="22" t="e">
        <f ca="1"/>
        <v>#NUM!</v>
      </c>
      <c r="C265" s="22" t="e">
        <f ca="1"/>
        <v>#NUM!</v>
      </c>
      <c r="D265" s="22" t="e">
        <f ca="1"/>
        <v>#NUM!</v>
      </c>
      <c r="E265" s="22" t="e">
        <f ca="1"/>
        <v>#NUM!</v>
      </c>
      <c r="F265" s="234" t="e">
        <f ca="1"/>
        <v>#NUM!</v>
      </c>
      <c r="G265" s="22" t="e">
        <f ca="1"/>
        <v>#NUM!</v>
      </c>
      <c r="H265" s="22" t="e">
        <f ca="1"/>
        <v>#NUM!</v>
      </c>
      <c r="I265" s="22" t="e">
        <f ca="1"/>
        <v>#NUM!</v>
      </c>
      <c r="J265" s="248" t="e">
        <f ca="1"/>
        <v>#NUM!</v>
      </c>
      <c r="K265" s="248" t="e">
        <f ca="1"/>
        <v>#NUM!</v>
      </c>
      <c r="L265" s="248" t="e">
        <f ca="1"/>
        <v>#NUM!</v>
      </c>
      <c r="M265" s="22" t="e">
        <f ca="1"/>
        <v>#NUM!</v>
      </c>
      <c r="N265" s="22" t="e">
        <f ca="1"/>
        <v>#NUM!</v>
      </c>
      <c r="O265" s="22" t="e">
        <f ca="1"/>
        <v>#NUM!</v>
      </c>
    </row>
    <row r="266" spans="2:15">
      <c r="B266" s="22" t="e">
        <f ca="1"/>
        <v>#NUM!</v>
      </c>
      <c r="C266" s="22" t="e">
        <f ca="1"/>
        <v>#NUM!</v>
      </c>
      <c r="D266" s="22" t="e">
        <f ca="1"/>
        <v>#NUM!</v>
      </c>
      <c r="E266" s="22" t="e">
        <f ca="1"/>
        <v>#NUM!</v>
      </c>
      <c r="F266" s="234" t="e">
        <f ca="1"/>
        <v>#NUM!</v>
      </c>
      <c r="G266" s="22" t="e">
        <f ca="1"/>
        <v>#NUM!</v>
      </c>
      <c r="H266" s="22" t="e">
        <f ca="1"/>
        <v>#NUM!</v>
      </c>
      <c r="I266" s="22" t="e">
        <f ca="1"/>
        <v>#NUM!</v>
      </c>
      <c r="J266" s="248" t="e">
        <f ca="1"/>
        <v>#NUM!</v>
      </c>
      <c r="K266" s="248" t="e">
        <f ca="1"/>
        <v>#NUM!</v>
      </c>
      <c r="L266" s="248" t="e">
        <f ca="1"/>
        <v>#NUM!</v>
      </c>
      <c r="M266" s="22" t="e">
        <f ca="1"/>
        <v>#NUM!</v>
      </c>
      <c r="N266" s="22" t="e">
        <f ca="1"/>
        <v>#NUM!</v>
      </c>
      <c r="O266" s="22" t="e">
        <f ca="1"/>
        <v>#NUM!</v>
      </c>
    </row>
    <row r="267" spans="2:15">
      <c r="B267" s="22" t="e">
        <f ca="1"/>
        <v>#NUM!</v>
      </c>
      <c r="C267" s="22" t="e">
        <f ca="1"/>
        <v>#NUM!</v>
      </c>
      <c r="D267" s="22" t="e">
        <f ca="1"/>
        <v>#NUM!</v>
      </c>
      <c r="E267" s="22" t="e">
        <f ca="1"/>
        <v>#NUM!</v>
      </c>
      <c r="F267" s="234" t="e">
        <f ca="1"/>
        <v>#NUM!</v>
      </c>
      <c r="G267" s="22" t="e">
        <f ca="1"/>
        <v>#NUM!</v>
      </c>
      <c r="H267" s="22" t="e">
        <f ca="1"/>
        <v>#NUM!</v>
      </c>
      <c r="I267" s="22" t="e">
        <f ca="1"/>
        <v>#NUM!</v>
      </c>
      <c r="J267" s="248" t="e">
        <f ca="1"/>
        <v>#NUM!</v>
      </c>
      <c r="K267" s="248" t="e">
        <f ca="1"/>
        <v>#NUM!</v>
      </c>
      <c r="L267" s="248" t="e">
        <f ca="1"/>
        <v>#NUM!</v>
      </c>
      <c r="M267" s="22" t="e">
        <f ca="1"/>
        <v>#NUM!</v>
      </c>
      <c r="N267" s="22" t="e">
        <f ca="1"/>
        <v>#NUM!</v>
      </c>
      <c r="O267" s="22" t="e">
        <f ca="1"/>
        <v>#NUM!</v>
      </c>
    </row>
    <row r="268" spans="2:15">
      <c r="B268" s="22" t="e">
        <f ca="1"/>
        <v>#NUM!</v>
      </c>
      <c r="C268" s="22" t="e">
        <f ca="1"/>
        <v>#NUM!</v>
      </c>
      <c r="D268" s="22" t="e">
        <f ca="1"/>
        <v>#NUM!</v>
      </c>
      <c r="E268" s="22" t="e">
        <f ca="1"/>
        <v>#NUM!</v>
      </c>
      <c r="F268" s="234" t="e">
        <f ca="1"/>
        <v>#NUM!</v>
      </c>
      <c r="G268" s="22" t="e">
        <f ca="1"/>
        <v>#NUM!</v>
      </c>
      <c r="H268" s="22" t="e">
        <f ca="1"/>
        <v>#NUM!</v>
      </c>
      <c r="I268" s="22" t="e">
        <f ca="1"/>
        <v>#NUM!</v>
      </c>
      <c r="J268" s="248" t="e">
        <f ca="1"/>
        <v>#NUM!</v>
      </c>
      <c r="K268" s="248" t="e">
        <f ca="1"/>
        <v>#NUM!</v>
      </c>
      <c r="L268" s="248" t="e">
        <f ca="1"/>
        <v>#NUM!</v>
      </c>
      <c r="M268" s="22" t="e">
        <f ca="1"/>
        <v>#NUM!</v>
      </c>
      <c r="N268" s="22" t="e">
        <f ca="1"/>
        <v>#NUM!</v>
      </c>
      <c r="O268" s="22" t="e">
        <f ca="1"/>
        <v>#NUM!</v>
      </c>
    </row>
    <row r="269" spans="2:15">
      <c r="B269" s="22" t="e">
        <f ca="1"/>
        <v>#NUM!</v>
      </c>
      <c r="C269" s="22" t="e">
        <f ca="1"/>
        <v>#NUM!</v>
      </c>
      <c r="D269" s="22" t="e">
        <f ca="1"/>
        <v>#NUM!</v>
      </c>
      <c r="E269" s="22" t="e">
        <f ca="1"/>
        <v>#NUM!</v>
      </c>
      <c r="F269" s="234" t="e">
        <f ca="1"/>
        <v>#NUM!</v>
      </c>
      <c r="G269" s="22" t="e">
        <f ca="1"/>
        <v>#NUM!</v>
      </c>
      <c r="H269" s="22" t="e">
        <f ca="1"/>
        <v>#NUM!</v>
      </c>
      <c r="I269" s="22" t="e">
        <f ca="1"/>
        <v>#NUM!</v>
      </c>
      <c r="J269" s="248" t="e">
        <f ca="1"/>
        <v>#NUM!</v>
      </c>
      <c r="K269" s="248" t="e">
        <f ca="1"/>
        <v>#NUM!</v>
      </c>
      <c r="L269" s="248" t="e">
        <f ca="1"/>
        <v>#NUM!</v>
      </c>
      <c r="M269" s="22" t="e">
        <f ca="1"/>
        <v>#NUM!</v>
      </c>
      <c r="N269" s="22" t="e">
        <f ca="1"/>
        <v>#NUM!</v>
      </c>
      <c r="O269" s="22" t="e">
        <f ca="1"/>
        <v>#NUM!</v>
      </c>
    </row>
    <row r="270" spans="2:15">
      <c r="B270" s="22" t="e">
        <f ca="1"/>
        <v>#NUM!</v>
      </c>
      <c r="C270" s="22" t="e">
        <f ca="1"/>
        <v>#NUM!</v>
      </c>
      <c r="D270" s="22" t="e">
        <f ca="1"/>
        <v>#NUM!</v>
      </c>
      <c r="E270" s="22" t="e">
        <f ca="1"/>
        <v>#NUM!</v>
      </c>
      <c r="F270" s="234" t="e">
        <f ca="1"/>
        <v>#NUM!</v>
      </c>
      <c r="G270" s="22" t="e">
        <f ca="1"/>
        <v>#NUM!</v>
      </c>
      <c r="H270" s="22" t="e">
        <f ca="1"/>
        <v>#NUM!</v>
      </c>
      <c r="I270" s="22" t="e">
        <f ca="1"/>
        <v>#NUM!</v>
      </c>
      <c r="J270" s="248" t="e">
        <f ca="1"/>
        <v>#NUM!</v>
      </c>
      <c r="K270" s="248" t="e">
        <f ca="1"/>
        <v>#NUM!</v>
      </c>
      <c r="L270" s="248" t="e">
        <f ca="1"/>
        <v>#NUM!</v>
      </c>
      <c r="M270" s="22" t="e">
        <f ca="1"/>
        <v>#NUM!</v>
      </c>
      <c r="N270" s="22" t="e">
        <f ca="1"/>
        <v>#NUM!</v>
      </c>
      <c r="O270" s="22" t="e">
        <f ca="1"/>
        <v>#NUM!</v>
      </c>
    </row>
    <row r="271" spans="2:15">
      <c r="B271" s="22" t="e">
        <f ca="1"/>
        <v>#NUM!</v>
      </c>
      <c r="C271" s="22" t="e">
        <f ca="1"/>
        <v>#NUM!</v>
      </c>
      <c r="D271" s="22" t="e">
        <f ca="1"/>
        <v>#NUM!</v>
      </c>
      <c r="E271" s="22" t="e">
        <f ca="1"/>
        <v>#NUM!</v>
      </c>
      <c r="F271" s="234" t="e">
        <f ca="1"/>
        <v>#NUM!</v>
      </c>
      <c r="G271" s="22" t="e">
        <f ca="1"/>
        <v>#NUM!</v>
      </c>
      <c r="H271" s="22" t="e">
        <f ca="1"/>
        <v>#NUM!</v>
      </c>
      <c r="I271" s="22" t="e">
        <f ca="1"/>
        <v>#NUM!</v>
      </c>
      <c r="J271" s="248" t="e">
        <f ca="1"/>
        <v>#NUM!</v>
      </c>
      <c r="K271" s="248" t="e">
        <f ca="1"/>
        <v>#NUM!</v>
      </c>
      <c r="L271" s="248" t="e">
        <f ca="1"/>
        <v>#NUM!</v>
      </c>
      <c r="M271" s="22" t="e">
        <f ca="1"/>
        <v>#NUM!</v>
      </c>
      <c r="N271" s="22" t="e">
        <f ca="1"/>
        <v>#NUM!</v>
      </c>
      <c r="O271" s="22" t="e">
        <f ca="1"/>
        <v>#NUM!</v>
      </c>
    </row>
    <row r="272" spans="2:15">
      <c r="B272" s="22" t="e">
        <f ca="1"/>
        <v>#NUM!</v>
      </c>
      <c r="C272" s="22" t="e">
        <f ca="1"/>
        <v>#NUM!</v>
      </c>
      <c r="D272" s="22" t="e">
        <f ca="1"/>
        <v>#NUM!</v>
      </c>
      <c r="E272" s="22" t="e">
        <f ca="1"/>
        <v>#NUM!</v>
      </c>
      <c r="F272" s="234" t="e">
        <f ca="1"/>
        <v>#NUM!</v>
      </c>
      <c r="G272" s="22" t="e">
        <f ca="1"/>
        <v>#NUM!</v>
      </c>
      <c r="H272" s="22" t="e">
        <f ca="1"/>
        <v>#NUM!</v>
      </c>
      <c r="I272" s="22" t="e">
        <f ca="1"/>
        <v>#NUM!</v>
      </c>
      <c r="J272" s="248" t="e">
        <f ca="1"/>
        <v>#NUM!</v>
      </c>
      <c r="K272" s="248" t="e">
        <f ca="1"/>
        <v>#NUM!</v>
      </c>
      <c r="L272" s="248" t="e">
        <f ca="1"/>
        <v>#NUM!</v>
      </c>
      <c r="M272" s="22" t="e">
        <f ca="1"/>
        <v>#NUM!</v>
      </c>
      <c r="N272" s="22" t="e">
        <f ca="1"/>
        <v>#NUM!</v>
      </c>
      <c r="O272" s="22" t="e">
        <f ca="1"/>
        <v>#NUM!</v>
      </c>
    </row>
    <row r="273" spans="2:15">
      <c r="B273" s="22" t="e">
        <f ca="1"/>
        <v>#NUM!</v>
      </c>
      <c r="C273" s="22" t="e">
        <f ca="1"/>
        <v>#NUM!</v>
      </c>
      <c r="D273" s="22" t="e">
        <f ca="1"/>
        <v>#NUM!</v>
      </c>
      <c r="E273" s="22" t="e">
        <f ca="1"/>
        <v>#NUM!</v>
      </c>
      <c r="F273" s="234" t="e">
        <f ca="1"/>
        <v>#NUM!</v>
      </c>
      <c r="G273" s="22" t="e">
        <f ca="1"/>
        <v>#NUM!</v>
      </c>
      <c r="H273" s="22" t="e">
        <f ca="1"/>
        <v>#NUM!</v>
      </c>
      <c r="I273" s="22" t="e">
        <f ca="1"/>
        <v>#NUM!</v>
      </c>
      <c r="J273" s="248" t="e">
        <f ca="1"/>
        <v>#NUM!</v>
      </c>
      <c r="K273" s="248" t="e">
        <f ca="1"/>
        <v>#NUM!</v>
      </c>
      <c r="L273" s="248" t="e">
        <f ca="1"/>
        <v>#NUM!</v>
      </c>
      <c r="M273" s="22" t="e">
        <f ca="1"/>
        <v>#NUM!</v>
      </c>
      <c r="N273" s="22" t="e">
        <f ca="1"/>
        <v>#NUM!</v>
      </c>
      <c r="O273" s="22" t="e">
        <f ca="1"/>
        <v>#NUM!</v>
      </c>
    </row>
    <row r="274" spans="2:15">
      <c r="B274" s="22" t="e">
        <f ca="1"/>
        <v>#NUM!</v>
      </c>
      <c r="C274" s="22" t="e">
        <f ca="1"/>
        <v>#NUM!</v>
      </c>
      <c r="D274" s="22" t="e">
        <f ca="1"/>
        <v>#NUM!</v>
      </c>
      <c r="E274" s="22" t="e">
        <f ca="1"/>
        <v>#NUM!</v>
      </c>
      <c r="F274" s="234" t="e">
        <f ca="1"/>
        <v>#NUM!</v>
      </c>
      <c r="G274" s="22" t="e">
        <f ca="1"/>
        <v>#NUM!</v>
      </c>
      <c r="H274" s="22" t="e">
        <f ca="1"/>
        <v>#NUM!</v>
      </c>
      <c r="I274" s="22" t="e">
        <f ca="1"/>
        <v>#NUM!</v>
      </c>
      <c r="J274" s="248" t="e">
        <f ca="1"/>
        <v>#NUM!</v>
      </c>
      <c r="K274" s="248" t="e">
        <f ca="1"/>
        <v>#NUM!</v>
      </c>
      <c r="L274" s="248" t="e">
        <f ca="1"/>
        <v>#NUM!</v>
      </c>
      <c r="M274" s="22" t="e">
        <f ca="1"/>
        <v>#NUM!</v>
      </c>
      <c r="N274" s="22" t="e">
        <f ca="1"/>
        <v>#NUM!</v>
      </c>
      <c r="O274" s="22" t="e">
        <f ca="1"/>
        <v>#NUM!</v>
      </c>
    </row>
    <row r="275" spans="2:15">
      <c r="B275" s="22" t="e">
        <f ca="1"/>
        <v>#NUM!</v>
      </c>
      <c r="C275" s="22" t="e">
        <f ca="1"/>
        <v>#NUM!</v>
      </c>
      <c r="D275" s="22" t="e">
        <f ca="1"/>
        <v>#NUM!</v>
      </c>
      <c r="E275" s="22" t="e">
        <f ca="1"/>
        <v>#NUM!</v>
      </c>
      <c r="F275" s="234" t="e">
        <f ca="1"/>
        <v>#NUM!</v>
      </c>
      <c r="G275" s="22" t="e">
        <f ca="1"/>
        <v>#NUM!</v>
      </c>
      <c r="H275" s="22" t="e">
        <f ca="1"/>
        <v>#NUM!</v>
      </c>
      <c r="I275" s="22" t="e">
        <f ca="1"/>
        <v>#NUM!</v>
      </c>
      <c r="J275" s="248" t="e">
        <f ca="1"/>
        <v>#NUM!</v>
      </c>
      <c r="K275" s="248" t="e">
        <f ca="1"/>
        <v>#NUM!</v>
      </c>
      <c r="L275" s="248" t="e">
        <f ca="1"/>
        <v>#NUM!</v>
      </c>
      <c r="M275" s="22" t="e">
        <f ca="1"/>
        <v>#NUM!</v>
      </c>
      <c r="N275" s="22" t="e">
        <f ca="1"/>
        <v>#NUM!</v>
      </c>
      <c r="O275" s="22" t="e">
        <f ca="1"/>
        <v>#NUM!</v>
      </c>
    </row>
    <row r="276" spans="2:15">
      <c r="B276" s="22" t="e">
        <f ca="1"/>
        <v>#NUM!</v>
      </c>
      <c r="C276" s="22" t="e">
        <f ca="1"/>
        <v>#NUM!</v>
      </c>
      <c r="D276" s="22" t="e">
        <f ca="1"/>
        <v>#NUM!</v>
      </c>
      <c r="E276" s="22" t="e">
        <f ca="1"/>
        <v>#NUM!</v>
      </c>
      <c r="F276" s="234" t="e">
        <f ca="1"/>
        <v>#NUM!</v>
      </c>
      <c r="G276" s="22" t="e">
        <f ca="1"/>
        <v>#NUM!</v>
      </c>
      <c r="H276" s="22" t="e">
        <f ca="1"/>
        <v>#NUM!</v>
      </c>
      <c r="I276" s="22" t="e">
        <f ca="1"/>
        <v>#NUM!</v>
      </c>
      <c r="J276" s="248" t="e">
        <f ca="1"/>
        <v>#NUM!</v>
      </c>
      <c r="K276" s="248" t="e">
        <f ca="1"/>
        <v>#NUM!</v>
      </c>
      <c r="L276" s="248" t="e">
        <f ca="1"/>
        <v>#NUM!</v>
      </c>
      <c r="M276" s="22" t="e">
        <f ca="1"/>
        <v>#NUM!</v>
      </c>
      <c r="N276" s="22" t="e">
        <f ca="1"/>
        <v>#NUM!</v>
      </c>
      <c r="O276" s="22" t="e">
        <f ca="1"/>
        <v>#NUM!</v>
      </c>
    </row>
    <row r="277" spans="2:15">
      <c r="B277" s="22" t="e">
        <f ca="1"/>
        <v>#NUM!</v>
      </c>
      <c r="C277" s="22" t="e">
        <f ca="1"/>
        <v>#NUM!</v>
      </c>
      <c r="D277" s="22" t="e">
        <f ca="1"/>
        <v>#NUM!</v>
      </c>
      <c r="E277" s="22" t="e">
        <f ca="1"/>
        <v>#NUM!</v>
      </c>
      <c r="F277" s="234" t="e">
        <f ca="1"/>
        <v>#NUM!</v>
      </c>
      <c r="G277" s="22" t="e">
        <f ca="1"/>
        <v>#NUM!</v>
      </c>
      <c r="H277" s="22" t="e">
        <f ca="1"/>
        <v>#NUM!</v>
      </c>
      <c r="I277" s="22" t="e">
        <f ca="1"/>
        <v>#NUM!</v>
      </c>
      <c r="J277" s="248" t="e">
        <f ca="1"/>
        <v>#NUM!</v>
      </c>
      <c r="K277" s="248" t="e">
        <f ca="1"/>
        <v>#NUM!</v>
      </c>
      <c r="L277" s="248" t="e">
        <f ca="1"/>
        <v>#NUM!</v>
      </c>
      <c r="M277" s="22" t="e">
        <f ca="1"/>
        <v>#NUM!</v>
      </c>
      <c r="N277" s="22" t="e">
        <f ca="1"/>
        <v>#NUM!</v>
      </c>
      <c r="O277" s="22" t="e">
        <f ca="1"/>
        <v>#NUM!</v>
      </c>
    </row>
    <row r="278" spans="2:15">
      <c r="B278" s="22" t="e">
        <f ca="1"/>
        <v>#NUM!</v>
      </c>
      <c r="C278" s="22" t="e">
        <f ca="1"/>
        <v>#NUM!</v>
      </c>
      <c r="D278" s="22" t="e">
        <f ca="1"/>
        <v>#NUM!</v>
      </c>
      <c r="E278" s="22" t="e">
        <f ca="1"/>
        <v>#NUM!</v>
      </c>
      <c r="F278" s="234" t="e">
        <f ca="1"/>
        <v>#NUM!</v>
      </c>
      <c r="G278" s="22" t="e">
        <f ca="1"/>
        <v>#NUM!</v>
      </c>
      <c r="H278" s="22" t="e">
        <f ca="1"/>
        <v>#NUM!</v>
      </c>
      <c r="I278" s="22" t="e">
        <f ca="1"/>
        <v>#NUM!</v>
      </c>
      <c r="J278" s="248" t="e">
        <f ca="1"/>
        <v>#NUM!</v>
      </c>
      <c r="K278" s="248" t="e">
        <f ca="1"/>
        <v>#NUM!</v>
      </c>
      <c r="L278" s="248" t="e">
        <f ca="1"/>
        <v>#NUM!</v>
      </c>
      <c r="M278" s="22" t="e">
        <f ca="1"/>
        <v>#NUM!</v>
      </c>
      <c r="N278" s="22" t="e">
        <f ca="1"/>
        <v>#NUM!</v>
      </c>
      <c r="O278" s="22" t="e">
        <f ca="1"/>
        <v>#NUM!</v>
      </c>
    </row>
    <row r="279" spans="2:15">
      <c r="B279" s="22" t="e">
        <f ca="1"/>
        <v>#NUM!</v>
      </c>
      <c r="C279" s="22" t="e">
        <f ca="1"/>
        <v>#NUM!</v>
      </c>
      <c r="D279" s="22" t="e">
        <f ca="1"/>
        <v>#NUM!</v>
      </c>
      <c r="E279" s="22" t="e">
        <f ca="1"/>
        <v>#NUM!</v>
      </c>
      <c r="F279" s="234" t="e">
        <f ca="1"/>
        <v>#NUM!</v>
      </c>
      <c r="G279" s="22" t="e">
        <f ca="1"/>
        <v>#NUM!</v>
      </c>
      <c r="H279" s="22" t="e">
        <f ca="1"/>
        <v>#NUM!</v>
      </c>
      <c r="I279" s="22" t="e">
        <f ca="1"/>
        <v>#NUM!</v>
      </c>
      <c r="J279" s="248" t="e">
        <f ca="1"/>
        <v>#NUM!</v>
      </c>
      <c r="K279" s="248" t="e">
        <f ca="1"/>
        <v>#NUM!</v>
      </c>
      <c r="L279" s="248" t="e">
        <f ca="1"/>
        <v>#NUM!</v>
      </c>
      <c r="M279" s="22" t="e">
        <f ca="1"/>
        <v>#NUM!</v>
      </c>
      <c r="N279" s="22" t="e">
        <f ca="1"/>
        <v>#NUM!</v>
      </c>
      <c r="O279" s="22" t="e">
        <f ca="1"/>
        <v>#NUM!</v>
      </c>
    </row>
    <row r="280" spans="2:15">
      <c r="B280" s="22" t="e">
        <f ca="1"/>
        <v>#NUM!</v>
      </c>
      <c r="C280" s="22" t="e">
        <f ca="1"/>
        <v>#NUM!</v>
      </c>
      <c r="D280" s="22" t="e">
        <f ca="1"/>
        <v>#NUM!</v>
      </c>
      <c r="E280" s="22" t="e">
        <f ca="1"/>
        <v>#NUM!</v>
      </c>
      <c r="F280" s="234" t="e">
        <f ca="1"/>
        <v>#NUM!</v>
      </c>
      <c r="G280" s="22" t="e">
        <f ca="1"/>
        <v>#NUM!</v>
      </c>
      <c r="H280" s="22" t="e">
        <f ca="1"/>
        <v>#NUM!</v>
      </c>
      <c r="I280" s="22" t="e">
        <f ca="1"/>
        <v>#NUM!</v>
      </c>
      <c r="J280" s="248" t="e">
        <f ca="1"/>
        <v>#NUM!</v>
      </c>
      <c r="K280" s="248" t="e">
        <f ca="1"/>
        <v>#NUM!</v>
      </c>
      <c r="L280" s="248" t="e">
        <f ca="1"/>
        <v>#NUM!</v>
      </c>
      <c r="M280" s="22" t="e">
        <f ca="1"/>
        <v>#NUM!</v>
      </c>
      <c r="N280" s="22" t="e">
        <f ca="1"/>
        <v>#NUM!</v>
      </c>
      <c r="O280" s="22" t="e">
        <f ca="1"/>
        <v>#NUM!</v>
      </c>
    </row>
    <row r="281" spans="2:15">
      <c r="B281" s="22" t="e">
        <f ca="1"/>
        <v>#NUM!</v>
      </c>
      <c r="C281" s="22" t="e">
        <f ca="1"/>
        <v>#NUM!</v>
      </c>
      <c r="D281" s="22" t="e">
        <f ca="1"/>
        <v>#NUM!</v>
      </c>
      <c r="E281" s="22" t="e">
        <f ca="1"/>
        <v>#NUM!</v>
      </c>
      <c r="F281" s="234" t="e">
        <f ca="1"/>
        <v>#NUM!</v>
      </c>
      <c r="G281" s="22" t="e">
        <f ca="1"/>
        <v>#NUM!</v>
      </c>
      <c r="H281" s="22" t="e">
        <f ca="1"/>
        <v>#NUM!</v>
      </c>
      <c r="I281" s="22" t="e">
        <f ca="1"/>
        <v>#NUM!</v>
      </c>
      <c r="J281" s="248" t="e">
        <f ca="1"/>
        <v>#NUM!</v>
      </c>
      <c r="K281" s="248" t="e">
        <f ca="1"/>
        <v>#NUM!</v>
      </c>
      <c r="L281" s="248" t="e">
        <f ca="1"/>
        <v>#NUM!</v>
      </c>
      <c r="M281" s="22" t="e">
        <f ca="1"/>
        <v>#NUM!</v>
      </c>
      <c r="N281" s="22" t="e">
        <f ca="1"/>
        <v>#NUM!</v>
      </c>
      <c r="O281" s="22" t="e">
        <f ca="1"/>
        <v>#NUM!</v>
      </c>
    </row>
    <row r="282" spans="2:15">
      <c r="B282" s="22" t="e">
        <f ca="1"/>
        <v>#NUM!</v>
      </c>
      <c r="C282" s="22" t="e">
        <f ca="1"/>
        <v>#NUM!</v>
      </c>
      <c r="D282" s="22" t="e">
        <f ca="1"/>
        <v>#NUM!</v>
      </c>
      <c r="E282" s="22" t="e">
        <f ca="1"/>
        <v>#NUM!</v>
      </c>
      <c r="F282" s="234" t="e">
        <f ca="1"/>
        <v>#NUM!</v>
      </c>
      <c r="G282" s="22" t="e">
        <f ca="1"/>
        <v>#NUM!</v>
      </c>
      <c r="H282" s="22" t="e">
        <f ca="1"/>
        <v>#NUM!</v>
      </c>
      <c r="I282" s="22" t="e">
        <f ca="1"/>
        <v>#NUM!</v>
      </c>
      <c r="J282" s="248" t="e">
        <f ca="1"/>
        <v>#NUM!</v>
      </c>
      <c r="K282" s="248" t="e">
        <f ca="1"/>
        <v>#NUM!</v>
      </c>
      <c r="L282" s="248" t="e">
        <f ca="1"/>
        <v>#NUM!</v>
      </c>
      <c r="M282" s="22" t="e">
        <f ca="1"/>
        <v>#NUM!</v>
      </c>
      <c r="N282" s="22" t="e">
        <f ca="1"/>
        <v>#NUM!</v>
      </c>
      <c r="O282" s="22" t="e">
        <f ca="1"/>
        <v>#NUM!</v>
      </c>
    </row>
    <row r="283" spans="2:15">
      <c r="B283" s="22" t="e">
        <f ca="1"/>
        <v>#NUM!</v>
      </c>
      <c r="C283" s="22" t="e">
        <f ca="1"/>
        <v>#NUM!</v>
      </c>
      <c r="D283" s="22" t="e">
        <f ca="1"/>
        <v>#NUM!</v>
      </c>
      <c r="E283" s="22" t="e">
        <f ca="1"/>
        <v>#NUM!</v>
      </c>
      <c r="F283" s="234" t="e">
        <f ca="1"/>
        <v>#NUM!</v>
      </c>
      <c r="G283" s="22" t="e">
        <f ca="1"/>
        <v>#NUM!</v>
      </c>
      <c r="H283" s="22" t="e">
        <f ca="1"/>
        <v>#NUM!</v>
      </c>
      <c r="I283" s="22" t="e">
        <f ca="1"/>
        <v>#NUM!</v>
      </c>
      <c r="J283" s="248" t="e">
        <f ca="1"/>
        <v>#NUM!</v>
      </c>
      <c r="K283" s="248" t="e">
        <f ca="1"/>
        <v>#NUM!</v>
      </c>
      <c r="L283" s="248" t="e">
        <f ca="1"/>
        <v>#NUM!</v>
      </c>
      <c r="M283" s="22" t="e">
        <f ca="1"/>
        <v>#NUM!</v>
      </c>
      <c r="N283" s="22" t="e">
        <f ca="1"/>
        <v>#NUM!</v>
      </c>
      <c r="O283" s="22" t="e">
        <f ca="1"/>
        <v>#NUM!</v>
      </c>
    </row>
    <row r="284" spans="2:15">
      <c r="B284" s="22" t="e">
        <f ca="1"/>
        <v>#NUM!</v>
      </c>
      <c r="C284" s="22" t="e">
        <f ca="1"/>
        <v>#NUM!</v>
      </c>
      <c r="D284" s="22" t="e">
        <f ca="1"/>
        <v>#NUM!</v>
      </c>
      <c r="E284" s="22" t="e">
        <f ca="1"/>
        <v>#NUM!</v>
      </c>
      <c r="F284" s="234" t="e">
        <f ca="1"/>
        <v>#NUM!</v>
      </c>
      <c r="G284" s="22" t="e">
        <f ca="1"/>
        <v>#NUM!</v>
      </c>
      <c r="H284" s="22" t="e">
        <f ca="1"/>
        <v>#NUM!</v>
      </c>
      <c r="I284" s="22" t="e">
        <f ca="1"/>
        <v>#NUM!</v>
      </c>
      <c r="J284" s="248" t="e">
        <f ca="1"/>
        <v>#NUM!</v>
      </c>
      <c r="K284" s="248" t="e">
        <f ca="1"/>
        <v>#NUM!</v>
      </c>
      <c r="L284" s="248" t="e">
        <f ca="1"/>
        <v>#NUM!</v>
      </c>
      <c r="M284" s="22" t="e">
        <f ca="1"/>
        <v>#NUM!</v>
      </c>
      <c r="N284" s="22" t="e">
        <f ca="1"/>
        <v>#NUM!</v>
      </c>
      <c r="O284" s="22" t="e">
        <f ca="1"/>
        <v>#NUM!</v>
      </c>
    </row>
    <row r="285" spans="2:15">
      <c r="B285" s="22" t="e">
        <f ca="1"/>
        <v>#NUM!</v>
      </c>
      <c r="C285" s="22" t="e">
        <f ca="1"/>
        <v>#NUM!</v>
      </c>
      <c r="D285" s="22" t="e">
        <f ca="1"/>
        <v>#NUM!</v>
      </c>
      <c r="E285" s="22" t="e">
        <f ca="1"/>
        <v>#NUM!</v>
      </c>
      <c r="F285" s="234" t="e">
        <f ca="1"/>
        <v>#NUM!</v>
      </c>
      <c r="G285" s="22" t="e">
        <f ca="1"/>
        <v>#NUM!</v>
      </c>
      <c r="H285" s="22" t="e">
        <f ca="1"/>
        <v>#NUM!</v>
      </c>
      <c r="I285" s="22" t="e">
        <f ca="1"/>
        <v>#NUM!</v>
      </c>
      <c r="J285" s="248" t="e">
        <f ca="1"/>
        <v>#NUM!</v>
      </c>
      <c r="K285" s="248" t="e">
        <f ca="1"/>
        <v>#NUM!</v>
      </c>
      <c r="L285" s="248" t="e">
        <f ca="1"/>
        <v>#NUM!</v>
      </c>
      <c r="M285" s="22" t="e">
        <f ca="1"/>
        <v>#NUM!</v>
      </c>
      <c r="N285" s="22" t="e">
        <f ca="1"/>
        <v>#NUM!</v>
      </c>
      <c r="O285" s="22" t="e">
        <f ca="1"/>
        <v>#NUM!</v>
      </c>
    </row>
    <row r="286" spans="2:15">
      <c r="B286" s="22" t="e">
        <f ca="1"/>
        <v>#NUM!</v>
      </c>
      <c r="C286" s="22" t="e">
        <f ca="1"/>
        <v>#NUM!</v>
      </c>
      <c r="D286" s="22" t="e">
        <f ca="1"/>
        <v>#NUM!</v>
      </c>
      <c r="E286" s="22" t="e">
        <f ca="1"/>
        <v>#NUM!</v>
      </c>
      <c r="F286" s="234" t="e">
        <f ca="1"/>
        <v>#NUM!</v>
      </c>
      <c r="G286" s="22" t="e">
        <f ca="1"/>
        <v>#NUM!</v>
      </c>
      <c r="H286" s="22" t="e">
        <f ca="1"/>
        <v>#NUM!</v>
      </c>
      <c r="I286" s="22" t="e">
        <f ca="1"/>
        <v>#NUM!</v>
      </c>
      <c r="J286" s="248" t="e">
        <f ca="1"/>
        <v>#NUM!</v>
      </c>
      <c r="K286" s="248" t="e">
        <f ca="1"/>
        <v>#NUM!</v>
      </c>
      <c r="L286" s="248" t="e">
        <f ca="1"/>
        <v>#NUM!</v>
      </c>
      <c r="M286" s="22" t="e">
        <f ca="1"/>
        <v>#NUM!</v>
      </c>
      <c r="N286" s="22" t="e">
        <f ca="1"/>
        <v>#NUM!</v>
      </c>
      <c r="O286" s="22" t="e">
        <f ca="1"/>
        <v>#NUM!</v>
      </c>
    </row>
    <row r="287" spans="2:15">
      <c r="B287" s="22" t="e">
        <f ca="1"/>
        <v>#NUM!</v>
      </c>
      <c r="C287" s="22" t="e">
        <f ca="1"/>
        <v>#NUM!</v>
      </c>
      <c r="D287" s="22" t="e">
        <f ca="1"/>
        <v>#NUM!</v>
      </c>
      <c r="E287" s="22" t="e">
        <f ca="1"/>
        <v>#NUM!</v>
      </c>
      <c r="F287" s="234" t="e">
        <f ca="1"/>
        <v>#NUM!</v>
      </c>
      <c r="G287" s="22" t="e">
        <f ca="1"/>
        <v>#NUM!</v>
      </c>
      <c r="H287" s="22" t="e">
        <f ca="1"/>
        <v>#NUM!</v>
      </c>
      <c r="I287" s="22" t="e">
        <f ca="1"/>
        <v>#NUM!</v>
      </c>
      <c r="J287" s="248" t="e">
        <f ca="1"/>
        <v>#NUM!</v>
      </c>
      <c r="K287" s="248" t="e">
        <f ca="1"/>
        <v>#NUM!</v>
      </c>
      <c r="L287" s="248" t="e">
        <f ca="1"/>
        <v>#NUM!</v>
      </c>
      <c r="M287" s="22" t="e">
        <f ca="1"/>
        <v>#NUM!</v>
      </c>
      <c r="N287" s="22" t="e">
        <f ca="1"/>
        <v>#NUM!</v>
      </c>
      <c r="O287" s="22" t="e">
        <f ca="1"/>
        <v>#NUM!</v>
      </c>
    </row>
    <row r="288" spans="2:15">
      <c r="B288" s="22" t="e">
        <f ca="1"/>
        <v>#NUM!</v>
      </c>
      <c r="C288" s="22" t="e">
        <f ca="1"/>
        <v>#NUM!</v>
      </c>
      <c r="D288" s="22" t="e">
        <f ca="1"/>
        <v>#NUM!</v>
      </c>
      <c r="E288" s="22" t="e">
        <f ca="1"/>
        <v>#NUM!</v>
      </c>
      <c r="F288" s="234" t="e">
        <f ca="1"/>
        <v>#NUM!</v>
      </c>
      <c r="G288" s="22" t="e">
        <f ca="1"/>
        <v>#NUM!</v>
      </c>
      <c r="H288" s="22" t="e">
        <f ca="1"/>
        <v>#NUM!</v>
      </c>
      <c r="I288" s="22" t="e">
        <f ca="1"/>
        <v>#NUM!</v>
      </c>
      <c r="J288" s="248" t="e">
        <f ca="1"/>
        <v>#NUM!</v>
      </c>
      <c r="K288" s="248" t="e">
        <f ca="1"/>
        <v>#NUM!</v>
      </c>
      <c r="L288" s="248" t="e">
        <f ca="1"/>
        <v>#NUM!</v>
      </c>
      <c r="M288" s="22" t="e">
        <f ca="1"/>
        <v>#NUM!</v>
      </c>
      <c r="N288" s="22" t="e">
        <f ca="1"/>
        <v>#NUM!</v>
      </c>
      <c r="O288" s="22" t="e">
        <f ca="1"/>
        <v>#NUM!</v>
      </c>
    </row>
    <row r="289" spans="2:15">
      <c r="B289" s="22" t="e">
        <f ca="1"/>
        <v>#NUM!</v>
      </c>
      <c r="C289" s="22" t="e">
        <f ca="1"/>
        <v>#NUM!</v>
      </c>
      <c r="D289" s="22" t="e">
        <f ca="1"/>
        <v>#NUM!</v>
      </c>
      <c r="E289" s="22" t="e">
        <f ca="1"/>
        <v>#NUM!</v>
      </c>
      <c r="F289" s="234" t="e">
        <f ca="1"/>
        <v>#NUM!</v>
      </c>
      <c r="G289" s="22" t="e">
        <f ca="1"/>
        <v>#NUM!</v>
      </c>
      <c r="H289" s="22" t="e">
        <f ca="1"/>
        <v>#NUM!</v>
      </c>
      <c r="I289" s="22" t="e">
        <f ca="1"/>
        <v>#NUM!</v>
      </c>
      <c r="J289" s="248" t="e">
        <f ca="1"/>
        <v>#NUM!</v>
      </c>
      <c r="K289" s="248" t="e">
        <f ca="1"/>
        <v>#NUM!</v>
      </c>
      <c r="L289" s="248" t="e">
        <f ca="1"/>
        <v>#NUM!</v>
      </c>
      <c r="M289" s="22" t="e">
        <f ca="1"/>
        <v>#NUM!</v>
      </c>
      <c r="N289" s="22" t="e">
        <f ca="1"/>
        <v>#NUM!</v>
      </c>
      <c r="O289" s="22" t="e">
        <f ca="1"/>
        <v>#NUM!</v>
      </c>
    </row>
    <row r="290" spans="2:15">
      <c r="B290" s="22" t="e">
        <f ca="1"/>
        <v>#NUM!</v>
      </c>
      <c r="C290" s="22" t="e">
        <f ca="1"/>
        <v>#NUM!</v>
      </c>
      <c r="D290" s="22" t="e">
        <f ca="1"/>
        <v>#NUM!</v>
      </c>
      <c r="E290" s="22" t="e">
        <f ca="1"/>
        <v>#NUM!</v>
      </c>
      <c r="F290" s="234" t="e">
        <f ca="1"/>
        <v>#NUM!</v>
      </c>
      <c r="G290" s="22" t="e">
        <f ca="1"/>
        <v>#NUM!</v>
      </c>
      <c r="H290" s="22" t="e">
        <f ca="1"/>
        <v>#NUM!</v>
      </c>
      <c r="I290" s="22" t="e">
        <f ca="1"/>
        <v>#NUM!</v>
      </c>
      <c r="J290" s="248" t="e">
        <f ca="1"/>
        <v>#NUM!</v>
      </c>
      <c r="K290" s="248" t="e">
        <f ca="1"/>
        <v>#NUM!</v>
      </c>
      <c r="L290" s="248" t="e">
        <f ca="1"/>
        <v>#NUM!</v>
      </c>
      <c r="M290" s="22" t="e">
        <f ca="1"/>
        <v>#NUM!</v>
      </c>
      <c r="N290" s="22" t="e">
        <f ca="1"/>
        <v>#NUM!</v>
      </c>
      <c r="O290" s="22" t="e">
        <f ca="1"/>
        <v>#NUM!</v>
      </c>
    </row>
    <row r="291" spans="2:15">
      <c r="B291" s="22" t="e">
        <f ca="1"/>
        <v>#NUM!</v>
      </c>
      <c r="C291" s="22" t="e">
        <f ca="1"/>
        <v>#NUM!</v>
      </c>
      <c r="D291" s="22" t="e">
        <f ca="1"/>
        <v>#NUM!</v>
      </c>
      <c r="E291" s="22" t="e">
        <f ca="1"/>
        <v>#NUM!</v>
      </c>
      <c r="F291" s="234" t="e">
        <f ca="1"/>
        <v>#NUM!</v>
      </c>
      <c r="G291" s="22" t="e">
        <f ca="1"/>
        <v>#NUM!</v>
      </c>
      <c r="H291" s="22" t="e">
        <f ca="1"/>
        <v>#NUM!</v>
      </c>
      <c r="I291" s="22" t="e">
        <f ca="1"/>
        <v>#NUM!</v>
      </c>
      <c r="J291" s="248" t="e">
        <f ca="1"/>
        <v>#NUM!</v>
      </c>
      <c r="K291" s="248" t="e">
        <f ca="1"/>
        <v>#NUM!</v>
      </c>
      <c r="L291" s="248" t="e">
        <f ca="1"/>
        <v>#NUM!</v>
      </c>
      <c r="M291" s="22" t="e">
        <f ca="1"/>
        <v>#NUM!</v>
      </c>
      <c r="N291" s="22" t="e">
        <f ca="1"/>
        <v>#NUM!</v>
      </c>
      <c r="O291" s="22" t="e">
        <f ca="1"/>
        <v>#NUM!</v>
      </c>
    </row>
    <row r="292" spans="2:15">
      <c r="B292" s="22" t="e">
        <f ca="1"/>
        <v>#NUM!</v>
      </c>
      <c r="C292" s="22" t="e">
        <f ca="1"/>
        <v>#NUM!</v>
      </c>
      <c r="D292" s="22" t="e">
        <f ca="1"/>
        <v>#NUM!</v>
      </c>
      <c r="E292" s="22" t="e">
        <f ca="1"/>
        <v>#NUM!</v>
      </c>
      <c r="F292" s="234" t="e">
        <f ca="1"/>
        <v>#NUM!</v>
      </c>
      <c r="G292" s="22" t="e">
        <f ca="1"/>
        <v>#NUM!</v>
      </c>
      <c r="H292" s="22" t="e">
        <f ca="1"/>
        <v>#NUM!</v>
      </c>
      <c r="I292" s="22" t="e">
        <f ca="1"/>
        <v>#NUM!</v>
      </c>
      <c r="J292" s="248" t="e">
        <f ca="1"/>
        <v>#NUM!</v>
      </c>
      <c r="K292" s="248" t="e">
        <f ca="1"/>
        <v>#NUM!</v>
      </c>
      <c r="L292" s="248" t="e">
        <f ca="1"/>
        <v>#NUM!</v>
      </c>
      <c r="M292" s="22" t="e">
        <f ca="1"/>
        <v>#NUM!</v>
      </c>
      <c r="N292" s="22" t="e">
        <f ca="1"/>
        <v>#NUM!</v>
      </c>
      <c r="O292" s="22" t="e">
        <f ca="1"/>
        <v>#NUM!</v>
      </c>
    </row>
    <row r="293" spans="2:15">
      <c r="B293" s="22" t="e">
        <f ca="1"/>
        <v>#NUM!</v>
      </c>
      <c r="C293" s="22" t="e">
        <f ca="1"/>
        <v>#NUM!</v>
      </c>
      <c r="D293" s="22" t="e">
        <f ca="1"/>
        <v>#NUM!</v>
      </c>
      <c r="E293" s="22" t="e">
        <f ca="1"/>
        <v>#NUM!</v>
      </c>
      <c r="F293" s="234" t="e">
        <f ca="1"/>
        <v>#NUM!</v>
      </c>
      <c r="G293" s="22" t="e">
        <f ca="1"/>
        <v>#NUM!</v>
      </c>
      <c r="H293" s="22" t="e">
        <f ca="1"/>
        <v>#NUM!</v>
      </c>
      <c r="I293" s="22" t="e">
        <f ca="1"/>
        <v>#NUM!</v>
      </c>
      <c r="J293" s="248" t="e">
        <f ca="1"/>
        <v>#NUM!</v>
      </c>
      <c r="K293" s="248" t="e">
        <f ca="1"/>
        <v>#NUM!</v>
      </c>
      <c r="L293" s="248" t="e">
        <f ca="1"/>
        <v>#NUM!</v>
      </c>
      <c r="M293" s="22" t="e">
        <f ca="1"/>
        <v>#NUM!</v>
      </c>
      <c r="N293" s="22" t="e">
        <f ca="1"/>
        <v>#NUM!</v>
      </c>
      <c r="O293" s="22" t="e">
        <f ca="1"/>
        <v>#NUM!</v>
      </c>
    </row>
    <row r="294" spans="2:15">
      <c r="B294" s="22" t="e">
        <f ca="1"/>
        <v>#NUM!</v>
      </c>
      <c r="C294" s="22" t="e">
        <f ca="1"/>
        <v>#NUM!</v>
      </c>
      <c r="D294" s="22" t="e">
        <f ca="1"/>
        <v>#NUM!</v>
      </c>
      <c r="E294" s="22" t="e">
        <f ca="1"/>
        <v>#NUM!</v>
      </c>
      <c r="F294" s="234" t="e">
        <f ca="1"/>
        <v>#NUM!</v>
      </c>
      <c r="G294" s="22" t="e">
        <f ca="1"/>
        <v>#NUM!</v>
      </c>
      <c r="H294" s="22" t="e">
        <f ca="1"/>
        <v>#NUM!</v>
      </c>
      <c r="I294" s="22" t="e">
        <f ca="1"/>
        <v>#NUM!</v>
      </c>
      <c r="J294" s="248" t="e">
        <f ca="1"/>
        <v>#NUM!</v>
      </c>
      <c r="K294" s="248" t="e">
        <f ca="1"/>
        <v>#NUM!</v>
      </c>
      <c r="L294" s="248" t="e">
        <f ca="1"/>
        <v>#NUM!</v>
      </c>
      <c r="M294" s="22" t="e">
        <f ca="1"/>
        <v>#NUM!</v>
      </c>
      <c r="N294" s="22" t="e">
        <f ca="1"/>
        <v>#NUM!</v>
      </c>
      <c r="O294" s="22" t="e">
        <f ca="1"/>
        <v>#NUM!</v>
      </c>
    </row>
    <row r="295" spans="2:15">
      <c r="B295" s="22" t="e">
        <f ca="1"/>
        <v>#NUM!</v>
      </c>
      <c r="C295" s="22" t="e">
        <f ca="1"/>
        <v>#NUM!</v>
      </c>
      <c r="D295" s="22" t="e">
        <f ca="1"/>
        <v>#NUM!</v>
      </c>
      <c r="E295" s="22" t="e">
        <f ca="1"/>
        <v>#NUM!</v>
      </c>
      <c r="F295" s="234" t="e">
        <f ca="1"/>
        <v>#NUM!</v>
      </c>
      <c r="G295" s="22" t="e">
        <f ca="1"/>
        <v>#NUM!</v>
      </c>
      <c r="H295" s="22" t="e">
        <f ca="1"/>
        <v>#NUM!</v>
      </c>
      <c r="I295" s="22" t="e">
        <f ca="1"/>
        <v>#NUM!</v>
      </c>
      <c r="J295" s="248" t="e">
        <f ca="1"/>
        <v>#NUM!</v>
      </c>
      <c r="K295" s="248" t="e">
        <f ca="1"/>
        <v>#NUM!</v>
      </c>
      <c r="L295" s="248" t="e">
        <f ca="1"/>
        <v>#NUM!</v>
      </c>
      <c r="M295" s="22" t="e">
        <f ca="1"/>
        <v>#NUM!</v>
      </c>
      <c r="N295" s="22" t="e">
        <f ca="1"/>
        <v>#NUM!</v>
      </c>
      <c r="O295" s="22" t="e">
        <f ca="1"/>
        <v>#NUM!</v>
      </c>
    </row>
    <row r="296" spans="2:15">
      <c r="B296" s="22" t="e">
        <f ca="1"/>
        <v>#NUM!</v>
      </c>
      <c r="C296" s="22" t="e">
        <f ca="1"/>
        <v>#NUM!</v>
      </c>
      <c r="D296" s="22" t="e">
        <f ca="1"/>
        <v>#NUM!</v>
      </c>
      <c r="E296" s="22" t="e">
        <f ca="1"/>
        <v>#NUM!</v>
      </c>
      <c r="F296" s="234" t="e">
        <f ca="1"/>
        <v>#NUM!</v>
      </c>
      <c r="G296" s="22" t="e">
        <f ca="1"/>
        <v>#NUM!</v>
      </c>
      <c r="H296" s="22" t="e">
        <f ca="1"/>
        <v>#NUM!</v>
      </c>
      <c r="I296" s="22" t="e">
        <f ca="1"/>
        <v>#NUM!</v>
      </c>
      <c r="J296" s="248" t="e">
        <f ca="1"/>
        <v>#NUM!</v>
      </c>
      <c r="K296" s="248" t="e">
        <f ca="1"/>
        <v>#NUM!</v>
      </c>
      <c r="L296" s="248" t="e">
        <f ca="1"/>
        <v>#NUM!</v>
      </c>
      <c r="M296" s="22" t="e">
        <f ca="1"/>
        <v>#NUM!</v>
      </c>
      <c r="N296" s="22" t="e">
        <f ca="1"/>
        <v>#NUM!</v>
      </c>
      <c r="O296" s="22" t="e">
        <f ca="1"/>
        <v>#NUM!</v>
      </c>
    </row>
    <row r="297" spans="2:15">
      <c r="B297" s="22" t="e">
        <f ca="1"/>
        <v>#NUM!</v>
      </c>
      <c r="C297" s="22" t="e">
        <f ca="1"/>
        <v>#NUM!</v>
      </c>
      <c r="D297" s="22" t="e">
        <f ca="1"/>
        <v>#NUM!</v>
      </c>
      <c r="E297" s="22" t="e">
        <f ca="1"/>
        <v>#NUM!</v>
      </c>
      <c r="F297" s="234" t="e">
        <f ca="1"/>
        <v>#NUM!</v>
      </c>
      <c r="G297" s="22" t="e">
        <f ca="1"/>
        <v>#NUM!</v>
      </c>
      <c r="H297" s="22" t="e">
        <f ca="1"/>
        <v>#NUM!</v>
      </c>
      <c r="I297" s="22" t="e">
        <f ca="1"/>
        <v>#NUM!</v>
      </c>
      <c r="J297" s="248" t="e">
        <f ca="1"/>
        <v>#NUM!</v>
      </c>
      <c r="K297" s="248" t="e">
        <f ca="1"/>
        <v>#NUM!</v>
      </c>
      <c r="L297" s="248" t="e">
        <f ca="1"/>
        <v>#NUM!</v>
      </c>
      <c r="M297" s="22" t="e">
        <f ca="1"/>
        <v>#NUM!</v>
      </c>
      <c r="N297" s="22" t="e">
        <f ca="1"/>
        <v>#NUM!</v>
      </c>
      <c r="O297" s="22" t="e">
        <f ca="1"/>
        <v>#NUM!</v>
      </c>
    </row>
    <row r="298" spans="2:15">
      <c r="B298" s="22" t="e">
        <f ca="1"/>
        <v>#NUM!</v>
      </c>
      <c r="C298" s="22" t="e">
        <f ca="1"/>
        <v>#NUM!</v>
      </c>
      <c r="D298" s="22" t="e">
        <f ca="1"/>
        <v>#NUM!</v>
      </c>
      <c r="E298" s="22" t="e">
        <f ca="1"/>
        <v>#NUM!</v>
      </c>
      <c r="F298" s="234" t="e">
        <f ca="1"/>
        <v>#NUM!</v>
      </c>
      <c r="G298" s="22" t="e">
        <f ca="1"/>
        <v>#NUM!</v>
      </c>
      <c r="H298" s="22" t="e">
        <f ca="1"/>
        <v>#NUM!</v>
      </c>
      <c r="I298" s="22" t="e">
        <f ca="1"/>
        <v>#NUM!</v>
      </c>
      <c r="J298" s="248" t="e">
        <f ca="1"/>
        <v>#NUM!</v>
      </c>
      <c r="K298" s="248" t="e">
        <f ca="1"/>
        <v>#NUM!</v>
      </c>
      <c r="L298" s="248" t="e">
        <f ca="1"/>
        <v>#NUM!</v>
      </c>
      <c r="M298" s="22" t="e">
        <f ca="1"/>
        <v>#NUM!</v>
      </c>
      <c r="N298" s="22" t="e">
        <f ca="1"/>
        <v>#NUM!</v>
      </c>
      <c r="O298" s="22" t="e">
        <f ca="1"/>
        <v>#NUM!</v>
      </c>
    </row>
    <row r="299" spans="2:15">
      <c r="B299" s="22" t="e">
        <f ca="1"/>
        <v>#NUM!</v>
      </c>
      <c r="C299" s="22" t="e">
        <f ca="1"/>
        <v>#NUM!</v>
      </c>
      <c r="D299" s="22" t="e">
        <f ca="1"/>
        <v>#NUM!</v>
      </c>
      <c r="E299" s="22" t="e">
        <f ca="1"/>
        <v>#NUM!</v>
      </c>
      <c r="F299" s="234" t="e">
        <f ca="1"/>
        <v>#NUM!</v>
      </c>
      <c r="G299" s="22" t="e">
        <f ca="1"/>
        <v>#NUM!</v>
      </c>
      <c r="H299" s="22" t="e">
        <f ca="1"/>
        <v>#NUM!</v>
      </c>
      <c r="I299" s="22" t="e">
        <f ca="1"/>
        <v>#NUM!</v>
      </c>
      <c r="J299" s="248" t="e">
        <f ca="1"/>
        <v>#NUM!</v>
      </c>
      <c r="K299" s="248" t="e">
        <f ca="1"/>
        <v>#NUM!</v>
      </c>
      <c r="L299" s="248" t="e">
        <f ca="1"/>
        <v>#NUM!</v>
      </c>
      <c r="M299" s="22" t="e">
        <f ca="1"/>
        <v>#NUM!</v>
      </c>
      <c r="N299" s="22" t="e">
        <f ca="1"/>
        <v>#NUM!</v>
      </c>
      <c r="O299" s="22" t="e">
        <f ca="1"/>
        <v>#NUM!</v>
      </c>
    </row>
    <row r="300" spans="2:15">
      <c r="B300" s="22" t="e">
        <f ca="1"/>
        <v>#NUM!</v>
      </c>
      <c r="C300" s="22" t="e">
        <f ca="1"/>
        <v>#NUM!</v>
      </c>
      <c r="D300" s="22" t="e">
        <f ca="1"/>
        <v>#NUM!</v>
      </c>
      <c r="E300" s="22" t="e">
        <f ca="1"/>
        <v>#NUM!</v>
      </c>
      <c r="F300" s="234" t="e">
        <f ca="1"/>
        <v>#NUM!</v>
      </c>
      <c r="G300" s="22" t="e">
        <f ca="1"/>
        <v>#NUM!</v>
      </c>
      <c r="H300" s="22" t="e">
        <f ca="1"/>
        <v>#NUM!</v>
      </c>
      <c r="I300" s="22" t="e">
        <f ca="1"/>
        <v>#NUM!</v>
      </c>
      <c r="J300" s="248" t="e">
        <f ca="1"/>
        <v>#NUM!</v>
      </c>
      <c r="K300" s="248" t="e">
        <f ca="1"/>
        <v>#NUM!</v>
      </c>
      <c r="L300" s="248" t="e">
        <f ca="1"/>
        <v>#NUM!</v>
      </c>
      <c r="M300" s="22" t="e">
        <f ca="1"/>
        <v>#NUM!</v>
      </c>
      <c r="N300" s="22" t="e">
        <f ca="1"/>
        <v>#NUM!</v>
      </c>
      <c r="O300" s="22" t="e">
        <f ca="1"/>
        <v>#NUM!</v>
      </c>
    </row>
    <row r="301" spans="2:15">
      <c r="B301" s="22" t="e">
        <f ca="1"/>
        <v>#NUM!</v>
      </c>
      <c r="C301" s="22" t="e">
        <f ca="1"/>
        <v>#NUM!</v>
      </c>
      <c r="D301" s="22" t="e">
        <f ca="1"/>
        <v>#NUM!</v>
      </c>
      <c r="E301" s="22" t="e">
        <f ca="1"/>
        <v>#NUM!</v>
      </c>
      <c r="F301" s="234" t="e">
        <f ca="1"/>
        <v>#NUM!</v>
      </c>
      <c r="G301" s="22" t="e">
        <f ca="1"/>
        <v>#NUM!</v>
      </c>
      <c r="H301" s="22" t="e">
        <f ca="1"/>
        <v>#NUM!</v>
      </c>
      <c r="I301" s="22" t="e">
        <f ca="1"/>
        <v>#NUM!</v>
      </c>
      <c r="J301" s="248" t="e">
        <f ca="1"/>
        <v>#NUM!</v>
      </c>
      <c r="K301" s="248" t="e">
        <f ca="1"/>
        <v>#NUM!</v>
      </c>
      <c r="L301" s="248" t="e">
        <f ca="1"/>
        <v>#NUM!</v>
      </c>
      <c r="M301" s="22" t="e">
        <f ca="1"/>
        <v>#NUM!</v>
      </c>
      <c r="N301" s="22" t="e">
        <f ca="1"/>
        <v>#NUM!</v>
      </c>
      <c r="O301" s="22" t="e">
        <f ca="1"/>
        <v>#NUM!</v>
      </c>
    </row>
    <row r="302" spans="2:15">
      <c r="B302" s="22" t="e">
        <f ca="1"/>
        <v>#NUM!</v>
      </c>
      <c r="C302" s="22" t="e">
        <f ca="1"/>
        <v>#NUM!</v>
      </c>
      <c r="D302" s="22" t="e">
        <f ca="1"/>
        <v>#NUM!</v>
      </c>
      <c r="E302" s="22" t="e">
        <f ca="1"/>
        <v>#NUM!</v>
      </c>
      <c r="F302" s="234" t="e">
        <f ca="1"/>
        <v>#NUM!</v>
      </c>
      <c r="G302" s="22" t="e">
        <f ca="1"/>
        <v>#NUM!</v>
      </c>
      <c r="H302" s="22" t="e">
        <f ca="1"/>
        <v>#NUM!</v>
      </c>
      <c r="I302" s="22" t="e">
        <f ca="1"/>
        <v>#NUM!</v>
      </c>
      <c r="J302" s="248" t="e">
        <f ca="1"/>
        <v>#NUM!</v>
      </c>
      <c r="K302" s="248" t="e">
        <f ca="1"/>
        <v>#NUM!</v>
      </c>
      <c r="L302" s="248" t="e">
        <f ca="1"/>
        <v>#NUM!</v>
      </c>
      <c r="M302" s="22" t="e">
        <f ca="1"/>
        <v>#NUM!</v>
      </c>
      <c r="N302" s="22" t="e">
        <f ca="1"/>
        <v>#NUM!</v>
      </c>
      <c r="O302" s="22" t="e">
        <f ca="1"/>
        <v>#NUM!</v>
      </c>
    </row>
    <row r="303" spans="2:15">
      <c r="B303" s="22" t="e">
        <f ca="1"/>
        <v>#NUM!</v>
      </c>
      <c r="C303" s="22" t="e">
        <f ca="1"/>
        <v>#NUM!</v>
      </c>
      <c r="D303" s="22" t="e">
        <f ca="1"/>
        <v>#NUM!</v>
      </c>
      <c r="E303" s="22" t="e">
        <f ca="1"/>
        <v>#NUM!</v>
      </c>
      <c r="F303" s="234" t="e">
        <f ca="1"/>
        <v>#NUM!</v>
      </c>
      <c r="G303" s="22" t="e">
        <f ca="1"/>
        <v>#NUM!</v>
      </c>
      <c r="H303" s="22" t="e">
        <f ca="1"/>
        <v>#NUM!</v>
      </c>
      <c r="I303" s="22" t="e">
        <f ca="1"/>
        <v>#NUM!</v>
      </c>
      <c r="J303" s="248" t="e">
        <f ca="1"/>
        <v>#NUM!</v>
      </c>
      <c r="K303" s="248" t="e">
        <f ca="1"/>
        <v>#NUM!</v>
      </c>
      <c r="L303" s="248" t="e">
        <f ca="1"/>
        <v>#NUM!</v>
      </c>
      <c r="M303" s="22" t="e">
        <f ca="1"/>
        <v>#NUM!</v>
      </c>
      <c r="N303" s="22" t="e">
        <f ca="1"/>
        <v>#NUM!</v>
      </c>
      <c r="O303" s="22" t="e">
        <f ca="1"/>
        <v>#NUM!</v>
      </c>
    </row>
    <row r="304" spans="2:15">
      <c r="B304" s="22" t="e">
        <f ca="1"/>
        <v>#NUM!</v>
      </c>
      <c r="C304" s="22" t="e">
        <f ca="1"/>
        <v>#NUM!</v>
      </c>
      <c r="D304" s="22" t="e">
        <f ca="1"/>
        <v>#NUM!</v>
      </c>
      <c r="E304" s="22" t="e">
        <f ca="1"/>
        <v>#NUM!</v>
      </c>
      <c r="F304" s="234" t="e">
        <f ca="1"/>
        <v>#NUM!</v>
      </c>
      <c r="G304" s="22" t="e">
        <f ca="1"/>
        <v>#NUM!</v>
      </c>
      <c r="H304" s="22" t="e">
        <f ca="1"/>
        <v>#NUM!</v>
      </c>
      <c r="I304" s="22" t="e">
        <f ca="1"/>
        <v>#NUM!</v>
      </c>
      <c r="J304" s="248" t="e">
        <f ca="1"/>
        <v>#NUM!</v>
      </c>
      <c r="K304" s="248" t="e">
        <f ca="1"/>
        <v>#NUM!</v>
      </c>
      <c r="L304" s="248" t="e">
        <f ca="1"/>
        <v>#NUM!</v>
      </c>
      <c r="M304" s="22" t="e">
        <f ca="1"/>
        <v>#NUM!</v>
      </c>
      <c r="N304" s="22" t="e">
        <f ca="1"/>
        <v>#NUM!</v>
      </c>
      <c r="O304" s="22" t="e">
        <f ca="1"/>
        <v>#NUM!</v>
      </c>
    </row>
    <row r="305" spans="2:15">
      <c r="B305" s="22" t="e">
        <f ca="1"/>
        <v>#NUM!</v>
      </c>
      <c r="C305" s="22" t="e">
        <f ca="1"/>
        <v>#NUM!</v>
      </c>
      <c r="D305" s="22" t="e">
        <f ca="1"/>
        <v>#NUM!</v>
      </c>
      <c r="E305" s="22" t="e">
        <f ca="1"/>
        <v>#NUM!</v>
      </c>
      <c r="F305" s="234" t="e">
        <f ca="1"/>
        <v>#NUM!</v>
      </c>
      <c r="G305" s="22" t="e">
        <f ca="1"/>
        <v>#NUM!</v>
      </c>
      <c r="H305" s="22" t="e">
        <f ca="1"/>
        <v>#NUM!</v>
      </c>
      <c r="I305" s="22" t="e">
        <f ca="1"/>
        <v>#NUM!</v>
      </c>
      <c r="J305" s="248" t="e">
        <f ca="1"/>
        <v>#NUM!</v>
      </c>
      <c r="K305" s="248" t="e">
        <f ca="1"/>
        <v>#NUM!</v>
      </c>
      <c r="L305" s="248" t="e">
        <f ca="1"/>
        <v>#NUM!</v>
      </c>
      <c r="M305" s="22" t="e">
        <f ca="1"/>
        <v>#NUM!</v>
      </c>
      <c r="N305" s="22" t="e">
        <f ca="1"/>
        <v>#NUM!</v>
      </c>
      <c r="O305" s="22" t="e">
        <f ca="1"/>
        <v>#NUM!</v>
      </c>
    </row>
    <row r="306" spans="2:15">
      <c r="B306" s="22" t="e">
        <f ca="1"/>
        <v>#NUM!</v>
      </c>
      <c r="C306" s="22" t="e">
        <f ca="1"/>
        <v>#NUM!</v>
      </c>
      <c r="D306" s="22" t="e">
        <f ca="1"/>
        <v>#NUM!</v>
      </c>
      <c r="E306" s="22" t="e">
        <f ca="1"/>
        <v>#NUM!</v>
      </c>
      <c r="F306" s="234" t="e">
        <f ca="1"/>
        <v>#NUM!</v>
      </c>
      <c r="G306" s="22" t="e">
        <f ca="1"/>
        <v>#NUM!</v>
      </c>
      <c r="H306" s="22" t="e">
        <f ca="1"/>
        <v>#NUM!</v>
      </c>
      <c r="I306" s="22" t="e">
        <f ca="1"/>
        <v>#NUM!</v>
      </c>
      <c r="J306" s="248" t="e">
        <f ca="1"/>
        <v>#NUM!</v>
      </c>
      <c r="K306" s="248" t="e">
        <f ca="1"/>
        <v>#NUM!</v>
      </c>
      <c r="L306" s="248" t="e">
        <f ca="1"/>
        <v>#NUM!</v>
      </c>
      <c r="M306" s="22" t="e">
        <f ca="1"/>
        <v>#NUM!</v>
      </c>
      <c r="N306" s="22" t="e">
        <f ca="1"/>
        <v>#NUM!</v>
      </c>
      <c r="O306" s="22" t="e">
        <f ca="1"/>
        <v>#NUM!</v>
      </c>
    </row>
    <row r="307" spans="2:15">
      <c r="B307" s="22" t="e">
        <f ca="1"/>
        <v>#NUM!</v>
      </c>
      <c r="C307" s="22" t="e">
        <f ca="1"/>
        <v>#NUM!</v>
      </c>
      <c r="D307" s="22" t="e">
        <f ca="1"/>
        <v>#NUM!</v>
      </c>
      <c r="E307" s="22" t="e">
        <f ca="1"/>
        <v>#NUM!</v>
      </c>
      <c r="F307" s="234" t="e">
        <f ca="1"/>
        <v>#NUM!</v>
      </c>
      <c r="G307" s="22" t="e">
        <f ca="1"/>
        <v>#NUM!</v>
      </c>
      <c r="H307" s="22" t="e">
        <f ca="1"/>
        <v>#NUM!</v>
      </c>
      <c r="I307" s="22" t="e">
        <f ca="1"/>
        <v>#NUM!</v>
      </c>
      <c r="J307" s="248" t="e">
        <f ca="1"/>
        <v>#NUM!</v>
      </c>
      <c r="K307" s="248" t="e">
        <f ca="1"/>
        <v>#NUM!</v>
      </c>
      <c r="L307" s="248" t="e">
        <f ca="1"/>
        <v>#NUM!</v>
      </c>
      <c r="M307" s="22" t="e">
        <f ca="1"/>
        <v>#NUM!</v>
      </c>
      <c r="N307" s="22" t="e">
        <f ca="1"/>
        <v>#NUM!</v>
      </c>
      <c r="O307" s="22" t="e">
        <f ca="1"/>
        <v>#NUM!</v>
      </c>
    </row>
    <row r="308" spans="2:15">
      <c r="B308" s="22" t="e">
        <f ca="1"/>
        <v>#NUM!</v>
      </c>
      <c r="C308" s="22" t="e">
        <f ca="1"/>
        <v>#NUM!</v>
      </c>
      <c r="D308" s="22" t="e">
        <f ca="1"/>
        <v>#NUM!</v>
      </c>
      <c r="E308" s="22" t="e">
        <f ca="1"/>
        <v>#NUM!</v>
      </c>
      <c r="F308" s="234" t="e">
        <f ca="1"/>
        <v>#NUM!</v>
      </c>
      <c r="G308" s="22" t="e">
        <f ca="1"/>
        <v>#NUM!</v>
      </c>
      <c r="H308" s="22" t="e">
        <f ca="1"/>
        <v>#NUM!</v>
      </c>
      <c r="I308" s="22" t="e">
        <f ca="1"/>
        <v>#NUM!</v>
      </c>
      <c r="J308" s="248" t="e">
        <f ca="1"/>
        <v>#NUM!</v>
      </c>
      <c r="K308" s="248" t="e">
        <f ca="1"/>
        <v>#NUM!</v>
      </c>
      <c r="L308" s="248" t="e">
        <f ca="1"/>
        <v>#NUM!</v>
      </c>
      <c r="M308" s="22" t="e">
        <f ca="1"/>
        <v>#NUM!</v>
      </c>
      <c r="N308" s="22" t="e">
        <f ca="1"/>
        <v>#NUM!</v>
      </c>
      <c r="O308" s="22" t="e">
        <f ca="1"/>
        <v>#NUM!</v>
      </c>
    </row>
    <row r="309" spans="2:15">
      <c r="B309" s="22" t="e">
        <f ca="1"/>
        <v>#NUM!</v>
      </c>
      <c r="C309" s="22" t="e">
        <f ca="1"/>
        <v>#NUM!</v>
      </c>
      <c r="D309" s="22" t="e">
        <f ca="1"/>
        <v>#NUM!</v>
      </c>
      <c r="E309" s="22" t="e">
        <f ca="1"/>
        <v>#NUM!</v>
      </c>
      <c r="F309" s="234" t="e">
        <f ca="1"/>
        <v>#NUM!</v>
      </c>
      <c r="G309" s="22" t="e">
        <f ca="1"/>
        <v>#NUM!</v>
      </c>
      <c r="H309" s="22" t="e">
        <f ca="1"/>
        <v>#NUM!</v>
      </c>
      <c r="I309" s="22" t="e">
        <f ca="1"/>
        <v>#NUM!</v>
      </c>
      <c r="J309" s="248" t="e">
        <f ca="1"/>
        <v>#NUM!</v>
      </c>
      <c r="K309" s="248" t="e">
        <f ca="1"/>
        <v>#NUM!</v>
      </c>
      <c r="L309" s="248" t="e">
        <f ca="1"/>
        <v>#NUM!</v>
      </c>
      <c r="M309" s="22" t="e">
        <f ca="1"/>
        <v>#NUM!</v>
      </c>
      <c r="N309" s="22" t="e">
        <f ca="1"/>
        <v>#NUM!</v>
      </c>
      <c r="O309" s="22" t="e">
        <f ca="1"/>
        <v>#NUM!</v>
      </c>
    </row>
    <row r="310" spans="2:15">
      <c r="B310" s="22" t="e">
        <f ca="1"/>
        <v>#NUM!</v>
      </c>
      <c r="C310" s="22" t="e">
        <f ca="1"/>
        <v>#NUM!</v>
      </c>
      <c r="D310" s="22" t="e">
        <f ca="1"/>
        <v>#NUM!</v>
      </c>
      <c r="E310" s="22" t="e">
        <f ca="1"/>
        <v>#NUM!</v>
      </c>
      <c r="F310" s="234" t="e">
        <f ca="1"/>
        <v>#NUM!</v>
      </c>
      <c r="G310" s="22" t="e">
        <f ca="1"/>
        <v>#NUM!</v>
      </c>
      <c r="H310" s="22" t="e">
        <f ca="1"/>
        <v>#NUM!</v>
      </c>
      <c r="I310" s="22" t="e">
        <f ca="1"/>
        <v>#NUM!</v>
      </c>
      <c r="J310" s="248" t="e">
        <f ca="1"/>
        <v>#NUM!</v>
      </c>
      <c r="K310" s="248" t="e">
        <f ca="1"/>
        <v>#NUM!</v>
      </c>
      <c r="L310" s="248" t="e">
        <f ca="1"/>
        <v>#NUM!</v>
      </c>
      <c r="M310" s="22" t="e">
        <f ca="1"/>
        <v>#NUM!</v>
      </c>
      <c r="N310" s="22" t="e">
        <f ca="1"/>
        <v>#NUM!</v>
      </c>
      <c r="O310" s="22" t="e">
        <f ca="1"/>
        <v>#NUM!</v>
      </c>
    </row>
    <row r="311" spans="2:15">
      <c r="B311" s="22" t="e">
        <f ca="1"/>
        <v>#NUM!</v>
      </c>
      <c r="C311" s="22" t="e">
        <f ca="1"/>
        <v>#NUM!</v>
      </c>
      <c r="D311" s="22" t="e">
        <f ca="1"/>
        <v>#NUM!</v>
      </c>
      <c r="E311" s="22" t="e">
        <f ca="1"/>
        <v>#NUM!</v>
      </c>
      <c r="F311" s="234" t="e">
        <f ca="1"/>
        <v>#NUM!</v>
      </c>
      <c r="G311" s="22" t="e">
        <f ca="1"/>
        <v>#NUM!</v>
      </c>
      <c r="H311" s="22" t="e">
        <f ca="1"/>
        <v>#NUM!</v>
      </c>
      <c r="I311" s="22" t="e">
        <f ca="1"/>
        <v>#NUM!</v>
      </c>
      <c r="J311" s="248" t="e">
        <f ca="1"/>
        <v>#NUM!</v>
      </c>
      <c r="K311" s="248" t="e">
        <f ca="1"/>
        <v>#NUM!</v>
      </c>
      <c r="L311" s="248" t="e">
        <f ca="1"/>
        <v>#NUM!</v>
      </c>
      <c r="M311" s="22" t="e">
        <f ca="1"/>
        <v>#NUM!</v>
      </c>
      <c r="N311" s="22" t="e">
        <f ca="1"/>
        <v>#NUM!</v>
      </c>
      <c r="O311" s="22" t="e">
        <f ca="1"/>
        <v>#NUM!</v>
      </c>
    </row>
    <row r="312" spans="2:15">
      <c r="B312" s="22" t="e">
        <f ca="1"/>
        <v>#NUM!</v>
      </c>
      <c r="C312" s="22" t="e">
        <f ca="1"/>
        <v>#NUM!</v>
      </c>
      <c r="D312" s="22" t="e">
        <f ca="1"/>
        <v>#NUM!</v>
      </c>
      <c r="E312" s="22" t="e">
        <f ca="1"/>
        <v>#NUM!</v>
      </c>
      <c r="F312" s="234" t="e">
        <f ca="1"/>
        <v>#NUM!</v>
      </c>
      <c r="G312" s="22" t="e">
        <f ca="1"/>
        <v>#NUM!</v>
      </c>
      <c r="H312" s="22" t="e">
        <f ca="1"/>
        <v>#NUM!</v>
      </c>
      <c r="I312" s="22" t="e">
        <f ca="1"/>
        <v>#NUM!</v>
      </c>
      <c r="J312" s="248" t="e">
        <f ca="1"/>
        <v>#NUM!</v>
      </c>
      <c r="K312" s="248" t="e">
        <f ca="1"/>
        <v>#NUM!</v>
      </c>
      <c r="L312" s="248" t="e">
        <f ca="1"/>
        <v>#NUM!</v>
      </c>
      <c r="M312" s="22" t="e">
        <f ca="1"/>
        <v>#NUM!</v>
      </c>
      <c r="N312" s="22" t="e">
        <f ca="1"/>
        <v>#NUM!</v>
      </c>
      <c r="O312" s="22" t="e">
        <f ca="1"/>
        <v>#NUM!</v>
      </c>
    </row>
    <row r="313" spans="2:15">
      <c r="B313" s="22" t="e">
        <f ca="1"/>
        <v>#NUM!</v>
      </c>
      <c r="C313" s="22" t="e">
        <f ca="1"/>
        <v>#NUM!</v>
      </c>
      <c r="D313" s="22" t="e">
        <f ca="1"/>
        <v>#NUM!</v>
      </c>
      <c r="E313" s="22" t="e">
        <f ca="1"/>
        <v>#NUM!</v>
      </c>
      <c r="F313" s="234" t="e">
        <f ca="1"/>
        <v>#NUM!</v>
      </c>
      <c r="G313" s="22" t="e">
        <f ca="1"/>
        <v>#NUM!</v>
      </c>
      <c r="H313" s="22" t="e">
        <f ca="1"/>
        <v>#NUM!</v>
      </c>
      <c r="I313" s="22" t="e">
        <f ca="1"/>
        <v>#NUM!</v>
      </c>
      <c r="J313" s="248" t="e">
        <f ca="1"/>
        <v>#NUM!</v>
      </c>
      <c r="K313" s="248" t="e">
        <f ca="1"/>
        <v>#NUM!</v>
      </c>
      <c r="L313" s="248" t="e">
        <f ca="1"/>
        <v>#NUM!</v>
      </c>
      <c r="M313" s="22" t="e">
        <f ca="1"/>
        <v>#NUM!</v>
      </c>
      <c r="N313" s="22" t="e">
        <f ca="1"/>
        <v>#NUM!</v>
      </c>
      <c r="O313" s="22" t="e">
        <f ca="1"/>
        <v>#NUM!</v>
      </c>
    </row>
    <row r="314" spans="2:15">
      <c r="B314" s="22" t="e">
        <f ca="1"/>
        <v>#NUM!</v>
      </c>
      <c r="C314" s="22" t="e">
        <f ca="1"/>
        <v>#NUM!</v>
      </c>
      <c r="D314" s="22" t="e">
        <f ca="1"/>
        <v>#NUM!</v>
      </c>
      <c r="E314" s="22" t="e">
        <f ca="1"/>
        <v>#NUM!</v>
      </c>
      <c r="F314" s="234" t="e">
        <f ca="1"/>
        <v>#NUM!</v>
      </c>
      <c r="G314" s="22" t="e">
        <f ca="1"/>
        <v>#NUM!</v>
      </c>
      <c r="H314" s="22" t="e">
        <f ca="1"/>
        <v>#NUM!</v>
      </c>
      <c r="I314" s="22" t="e">
        <f ca="1"/>
        <v>#NUM!</v>
      </c>
      <c r="J314" s="248" t="e">
        <f ca="1"/>
        <v>#NUM!</v>
      </c>
      <c r="K314" s="248" t="e">
        <f ca="1"/>
        <v>#NUM!</v>
      </c>
      <c r="L314" s="248" t="e">
        <f ca="1"/>
        <v>#NUM!</v>
      </c>
      <c r="M314" s="22" t="e">
        <f ca="1"/>
        <v>#NUM!</v>
      </c>
      <c r="N314" s="22" t="e">
        <f ca="1"/>
        <v>#NUM!</v>
      </c>
      <c r="O314" s="22" t="e">
        <f ca="1"/>
        <v>#NUM!</v>
      </c>
    </row>
    <row r="315" spans="2:15">
      <c r="B315" s="22" t="e">
        <f ca="1"/>
        <v>#NUM!</v>
      </c>
      <c r="C315" s="22" t="e">
        <f ca="1"/>
        <v>#NUM!</v>
      </c>
      <c r="D315" s="22" t="e">
        <f ca="1"/>
        <v>#NUM!</v>
      </c>
      <c r="E315" s="22" t="e">
        <f ca="1"/>
        <v>#NUM!</v>
      </c>
      <c r="F315" s="234" t="e">
        <f ca="1"/>
        <v>#NUM!</v>
      </c>
      <c r="G315" s="22" t="e">
        <f ca="1"/>
        <v>#NUM!</v>
      </c>
      <c r="H315" s="22" t="e">
        <f ca="1"/>
        <v>#NUM!</v>
      </c>
      <c r="I315" s="22" t="e">
        <f ca="1"/>
        <v>#NUM!</v>
      </c>
      <c r="J315" s="248" t="e">
        <f ca="1"/>
        <v>#NUM!</v>
      </c>
      <c r="K315" s="248" t="e">
        <f ca="1"/>
        <v>#NUM!</v>
      </c>
      <c r="L315" s="248" t="e">
        <f ca="1"/>
        <v>#NUM!</v>
      </c>
      <c r="M315" s="22" t="e">
        <f ca="1"/>
        <v>#NUM!</v>
      </c>
      <c r="N315" s="22" t="e">
        <f ca="1"/>
        <v>#NUM!</v>
      </c>
      <c r="O315" s="22" t="e">
        <f ca="1"/>
        <v>#NUM!</v>
      </c>
    </row>
    <row r="316" spans="2:15">
      <c r="B316" s="22" t="e">
        <f ca="1"/>
        <v>#NUM!</v>
      </c>
      <c r="C316" s="22" t="e">
        <f ca="1"/>
        <v>#NUM!</v>
      </c>
      <c r="D316" s="22" t="e">
        <f ca="1"/>
        <v>#NUM!</v>
      </c>
      <c r="E316" s="22" t="e">
        <f ca="1"/>
        <v>#NUM!</v>
      </c>
      <c r="F316" s="234" t="e">
        <f ca="1"/>
        <v>#NUM!</v>
      </c>
      <c r="G316" s="22" t="e">
        <f ca="1"/>
        <v>#NUM!</v>
      </c>
      <c r="H316" s="22" t="e">
        <f ca="1"/>
        <v>#NUM!</v>
      </c>
      <c r="I316" s="22" t="e">
        <f ca="1"/>
        <v>#NUM!</v>
      </c>
      <c r="J316" s="248" t="e">
        <f ca="1"/>
        <v>#NUM!</v>
      </c>
      <c r="K316" s="248" t="e">
        <f ca="1"/>
        <v>#NUM!</v>
      </c>
      <c r="L316" s="248" t="e">
        <f ca="1"/>
        <v>#NUM!</v>
      </c>
      <c r="M316" s="22" t="e">
        <f ca="1"/>
        <v>#NUM!</v>
      </c>
      <c r="N316" s="22" t="e">
        <f ca="1"/>
        <v>#NUM!</v>
      </c>
      <c r="O316" s="22" t="e">
        <f ca="1"/>
        <v>#NUM!</v>
      </c>
    </row>
    <row r="317" spans="2:15">
      <c r="B317" s="22" t="e">
        <f ca="1"/>
        <v>#NUM!</v>
      </c>
      <c r="C317" s="22" t="e">
        <f ca="1"/>
        <v>#NUM!</v>
      </c>
      <c r="D317" s="22" t="e">
        <f ca="1"/>
        <v>#NUM!</v>
      </c>
      <c r="E317" s="22" t="e">
        <f ca="1"/>
        <v>#NUM!</v>
      </c>
      <c r="F317" s="234" t="e">
        <f ca="1"/>
        <v>#NUM!</v>
      </c>
      <c r="G317" s="22" t="e">
        <f ca="1"/>
        <v>#NUM!</v>
      </c>
      <c r="H317" s="22" t="e">
        <f ca="1"/>
        <v>#NUM!</v>
      </c>
      <c r="I317" s="22" t="e">
        <f ca="1"/>
        <v>#NUM!</v>
      </c>
      <c r="J317" s="248" t="e">
        <f ca="1"/>
        <v>#NUM!</v>
      </c>
      <c r="K317" s="248" t="e">
        <f ca="1"/>
        <v>#NUM!</v>
      </c>
      <c r="L317" s="248" t="e">
        <f ca="1"/>
        <v>#NUM!</v>
      </c>
      <c r="M317" s="22" t="e">
        <f ca="1"/>
        <v>#NUM!</v>
      </c>
      <c r="N317" s="22" t="e">
        <f ca="1"/>
        <v>#NUM!</v>
      </c>
      <c r="O317" s="22" t="e">
        <f ca="1"/>
        <v>#NUM!</v>
      </c>
    </row>
    <row r="318" spans="2:15">
      <c r="B318" s="22" t="e">
        <f ca="1"/>
        <v>#NUM!</v>
      </c>
      <c r="C318" s="22" t="e">
        <f ca="1"/>
        <v>#NUM!</v>
      </c>
      <c r="D318" s="22" t="e">
        <f ca="1"/>
        <v>#NUM!</v>
      </c>
      <c r="E318" s="22" t="e">
        <f ca="1"/>
        <v>#NUM!</v>
      </c>
      <c r="F318" s="234" t="e">
        <f ca="1"/>
        <v>#NUM!</v>
      </c>
      <c r="G318" s="22" t="e">
        <f ca="1"/>
        <v>#NUM!</v>
      </c>
      <c r="H318" s="22" t="e">
        <f ca="1"/>
        <v>#NUM!</v>
      </c>
      <c r="I318" s="22" t="e">
        <f ca="1"/>
        <v>#NUM!</v>
      </c>
      <c r="J318" s="248" t="e">
        <f ca="1"/>
        <v>#NUM!</v>
      </c>
      <c r="K318" s="248" t="e">
        <f ca="1"/>
        <v>#NUM!</v>
      </c>
      <c r="L318" s="248" t="e">
        <f ca="1"/>
        <v>#NUM!</v>
      </c>
      <c r="M318" s="22" t="e">
        <f ca="1"/>
        <v>#NUM!</v>
      </c>
      <c r="N318" s="22" t="e">
        <f ca="1"/>
        <v>#NUM!</v>
      </c>
      <c r="O318" s="22" t="e">
        <f ca="1"/>
        <v>#NUM!</v>
      </c>
    </row>
    <row r="319" spans="2:15">
      <c r="B319" s="22" t="e">
        <f ca="1"/>
        <v>#NUM!</v>
      </c>
      <c r="C319" s="22" t="e">
        <f ca="1"/>
        <v>#NUM!</v>
      </c>
      <c r="D319" s="22" t="e">
        <f ca="1"/>
        <v>#NUM!</v>
      </c>
      <c r="E319" s="22" t="e">
        <f ca="1"/>
        <v>#NUM!</v>
      </c>
      <c r="F319" s="234" t="e">
        <f ca="1"/>
        <v>#NUM!</v>
      </c>
      <c r="G319" s="22" t="e">
        <f ca="1"/>
        <v>#NUM!</v>
      </c>
      <c r="H319" s="22" t="e">
        <f ca="1"/>
        <v>#NUM!</v>
      </c>
      <c r="I319" s="22" t="e">
        <f ca="1"/>
        <v>#NUM!</v>
      </c>
      <c r="J319" s="248" t="e">
        <f ca="1"/>
        <v>#NUM!</v>
      </c>
      <c r="K319" s="248" t="e">
        <f ca="1"/>
        <v>#NUM!</v>
      </c>
      <c r="L319" s="248" t="e">
        <f ca="1"/>
        <v>#NUM!</v>
      </c>
      <c r="M319" s="22" t="e">
        <f ca="1"/>
        <v>#NUM!</v>
      </c>
      <c r="N319" s="22" t="e">
        <f ca="1"/>
        <v>#NUM!</v>
      </c>
      <c r="O319" s="22" t="e">
        <f ca="1"/>
        <v>#NUM!</v>
      </c>
    </row>
    <row r="320" spans="2:15">
      <c r="B320" s="22" t="e">
        <f ca="1"/>
        <v>#NUM!</v>
      </c>
      <c r="C320" s="22" t="e">
        <f ca="1"/>
        <v>#NUM!</v>
      </c>
      <c r="D320" s="22" t="e">
        <f ca="1"/>
        <v>#NUM!</v>
      </c>
      <c r="E320" s="22" t="e">
        <f ca="1"/>
        <v>#NUM!</v>
      </c>
      <c r="F320" s="234" t="e">
        <f ca="1"/>
        <v>#NUM!</v>
      </c>
      <c r="G320" s="22" t="e">
        <f ca="1"/>
        <v>#NUM!</v>
      </c>
      <c r="H320" s="22" t="e">
        <f ca="1"/>
        <v>#NUM!</v>
      </c>
      <c r="I320" s="22" t="e">
        <f ca="1"/>
        <v>#NUM!</v>
      </c>
      <c r="J320" s="248" t="e">
        <f ca="1"/>
        <v>#NUM!</v>
      </c>
      <c r="K320" s="248" t="e">
        <f ca="1"/>
        <v>#NUM!</v>
      </c>
      <c r="L320" s="248" t="e">
        <f ca="1"/>
        <v>#NUM!</v>
      </c>
      <c r="M320" s="22" t="e">
        <f ca="1"/>
        <v>#NUM!</v>
      </c>
      <c r="N320" s="22" t="e">
        <f ca="1"/>
        <v>#NUM!</v>
      </c>
      <c r="O320" s="22" t="e">
        <f ca="1"/>
        <v>#NUM!</v>
      </c>
    </row>
    <row r="321" spans="2:15">
      <c r="B321" s="22" t="e">
        <f ca="1"/>
        <v>#NUM!</v>
      </c>
      <c r="C321" s="22" t="e">
        <f ca="1"/>
        <v>#NUM!</v>
      </c>
      <c r="D321" s="22" t="e">
        <f ca="1"/>
        <v>#NUM!</v>
      </c>
      <c r="E321" s="22" t="e">
        <f ca="1"/>
        <v>#NUM!</v>
      </c>
      <c r="F321" s="234" t="e">
        <f ca="1"/>
        <v>#NUM!</v>
      </c>
      <c r="G321" s="22" t="e">
        <f ca="1"/>
        <v>#NUM!</v>
      </c>
      <c r="H321" s="22" t="e">
        <f ca="1"/>
        <v>#NUM!</v>
      </c>
      <c r="I321" s="22" t="e">
        <f ca="1"/>
        <v>#NUM!</v>
      </c>
      <c r="J321" s="248" t="e">
        <f ca="1"/>
        <v>#NUM!</v>
      </c>
      <c r="K321" s="248" t="e">
        <f ca="1"/>
        <v>#NUM!</v>
      </c>
      <c r="L321" s="248" t="e">
        <f ca="1"/>
        <v>#NUM!</v>
      </c>
      <c r="M321" s="22" t="e">
        <f ca="1"/>
        <v>#NUM!</v>
      </c>
      <c r="N321" s="22" t="e">
        <f ca="1"/>
        <v>#NUM!</v>
      </c>
      <c r="O321" s="22" t="e">
        <f ca="1"/>
        <v>#NUM!</v>
      </c>
    </row>
    <row r="322" spans="2:15">
      <c r="B322" s="22" t="e">
        <f ca="1"/>
        <v>#NUM!</v>
      </c>
      <c r="C322" s="22" t="e">
        <f ca="1"/>
        <v>#NUM!</v>
      </c>
      <c r="D322" s="22" t="e">
        <f ca="1"/>
        <v>#NUM!</v>
      </c>
      <c r="E322" s="22" t="e">
        <f ca="1"/>
        <v>#NUM!</v>
      </c>
      <c r="F322" s="234" t="e">
        <f ca="1"/>
        <v>#NUM!</v>
      </c>
      <c r="G322" s="22" t="e">
        <f ca="1"/>
        <v>#NUM!</v>
      </c>
      <c r="H322" s="22" t="e">
        <f ca="1"/>
        <v>#NUM!</v>
      </c>
      <c r="I322" s="22" t="e">
        <f ca="1"/>
        <v>#NUM!</v>
      </c>
      <c r="J322" s="248" t="e">
        <f ca="1"/>
        <v>#NUM!</v>
      </c>
      <c r="K322" s="248" t="e">
        <f ca="1"/>
        <v>#NUM!</v>
      </c>
      <c r="L322" s="248" t="e">
        <f ca="1"/>
        <v>#NUM!</v>
      </c>
      <c r="M322" s="22" t="e">
        <f ca="1"/>
        <v>#NUM!</v>
      </c>
      <c r="N322" s="22" t="e">
        <f ca="1"/>
        <v>#NUM!</v>
      </c>
      <c r="O322" s="22" t="e">
        <f ca="1"/>
        <v>#NUM!</v>
      </c>
    </row>
    <row r="323" spans="2:15">
      <c r="B323" s="22" t="e">
        <f ca="1"/>
        <v>#NUM!</v>
      </c>
      <c r="C323" s="22" t="e">
        <f ca="1"/>
        <v>#NUM!</v>
      </c>
      <c r="D323" s="22" t="e">
        <f ca="1"/>
        <v>#NUM!</v>
      </c>
      <c r="E323" s="22" t="e">
        <f ca="1"/>
        <v>#NUM!</v>
      </c>
      <c r="F323" s="234" t="e">
        <f ca="1"/>
        <v>#NUM!</v>
      </c>
      <c r="G323" s="22" t="e">
        <f ca="1"/>
        <v>#NUM!</v>
      </c>
      <c r="H323" s="22" t="e">
        <f ca="1"/>
        <v>#NUM!</v>
      </c>
      <c r="I323" s="22" t="e">
        <f ca="1"/>
        <v>#NUM!</v>
      </c>
      <c r="J323" s="248" t="e">
        <f ca="1"/>
        <v>#NUM!</v>
      </c>
      <c r="K323" s="248" t="e">
        <f ca="1"/>
        <v>#NUM!</v>
      </c>
      <c r="L323" s="248" t="e">
        <f ca="1"/>
        <v>#NUM!</v>
      </c>
      <c r="M323" s="22" t="e">
        <f ca="1"/>
        <v>#NUM!</v>
      </c>
      <c r="N323" s="22" t="e">
        <f ca="1"/>
        <v>#NUM!</v>
      </c>
      <c r="O323" s="22" t="e">
        <f ca="1"/>
        <v>#NUM!</v>
      </c>
    </row>
    <row r="324" spans="2:15">
      <c r="B324" s="22" t="e">
        <f ca="1"/>
        <v>#NUM!</v>
      </c>
      <c r="C324" s="22" t="e">
        <f ca="1"/>
        <v>#NUM!</v>
      </c>
      <c r="D324" s="22" t="e">
        <f ca="1"/>
        <v>#NUM!</v>
      </c>
      <c r="E324" s="22" t="e">
        <f ca="1"/>
        <v>#NUM!</v>
      </c>
      <c r="F324" s="234" t="e">
        <f ca="1"/>
        <v>#NUM!</v>
      </c>
      <c r="G324" s="22" t="e">
        <f ca="1"/>
        <v>#NUM!</v>
      </c>
      <c r="H324" s="22" t="e">
        <f ca="1"/>
        <v>#NUM!</v>
      </c>
      <c r="I324" s="22" t="e">
        <f ca="1"/>
        <v>#NUM!</v>
      </c>
      <c r="J324" s="248" t="e">
        <f ca="1"/>
        <v>#NUM!</v>
      </c>
      <c r="K324" s="248" t="e">
        <f ca="1"/>
        <v>#NUM!</v>
      </c>
      <c r="L324" s="248" t="e">
        <f ca="1"/>
        <v>#NUM!</v>
      </c>
      <c r="M324" s="22" t="e">
        <f ca="1"/>
        <v>#NUM!</v>
      </c>
      <c r="N324" s="22" t="e">
        <f ca="1"/>
        <v>#NUM!</v>
      </c>
      <c r="O324" s="22" t="e">
        <f ca="1"/>
        <v>#NUM!</v>
      </c>
    </row>
    <row r="325" spans="2:15">
      <c r="B325" s="22" t="e">
        <f ca="1"/>
        <v>#NUM!</v>
      </c>
      <c r="C325" s="22" t="e">
        <f ca="1"/>
        <v>#NUM!</v>
      </c>
      <c r="D325" s="22" t="e">
        <f ca="1"/>
        <v>#NUM!</v>
      </c>
      <c r="E325" s="22" t="e">
        <f ca="1"/>
        <v>#NUM!</v>
      </c>
      <c r="F325" s="234" t="e">
        <f ca="1"/>
        <v>#NUM!</v>
      </c>
      <c r="G325" s="22" t="e">
        <f ca="1"/>
        <v>#NUM!</v>
      </c>
      <c r="H325" s="22" t="e">
        <f ca="1"/>
        <v>#NUM!</v>
      </c>
      <c r="I325" s="22" t="e">
        <f ca="1"/>
        <v>#NUM!</v>
      </c>
      <c r="J325" s="248" t="e">
        <f ca="1"/>
        <v>#NUM!</v>
      </c>
      <c r="K325" s="248" t="e">
        <f ca="1"/>
        <v>#NUM!</v>
      </c>
      <c r="L325" s="248" t="e">
        <f ca="1"/>
        <v>#NUM!</v>
      </c>
      <c r="M325" s="22" t="e">
        <f ca="1"/>
        <v>#NUM!</v>
      </c>
      <c r="N325" s="22" t="e">
        <f ca="1"/>
        <v>#NUM!</v>
      </c>
      <c r="O325" s="22" t="e">
        <f ca="1"/>
        <v>#NUM!</v>
      </c>
    </row>
    <row r="326" spans="2:15">
      <c r="B326" s="22" t="e">
        <f ca="1"/>
        <v>#NUM!</v>
      </c>
      <c r="C326" s="22" t="e">
        <f ca="1"/>
        <v>#NUM!</v>
      </c>
      <c r="D326" s="22" t="e">
        <f ca="1"/>
        <v>#NUM!</v>
      </c>
      <c r="E326" s="22" t="e">
        <f ca="1"/>
        <v>#NUM!</v>
      </c>
      <c r="F326" s="234" t="e">
        <f ca="1"/>
        <v>#NUM!</v>
      </c>
      <c r="G326" s="22" t="e">
        <f ca="1"/>
        <v>#NUM!</v>
      </c>
      <c r="H326" s="22" t="e">
        <f ca="1"/>
        <v>#NUM!</v>
      </c>
      <c r="I326" s="22" t="e">
        <f ca="1"/>
        <v>#NUM!</v>
      </c>
      <c r="J326" s="248" t="e">
        <f ca="1"/>
        <v>#NUM!</v>
      </c>
      <c r="K326" s="248" t="e">
        <f ca="1"/>
        <v>#NUM!</v>
      </c>
      <c r="L326" s="248" t="e">
        <f ca="1"/>
        <v>#NUM!</v>
      </c>
      <c r="M326" s="22" t="e">
        <f ca="1"/>
        <v>#NUM!</v>
      </c>
      <c r="N326" s="22" t="e">
        <f ca="1"/>
        <v>#NUM!</v>
      </c>
      <c r="O326" s="22" t="e">
        <f ca="1"/>
        <v>#NUM!</v>
      </c>
    </row>
    <row r="327" spans="2:15">
      <c r="B327" s="22" t="e">
        <f ca="1"/>
        <v>#NUM!</v>
      </c>
      <c r="C327" s="22" t="e">
        <f ca="1"/>
        <v>#NUM!</v>
      </c>
      <c r="D327" s="22" t="e">
        <f ca="1"/>
        <v>#NUM!</v>
      </c>
      <c r="E327" s="22" t="e">
        <f ca="1"/>
        <v>#NUM!</v>
      </c>
      <c r="F327" s="234" t="e">
        <f ca="1"/>
        <v>#NUM!</v>
      </c>
      <c r="G327" s="22" t="e">
        <f ca="1"/>
        <v>#NUM!</v>
      </c>
      <c r="H327" s="22" t="e">
        <f ca="1"/>
        <v>#NUM!</v>
      </c>
      <c r="I327" s="22" t="e">
        <f ca="1"/>
        <v>#NUM!</v>
      </c>
      <c r="J327" s="248" t="e">
        <f ca="1"/>
        <v>#NUM!</v>
      </c>
      <c r="K327" s="248" t="e">
        <f ca="1"/>
        <v>#NUM!</v>
      </c>
      <c r="L327" s="248" t="e">
        <f ca="1"/>
        <v>#NUM!</v>
      </c>
      <c r="M327" s="22" t="e">
        <f ca="1"/>
        <v>#NUM!</v>
      </c>
      <c r="N327" s="22" t="e">
        <f ca="1"/>
        <v>#NUM!</v>
      </c>
      <c r="O327" s="22" t="e">
        <f ca="1"/>
        <v>#NUM!</v>
      </c>
    </row>
    <row r="328" spans="2:15">
      <c r="B328" s="22" t="e">
        <f ca="1"/>
        <v>#NUM!</v>
      </c>
      <c r="C328" s="22" t="e">
        <f ca="1"/>
        <v>#NUM!</v>
      </c>
      <c r="D328" s="22" t="e">
        <f ca="1"/>
        <v>#NUM!</v>
      </c>
      <c r="E328" s="22" t="e">
        <f ca="1"/>
        <v>#NUM!</v>
      </c>
      <c r="F328" s="234" t="e">
        <f ca="1"/>
        <v>#NUM!</v>
      </c>
      <c r="G328" s="22" t="e">
        <f ca="1"/>
        <v>#NUM!</v>
      </c>
      <c r="H328" s="22" t="e">
        <f ca="1"/>
        <v>#NUM!</v>
      </c>
      <c r="I328" s="22" t="e">
        <f ca="1"/>
        <v>#NUM!</v>
      </c>
      <c r="J328" s="248" t="e">
        <f ca="1"/>
        <v>#NUM!</v>
      </c>
      <c r="K328" s="248" t="e">
        <f ca="1"/>
        <v>#NUM!</v>
      </c>
      <c r="L328" s="248" t="e">
        <f ca="1"/>
        <v>#NUM!</v>
      </c>
      <c r="M328" s="22" t="e">
        <f ca="1"/>
        <v>#NUM!</v>
      </c>
      <c r="N328" s="22" t="e">
        <f ca="1"/>
        <v>#NUM!</v>
      </c>
      <c r="O328" s="22" t="e">
        <f ca="1"/>
        <v>#NUM!</v>
      </c>
    </row>
    <row r="329" spans="2:15">
      <c r="B329" s="22" t="e">
        <f ca="1"/>
        <v>#NUM!</v>
      </c>
      <c r="C329" s="22" t="e">
        <f ca="1"/>
        <v>#NUM!</v>
      </c>
      <c r="D329" s="22" t="e">
        <f ca="1"/>
        <v>#NUM!</v>
      </c>
      <c r="E329" s="22" t="e">
        <f ca="1"/>
        <v>#NUM!</v>
      </c>
      <c r="F329" s="234" t="e">
        <f ca="1"/>
        <v>#NUM!</v>
      </c>
      <c r="G329" s="22" t="e">
        <f ca="1"/>
        <v>#NUM!</v>
      </c>
      <c r="H329" s="22" t="e">
        <f ca="1"/>
        <v>#NUM!</v>
      </c>
      <c r="I329" s="22" t="e">
        <f ca="1"/>
        <v>#NUM!</v>
      </c>
      <c r="J329" s="248" t="e">
        <f ca="1"/>
        <v>#NUM!</v>
      </c>
      <c r="K329" s="248" t="e">
        <f ca="1"/>
        <v>#NUM!</v>
      </c>
      <c r="L329" s="248" t="e">
        <f ca="1"/>
        <v>#NUM!</v>
      </c>
      <c r="M329" s="22" t="e">
        <f ca="1"/>
        <v>#NUM!</v>
      </c>
      <c r="N329" s="22" t="e">
        <f ca="1"/>
        <v>#NUM!</v>
      </c>
      <c r="O329" s="22" t="e">
        <f ca="1"/>
        <v>#NUM!</v>
      </c>
    </row>
    <row r="330" spans="2:15">
      <c r="B330" s="22" t="e">
        <f ca="1"/>
        <v>#NUM!</v>
      </c>
      <c r="C330" s="22" t="e">
        <f ca="1"/>
        <v>#NUM!</v>
      </c>
      <c r="D330" s="22" t="e">
        <f ca="1"/>
        <v>#NUM!</v>
      </c>
      <c r="E330" s="22" t="e">
        <f ca="1"/>
        <v>#NUM!</v>
      </c>
      <c r="F330" s="234" t="e">
        <f ca="1"/>
        <v>#NUM!</v>
      </c>
      <c r="G330" s="22" t="e">
        <f ca="1"/>
        <v>#NUM!</v>
      </c>
      <c r="H330" s="22" t="e">
        <f ca="1"/>
        <v>#NUM!</v>
      </c>
      <c r="I330" s="22" t="e">
        <f ca="1"/>
        <v>#NUM!</v>
      </c>
      <c r="J330" s="248" t="e">
        <f ca="1"/>
        <v>#NUM!</v>
      </c>
      <c r="K330" s="248" t="e">
        <f ca="1"/>
        <v>#NUM!</v>
      </c>
      <c r="L330" s="248" t="e">
        <f ca="1"/>
        <v>#NUM!</v>
      </c>
      <c r="M330" s="22" t="e">
        <f ca="1"/>
        <v>#NUM!</v>
      </c>
      <c r="N330" s="22" t="e">
        <f ca="1"/>
        <v>#NUM!</v>
      </c>
      <c r="O330" s="22" t="e">
        <f ca="1"/>
        <v>#NUM!</v>
      </c>
    </row>
    <row r="331" spans="2:15">
      <c r="B331" s="22" t="e">
        <f ca="1"/>
        <v>#NUM!</v>
      </c>
      <c r="C331" s="22" t="e">
        <f ca="1"/>
        <v>#NUM!</v>
      </c>
      <c r="D331" s="22" t="e">
        <f ca="1"/>
        <v>#NUM!</v>
      </c>
      <c r="E331" s="22" t="e">
        <f ca="1"/>
        <v>#NUM!</v>
      </c>
      <c r="F331" s="234" t="e">
        <f ca="1"/>
        <v>#NUM!</v>
      </c>
      <c r="G331" s="22" t="e">
        <f ca="1"/>
        <v>#NUM!</v>
      </c>
      <c r="H331" s="22" t="e">
        <f ca="1"/>
        <v>#NUM!</v>
      </c>
      <c r="I331" s="22" t="e">
        <f ca="1"/>
        <v>#NUM!</v>
      </c>
      <c r="J331" s="248" t="e">
        <f ca="1"/>
        <v>#NUM!</v>
      </c>
      <c r="K331" s="248" t="e">
        <f ca="1"/>
        <v>#NUM!</v>
      </c>
      <c r="L331" s="248" t="e">
        <f ca="1"/>
        <v>#NUM!</v>
      </c>
      <c r="M331" s="22" t="e">
        <f ca="1"/>
        <v>#NUM!</v>
      </c>
      <c r="N331" s="22" t="e">
        <f ca="1"/>
        <v>#NUM!</v>
      </c>
      <c r="O331" s="22" t="e">
        <f ca="1"/>
        <v>#NUM!</v>
      </c>
    </row>
    <row r="332" spans="2:15">
      <c r="B332" s="22" t="e">
        <f ca="1"/>
        <v>#NUM!</v>
      </c>
      <c r="C332" s="22" t="e">
        <f ca="1"/>
        <v>#NUM!</v>
      </c>
      <c r="D332" s="22" t="e">
        <f ca="1"/>
        <v>#NUM!</v>
      </c>
      <c r="E332" s="22" t="e">
        <f ca="1"/>
        <v>#NUM!</v>
      </c>
      <c r="F332" s="234" t="e">
        <f ca="1"/>
        <v>#NUM!</v>
      </c>
      <c r="G332" s="22" t="e">
        <f ca="1"/>
        <v>#NUM!</v>
      </c>
      <c r="H332" s="22" t="e">
        <f ca="1"/>
        <v>#NUM!</v>
      </c>
      <c r="I332" s="22" t="e">
        <f ca="1"/>
        <v>#NUM!</v>
      </c>
      <c r="J332" s="248" t="e">
        <f ca="1"/>
        <v>#NUM!</v>
      </c>
      <c r="K332" s="248" t="e">
        <f ca="1"/>
        <v>#NUM!</v>
      </c>
      <c r="L332" s="248" t="e">
        <f ca="1"/>
        <v>#NUM!</v>
      </c>
      <c r="M332" s="22" t="e">
        <f ca="1"/>
        <v>#NUM!</v>
      </c>
      <c r="N332" s="22" t="e">
        <f ca="1"/>
        <v>#NUM!</v>
      </c>
      <c r="O332" s="22" t="e">
        <f ca="1"/>
        <v>#NUM!</v>
      </c>
    </row>
    <row r="333" spans="2:15">
      <c r="B333" s="22" t="e">
        <f ca="1"/>
        <v>#NUM!</v>
      </c>
      <c r="C333" s="22" t="e">
        <f ca="1"/>
        <v>#NUM!</v>
      </c>
      <c r="D333" s="22" t="e">
        <f ca="1"/>
        <v>#NUM!</v>
      </c>
      <c r="E333" s="22" t="e">
        <f ca="1"/>
        <v>#NUM!</v>
      </c>
      <c r="F333" s="234" t="e">
        <f ca="1"/>
        <v>#NUM!</v>
      </c>
      <c r="G333" s="22" t="e">
        <f ca="1"/>
        <v>#NUM!</v>
      </c>
      <c r="H333" s="22" t="e">
        <f ca="1"/>
        <v>#NUM!</v>
      </c>
      <c r="I333" s="22" t="e">
        <f ca="1"/>
        <v>#NUM!</v>
      </c>
      <c r="J333" s="248" t="e">
        <f ca="1"/>
        <v>#NUM!</v>
      </c>
      <c r="K333" s="248" t="e">
        <f ca="1"/>
        <v>#NUM!</v>
      </c>
      <c r="L333" s="248" t="e">
        <f ca="1"/>
        <v>#NUM!</v>
      </c>
      <c r="M333" s="22" t="e">
        <f ca="1"/>
        <v>#NUM!</v>
      </c>
      <c r="N333" s="22" t="e">
        <f ca="1"/>
        <v>#NUM!</v>
      </c>
      <c r="O333" s="22" t="e">
        <f ca="1"/>
        <v>#NUM!</v>
      </c>
    </row>
    <row r="334" spans="2:15">
      <c r="B334" s="22" t="e">
        <f ca="1"/>
        <v>#NUM!</v>
      </c>
      <c r="C334" s="22" t="e">
        <f ca="1"/>
        <v>#NUM!</v>
      </c>
      <c r="D334" s="22" t="e">
        <f ca="1"/>
        <v>#NUM!</v>
      </c>
      <c r="E334" s="22" t="e">
        <f ca="1"/>
        <v>#NUM!</v>
      </c>
      <c r="F334" s="234" t="e">
        <f ca="1"/>
        <v>#NUM!</v>
      </c>
      <c r="G334" s="22" t="e">
        <f ca="1"/>
        <v>#NUM!</v>
      </c>
      <c r="H334" s="22" t="e">
        <f ca="1"/>
        <v>#NUM!</v>
      </c>
      <c r="I334" s="22" t="e">
        <f ca="1"/>
        <v>#NUM!</v>
      </c>
      <c r="J334" s="248" t="e">
        <f ca="1"/>
        <v>#NUM!</v>
      </c>
      <c r="K334" s="248" t="e">
        <f ca="1"/>
        <v>#NUM!</v>
      </c>
      <c r="L334" s="248" t="e">
        <f ca="1"/>
        <v>#NUM!</v>
      </c>
      <c r="M334" s="22" t="e">
        <f ca="1"/>
        <v>#NUM!</v>
      </c>
      <c r="N334" s="22" t="e">
        <f ca="1"/>
        <v>#NUM!</v>
      </c>
      <c r="O334" s="22" t="e">
        <f ca="1"/>
        <v>#NUM!</v>
      </c>
    </row>
    <row r="335" spans="2:15">
      <c r="B335" s="22" t="e">
        <f ca="1"/>
        <v>#NUM!</v>
      </c>
      <c r="C335" s="22" t="e">
        <f ca="1"/>
        <v>#NUM!</v>
      </c>
      <c r="D335" s="22" t="e">
        <f ca="1"/>
        <v>#NUM!</v>
      </c>
      <c r="E335" s="22" t="e">
        <f ca="1"/>
        <v>#NUM!</v>
      </c>
      <c r="F335" s="234" t="e">
        <f ca="1"/>
        <v>#NUM!</v>
      </c>
      <c r="G335" s="22" t="e">
        <f ca="1"/>
        <v>#NUM!</v>
      </c>
      <c r="H335" s="22" t="e">
        <f ca="1"/>
        <v>#NUM!</v>
      </c>
      <c r="I335" s="22" t="e">
        <f ca="1"/>
        <v>#NUM!</v>
      </c>
      <c r="J335" s="248" t="e">
        <f ca="1"/>
        <v>#NUM!</v>
      </c>
      <c r="K335" s="248" t="e">
        <f ca="1"/>
        <v>#NUM!</v>
      </c>
      <c r="L335" s="248" t="e">
        <f ca="1"/>
        <v>#NUM!</v>
      </c>
      <c r="M335" s="22" t="e">
        <f ca="1"/>
        <v>#NUM!</v>
      </c>
      <c r="N335" s="22" t="e">
        <f ca="1"/>
        <v>#NUM!</v>
      </c>
      <c r="O335" s="22" t="e">
        <f ca="1"/>
        <v>#NUM!</v>
      </c>
    </row>
    <row r="336" spans="2:15">
      <c r="B336" s="22" t="e">
        <f ca="1"/>
        <v>#NUM!</v>
      </c>
      <c r="C336" s="22" t="e">
        <f ca="1"/>
        <v>#NUM!</v>
      </c>
      <c r="D336" s="22" t="e">
        <f ca="1"/>
        <v>#NUM!</v>
      </c>
      <c r="E336" s="22" t="e">
        <f ca="1"/>
        <v>#NUM!</v>
      </c>
      <c r="F336" s="234" t="e">
        <f ca="1"/>
        <v>#NUM!</v>
      </c>
      <c r="G336" s="22" t="e">
        <f ca="1"/>
        <v>#NUM!</v>
      </c>
      <c r="H336" s="22" t="e">
        <f ca="1"/>
        <v>#NUM!</v>
      </c>
      <c r="I336" s="22" t="e">
        <f ca="1"/>
        <v>#NUM!</v>
      </c>
      <c r="J336" s="248" t="e">
        <f ca="1"/>
        <v>#NUM!</v>
      </c>
      <c r="K336" s="248" t="e">
        <f ca="1"/>
        <v>#NUM!</v>
      </c>
      <c r="L336" s="248" t="e">
        <f ca="1"/>
        <v>#NUM!</v>
      </c>
      <c r="M336" s="22" t="e">
        <f ca="1"/>
        <v>#NUM!</v>
      </c>
      <c r="N336" s="22" t="e">
        <f ca="1"/>
        <v>#NUM!</v>
      </c>
      <c r="O336" s="22" t="e">
        <f ca="1"/>
        <v>#NUM!</v>
      </c>
    </row>
    <row r="337" spans="2:15">
      <c r="B337" s="22" t="e">
        <f ca="1"/>
        <v>#NUM!</v>
      </c>
      <c r="C337" s="22" t="e">
        <f ca="1"/>
        <v>#NUM!</v>
      </c>
      <c r="D337" s="22" t="e">
        <f ca="1"/>
        <v>#NUM!</v>
      </c>
      <c r="E337" s="22" t="e">
        <f ca="1"/>
        <v>#NUM!</v>
      </c>
      <c r="F337" s="234" t="e">
        <f ca="1"/>
        <v>#NUM!</v>
      </c>
      <c r="G337" s="22" t="e">
        <f ca="1"/>
        <v>#NUM!</v>
      </c>
      <c r="H337" s="22" t="e">
        <f ca="1"/>
        <v>#NUM!</v>
      </c>
      <c r="I337" s="22" t="e">
        <f ca="1"/>
        <v>#NUM!</v>
      </c>
      <c r="J337" s="248" t="e">
        <f ca="1"/>
        <v>#NUM!</v>
      </c>
      <c r="K337" s="248" t="e">
        <f ca="1"/>
        <v>#NUM!</v>
      </c>
      <c r="L337" s="248" t="e">
        <f ca="1"/>
        <v>#NUM!</v>
      </c>
      <c r="M337" s="22" t="e">
        <f ca="1"/>
        <v>#NUM!</v>
      </c>
      <c r="N337" s="22" t="e">
        <f ca="1"/>
        <v>#NUM!</v>
      </c>
      <c r="O337" s="22" t="e">
        <f ca="1"/>
        <v>#NUM!</v>
      </c>
    </row>
    <row r="338" spans="2:15">
      <c r="B338" s="22" t="e">
        <f ca="1"/>
        <v>#NUM!</v>
      </c>
      <c r="C338" s="22" t="e">
        <f ca="1"/>
        <v>#NUM!</v>
      </c>
      <c r="D338" s="22" t="e">
        <f ca="1"/>
        <v>#NUM!</v>
      </c>
      <c r="E338" s="22" t="e">
        <f ca="1"/>
        <v>#NUM!</v>
      </c>
      <c r="F338" s="234" t="e">
        <f ca="1"/>
        <v>#NUM!</v>
      </c>
      <c r="G338" s="22" t="e">
        <f ca="1"/>
        <v>#NUM!</v>
      </c>
      <c r="H338" s="22" t="e">
        <f ca="1"/>
        <v>#NUM!</v>
      </c>
      <c r="I338" s="22" t="e">
        <f ca="1"/>
        <v>#NUM!</v>
      </c>
      <c r="J338" s="248" t="e">
        <f ca="1"/>
        <v>#NUM!</v>
      </c>
      <c r="K338" s="248" t="e">
        <f ca="1"/>
        <v>#NUM!</v>
      </c>
      <c r="L338" s="248" t="e">
        <f ca="1"/>
        <v>#NUM!</v>
      </c>
      <c r="M338" s="22" t="e">
        <f ca="1"/>
        <v>#NUM!</v>
      </c>
      <c r="N338" s="22" t="e">
        <f ca="1"/>
        <v>#NUM!</v>
      </c>
      <c r="O338" s="22" t="e">
        <f ca="1"/>
        <v>#NUM!</v>
      </c>
    </row>
    <row r="339" spans="2:15">
      <c r="B339" s="22" t="e">
        <f ca="1"/>
        <v>#NUM!</v>
      </c>
      <c r="C339" s="22" t="e">
        <f ca="1"/>
        <v>#NUM!</v>
      </c>
      <c r="D339" s="22" t="e">
        <f ca="1"/>
        <v>#NUM!</v>
      </c>
      <c r="E339" s="22" t="e">
        <f ca="1"/>
        <v>#NUM!</v>
      </c>
      <c r="F339" s="234" t="e">
        <f ca="1"/>
        <v>#NUM!</v>
      </c>
      <c r="G339" s="22" t="e">
        <f ca="1"/>
        <v>#NUM!</v>
      </c>
      <c r="H339" s="22" t="e">
        <f ca="1"/>
        <v>#NUM!</v>
      </c>
      <c r="I339" s="22" t="e">
        <f ca="1"/>
        <v>#NUM!</v>
      </c>
      <c r="J339" s="248" t="e">
        <f ca="1"/>
        <v>#NUM!</v>
      </c>
      <c r="K339" s="248" t="e">
        <f ca="1"/>
        <v>#NUM!</v>
      </c>
      <c r="L339" s="248" t="e">
        <f ca="1"/>
        <v>#NUM!</v>
      </c>
      <c r="M339" s="22" t="e">
        <f ca="1"/>
        <v>#NUM!</v>
      </c>
      <c r="N339" s="22" t="e">
        <f ca="1"/>
        <v>#NUM!</v>
      </c>
      <c r="O339" s="22" t="e">
        <f ca="1"/>
        <v>#NUM!</v>
      </c>
    </row>
    <row r="340" spans="2:15">
      <c r="B340" s="22" t="e">
        <f ca="1"/>
        <v>#NUM!</v>
      </c>
      <c r="C340" s="22" t="e">
        <f ca="1"/>
        <v>#NUM!</v>
      </c>
      <c r="D340" s="22" t="e">
        <f ca="1"/>
        <v>#NUM!</v>
      </c>
      <c r="E340" s="22" t="e">
        <f ca="1"/>
        <v>#NUM!</v>
      </c>
      <c r="F340" s="234" t="e">
        <f ca="1"/>
        <v>#NUM!</v>
      </c>
      <c r="G340" s="22" t="e">
        <f ca="1"/>
        <v>#NUM!</v>
      </c>
      <c r="H340" s="22" t="e">
        <f ca="1"/>
        <v>#NUM!</v>
      </c>
      <c r="I340" s="22" t="e">
        <f ca="1"/>
        <v>#NUM!</v>
      </c>
      <c r="J340" s="248" t="e">
        <f ca="1"/>
        <v>#NUM!</v>
      </c>
      <c r="K340" s="248" t="e">
        <f ca="1"/>
        <v>#NUM!</v>
      </c>
      <c r="L340" s="248" t="e">
        <f ca="1"/>
        <v>#NUM!</v>
      </c>
      <c r="M340" s="22" t="e">
        <f ca="1"/>
        <v>#NUM!</v>
      </c>
      <c r="N340" s="22" t="e">
        <f ca="1"/>
        <v>#NUM!</v>
      </c>
      <c r="O340" s="22" t="e">
        <f ca="1"/>
        <v>#NUM!</v>
      </c>
    </row>
    <row r="341" spans="2:15">
      <c r="B341" s="22" t="e">
        <f ca="1"/>
        <v>#NUM!</v>
      </c>
      <c r="C341" s="22" t="e">
        <f ca="1"/>
        <v>#NUM!</v>
      </c>
      <c r="D341" s="22" t="e">
        <f ca="1"/>
        <v>#NUM!</v>
      </c>
      <c r="E341" s="22" t="e">
        <f ca="1"/>
        <v>#NUM!</v>
      </c>
      <c r="F341" s="234" t="e">
        <f ca="1"/>
        <v>#NUM!</v>
      </c>
      <c r="G341" s="22" t="e">
        <f ca="1"/>
        <v>#NUM!</v>
      </c>
      <c r="H341" s="22" t="e">
        <f ca="1"/>
        <v>#NUM!</v>
      </c>
      <c r="I341" s="22" t="e">
        <f ca="1"/>
        <v>#NUM!</v>
      </c>
      <c r="J341" s="248" t="e">
        <f ca="1"/>
        <v>#NUM!</v>
      </c>
      <c r="K341" s="248" t="e">
        <f ca="1"/>
        <v>#NUM!</v>
      </c>
      <c r="L341" s="248" t="e">
        <f ca="1"/>
        <v>#NUM!</v>
      </c>
      <c r="M341" s="22" t="e">
        <f ca="1"/>
        <v>#NUM!</v>
      </c>
      <c r="N341" s="22" t="e">
        <f ca="1"/>
        <v>#NUM!</v>
      </c>
      <c r="O341" s="22" t="e">
        <f ca="1"/>
        <v>#NUM!</v>
      </c>
    </row>
    <row r="342" spans="2:15">
      <c r="B342" s="22" t="e">
        <f ca="1"/>
        <v>#NUM!</v>
      </c>
      <c r="C342" s="22" t="e">
        <f ca="1"/>
        <v>#NUM!</v>
      </c>
      <c r="D342" s="22" t="e">
        <f ca="1"/>
        <v>#NUM!</v>
      </c>
      <c r="E342" s="22" t="e">
        <f ca="1"/>
        <v>#NUM!</v>
      </c>
      <c r="F342" s="234" t="e">
        <f ca="1"/>
        <v>#NUM!</v>
      </c>
      <c r="G342" s="22" t="e">
        <f ca="1"/>
        <v>#NUM!</v>
      </c>
      <c r="H342" s="22" t="e">
        <f ca="1"/>
        <v>#NUM!</v>
      </c>
      <c r="I342" s="22" t="e">
        <f ca="1"/>
        <v>#NUM!</v>
      </c>
      <c r="J342" s="248" t="e">
        <f ca="1"/>
        <v>#NUM!</v>
      </c>
      <c r="K342" s="248" t="e">
        <f ca="1"/>
        <v>#NUM!</v>
      </c>
      <c r="L342" s="248" t="e">
        <f ca="1"/>
        <v>#NUM!</v>
      </c>
      <c r="M342" s="22" t="e">
        <f ca="1"/>
        <v>#NUM!</v>
      </c>
      <c r="N342" s="22" t="e">
        <f ca="1"/>
        <v>#NUM!</v>
      </c>
      <c r="O342" s="22" t="e">
        <f ca="1"/>
        <v>#NUM!</v>
      </c>
    </row>
    <row r="343" spans="2:15">
      <c r="B343" s="22" t="e">
        <f ca="1"/>
        <v>#NUM!</v>
      </c>
      <c r="C343" s="22" t="e">
        <f ca="1"/>
        <v>#NUM!</v>
      </c>
      <c r="D343" s="22" t="e">
        <f ca="1"/>
        <v>#NUM!</v>
      </c>
      <c r="E343" s="22" t="e">
        <f ca="1"/>
        <v>#NUM!</v>
      </c>
      <c r="F343" s="234" t="e">
        <f ca="1"/>
        <v>#NUM!</v>
      </c>
      <c r="G343" s="22" t="e">
        <f ca="1"/>
        <v>#NUM!</v>
      </c>
      <c r="H343" s="22" t="e">
        <f ca="1"/>
        <v>#NUM!</v>
      </c>
      <c r="I343" s="22" t="e">
        <f ca="1"/>
        <v>#NUM!</v>
      </c>
      <c r="J343" s="248" t="e">
        <f ca="1"/>
        <v>#NUM!</v>
      </c>
      <c r="K343" s="248" t="e">
        <f ca="1"/>
        <v>#NUM!</v>
      </c>
      <c r="L343" s="248" t="e">
        <f ca="1"/>
        <v>#NUM!</v>
      </c>
      <c r="M343" s="22" t="e">
        <f ca="1"/>
        <v>#NUM!</v>
      </c>
      <c r="N343" s="22" t="e">
        <f ca="1"/>
        <v>#NUM!</v>
      </c>
      <c r="O343" s="22" t="e">
        <f ca="1"/>
        <v>#NUM!</v>
      </c>
    </row>
    <row r="344" spans="2:15">
      <c r="B344" s="22" t="e">
        <f ca="1"/>
        <v>#NUM!</v>
      </c>
      <c r="C344" s="22" t="e">
        <f ca="1"/>
        <v>#NUM!</v>
      </c>
      <c r="D344" s="22" t="e">
        <f ca="1"/>
        <v>#NUM!</v>
      </c>
      <c r="E344" s="22" t="e">
        <f ca="1"/>
        <v>#NUM!</v>
      </c>
      <c r="F344" s="234" t="e">
        <f ca="1"/>
        <v>#NUM!</v>
      </c>
      <c r="G344" s="22" t="e">
        <f ca="1"/>
        <v>#NUM!</v>
      </c>
      <c r="H344" s="22" t="e">
        <f ca="1"/>
        <v>#NUM!</v>
      </c>
      <c r="I344" s="22" t="e">
        <f ca="1"/>
        <v>#NUM!</v>
      </c>
      <c r="J344" s="248" t="e">
        <f ca="1"/>
        <v>#NUM!</v>
      </c>
      <c r="K344" s="248" t="e">
        <f ca="1"/>
        <v>#NUM!</v>
      </c>
      <c r="L344" s="248" t="e">
        <f ca="1"/>
        <v>#NUM!</v>
      </c>
      <c r="M344" s="22" t="e">
        <f ca="1"/>
        <v>#NUM!</v>
      </c>
      <c r="N344" s="22" t="e">
        <f ca="1"/>
        <v>#NUM!</v>
      </c>
      <c r="O344" s="22" t="e">
        <f ca="1"/>
        <v>#NUM!</v>
      </c>
    </row>
    <row r="345" spans="2:15">
      <c r="B345" s="22" t="e">
        <f ca="1"/>
        <v>#NUM!</v>
      </c>
      <c r="C345" s="22" t="e">
        <f ca="1"/>
        <v>#NUM!</v>
      </c>
      <c r="D345" s="22" t="e">
        <f ca="1"/>
        <v>#NUM!</v>
      </c>
      <c r="E345" s="22" t="e">
        <f ca="1"/>
        <v>#NUM!</v>
      </c>
      <c r="F345" s="234" t="e">
        <f ca="1"/>
        <v>#NUM!</v>
      </c>
      <c r="G345" s="22" t="e">
        <f ca="1"/>
        <v>#NUM!</v>
      </c>
      <c r="H345" s="22" t="e">
        <f ca="1"/>
        <v>#NUM!</v>
      </c>
      <c r="I345" s="22" t="e">
        <f ca="1"/>
        <v>#NUM!</v>
      </c>
      <c r="J345" s="248" t="e">
        <f ca="1"/>
        <v>#NUM!</v>
      </c>
      <c r="K345" s="248" t="e">
        <f ca="1"/>
        <v>#NUM!</v>
      </c>
      <c r="L345" s="248" t="e">
        <f ca="1"/>
        <v>#NUM!</v>
      </c>
      <c r="M345" s="22" t="e">
        <f ca="1"/>
        <v>#NUM!</v>
      </c>
      <c r="N345" s="22" t="e">
        <f ca="1"/>
        <v>#NUM!</v>
      </c>
      <c r="O345" s="22" t="e">
        <f ca="1"/>
        <v>#NUM!</v>
      </c>
    </row>
    <row r="346" spans="2:15">
      <c r="B346" s="22" t="e">
        <f ca="1"/>
        <v>#NUM!</v>
      </c>
      <c r="C346" s="22" t="e">
        <f ca="1"/>
        <v>#NUM!</v>
      </c>
      <c r="D346" s="22" t="e">
        <f ca="1"/>
        <v>#NUM!</v>
      </c>
      <c r="E346" s="22" t="e">
        <f ca="1"/>
        <v>#NUM!</v>
      </c>
      <c r="F346" s="234" t="e">
        <f ca="1"/>
        <v>#NUM!</v>
      </c>
      <c r="G346" s="22" t="e">
        <f ca="1"/>
        <v>#NUM!</v>
      </c>
      <c r="H346" s="22" t="e">
        <f ca="1"/>
        <v>#NUM!</v>
      </c>
      <c r="I346" s="22" t="e">
        <f ca="1"/>
        <v>#NUM!</v>
      </c>
      <c r="J346" s="248" t="e">
        <f ca="1"/>
        <v>#NUM!</v>
      </c>
      <c r="K346" s="248" t="e">
        <f ca="1"/>
        <v>#NUM!</v>
      </c>
      <c r="L346" s="248" t="e">
        <f ca="1"/>
        <v>#NUM!</v>
      </c>
      <c r="M346" s="22" t="e">
        <f ca="1"/>
        <v>#NUM!</v>
      </c>
      <c r="N346" s="22" t="e">
        <f ca="1"/>
        <v>#NUM!</v>
      </c>
      <c r="O346" s="22" t="e">
        <f ca="1"/>
        <v>#NUM!</v>
      </c>
    </row>
    <row r="347" spans="2:15">
      <c r="B347" s="22" t="e">
        <f ca="1"/>
        <v>#NUM!</v>
      </c>
      <c r="C347" s="22" t="e">
        <f ca="1"/>
        <v>#NUM!</v>
      </c>
      <c r="D347" s="22" t="e">
        <f ca="1"/>
        <v>#NUM!</v>
      </c>
      <c r="E347" s="22" t="e">
        <f ca="1"/>
        <v>#NUM!</v>
      </c>
      <c r="F347" s="234" t="e">
        <f ca="1"/>
        <v>#NUM!</v>
      </c>
      <c r="G347" s="22" t="e">
        <f ca="1"/>
        <v>#NUM!</v>
      </c>
      <c r="H347" s="22" t="e">
        <f ca="1"/>
        <v>#NUM!</v>
      </c>
      <c r="I347" s="22" t="e">
        <f ca="1"/>
        <v>#NUM!</v>
      </c>
      <c r="J347" s="248" t="e">
        <f ca="1"/>
        <v>#NUM!</v>
      </c>
      <c r="K347" s="248" t="e">
        <f ca="1"/>
        <v>#NUM!</v>
      </c>
      <c r="L347" s="248" t="e">
        <f ca="1"/>
        <v>#NUM!</v>
      </c>
      <c r="M347" s="22" t="e">
        <f ca="1"/>
        <v>#NUM!</v>
      </c>
      <c r="N347" s="22" t="e">
        <f ca="1"/>
        <v>#NUM!</v>
      </c>
      <c r="O347" s="22" t="e">
        <f ca="1"/>
        <v>#NUM!</v>
      </c>
    </row>
    <row r="348" spans="2:15">
      <c r="B348" s="22" t="e">
        <f ca="1"/>
        <v>#NUM!</v>
      </c>
      <c r="C348" s="22" t="e">
        <f ca="1"/>
        <v>#NUM!</v>
      </c>
      <c r="D348" s="22" t="e">
        <f ca="1"/>
        <v>#NUM!</v>
      </c>
      <c r="E348" s="22" t="e">
        <f ca="1"/>
        <v>#NUM!</v>
      </c>
      <c r="F348" s="234" t="e">
        <f ca="1"/>
        <v>#NUM!</v>
      </c>
      <c r="G348" s="22" t="e">
        <f ca="1"/>
        <v>#NUM!</v>
      </c>
      <c r="H348" s="22" t="e">
        <f ca="1"/>
        <v>#NUM!</v>
      </c>
      <c r="I348" s="22" t="e">
        <f ca="1"/>
        <v>#NUM!</v>
      </c>
      <c r="J348" s="248" t="e">
        <f ca="1"/>
        <v>#NUM!</v>
      </c>
      <c r="K348" s="248" t="e">
        <f ca="1"/>
        <v>#NUM!</v>
      </c>
      <c r="L348" s="248" t="e">
        <f ca="1"/>
        <v>#NUM!</v>
      </c>
      <c r="M348" s="22" t="e">
        <f ca="1"/>
        <v>#NUM!</v>
      </c>
      <c r="N348" s="22" t="e">
        <f ca="1"/>
        <v>#NUM!</v>
      </c>
      <c r="O348" s="22" t="e">
        <f ca="1"/>
        <v>#NUM!</v>
      </c>
    </row>
    <row r="349" spans="2:15">
      <c r="B349" s="22" t="e">
        <f ca="1"/>
        <v>#NUM!</v>
      </c>
      <c r="C349" s="22" t="e">
        <f ca="1"/>
        <v>#NUM!</v>
      </c>
      <c r="D349" s="22" t="e">
        <f ca="1"/>
        <v>#NUM!</v>
      </c>
      <c r="E349" s="22" t="e">
        <f ca="1"/>
        <v>#NUM!</v>
      </c>
      <c r="F349" s="234" t="e">
        <f ca="1"/>
        <v>#NUM!</v>
      </c>
      <c r="G349" s="22" t="e">
        <f ca="1"/>
        <v>#NUM!</v>
      </c>
      <c r="H349" s="22" t="e">
        <f ca="1"/>
        <v>#NUM!</v>
      </c>
      <c r="I349" s="22" t="e">
        <f ca="1"/>
        <v>#NUM!</v>
      </c>
      <c r="J349" s="248" t="e">
        <f ca="1"/>
        <v>#NUM!</v>
      </c>
      <c r="K349" s="248" t="e">
        <f ca="1"/>
        <v>#NUM!</v>
      </c>
      <c r="L349" s="248" t="e">
        <f ca="1"/>
        <v>#NUM!</v>
      </c>
      <c r="M349" s="22" t="e">
        <f ca="1"/>
        <v>#NUM!</v>
      </c>
      <c r="N349" s="22" t="e">
        <f ca="1"/>
        <v>#NUM!</v>
      </c>
      <c r="O349" s="22" t="e">
        <f ca="1"/>
        <v>#NUM!</v>
      </c>
    </row>
    <row r="350" spans="2:15">
      <c r="B350" s="22" t="e">
        <f ca="1"/>
        <v>#NUM!</v>
      </c>
      <c r="C350" s="22" t="e">
        <f ca="1"/>
        <v>#NUM!</v>
      </c>
      <c r="D350" s="22" t="e">
        <f ca="1"/>
        <v>#NUM!</v>
      </c>
      <c r="E350" s="22" t="e">
        <f ca="1"/>
        <v>#NUM!</v>
      </c>
      <c r="F350" s="234" t="e">
        <f ca="1"/>
        <v>#NUM!</v>
      </c>
      <c r="G350" s="22" t="e">
        <f ca="1"/>
        <v>#NUM!</v>
      </c>
      <c r="H350" s="22" t="e">
        <f ca="1"/>
        <v>#NUM!</v>
      </c>
      <c r="I350" s="22" t="e">
        <f ca="1"/>
        <v>#NUM!</v>
      </c>
      <c r="J350" s="248" t="e">
        <f ca="1"/>
        <v>#NUM!</v>
      </c>
      <c r="K350" s="248" t="e">
        <f ca="1"/>
        <v>#NUM!</v>
      </c>
      <c r="L350" s="248" t="e">
        <f ca="1"/>
        <v>#NUM!</v>
      </c>
      <c r="M350" s="22" t="e">
        <f ca="1"/>
        <v>#NUM!</v>
      </c>
      <c r="N350" s="22" t="e">
        <f ca="1"/>
        <v>#NUM!</v>
      </c>
      <c r="O350" s="22" t="e">
        <f ca="1"/>
        <v>#NUM!</v>
      </c>
    </row>
    <row r="351" spans="2:15">
      <c r="B351" s="22" t="e">
        <f ca="1"/>
        <v>#NUM!</v>
      </c>
      <c r="C351" s="22" t="e">
        <f ca="1"/>
        <v>#NUM!</v>
      </c>
      <c r="D351" s="22" t="e">
        <f ca="1"/>
        <v>#NUM!</v>
      </c>
      <c r="E351" s="22" t="e">
        <f ca="1"/>
        <v>#NUM!</v>
      </c>
      <c r="F351" s="234" t="e">
        <f ca="1"/>
        <v>#NUM!</v>
      </c>
      <c r="G351" s="22" t="e">
        <f ca="1"/>
        <v>#NUM!</v>
      </c>
      <c r="H351" s="22" t="e">
        <f ca="1"/>
        <v>#NUM!</v>
      </c>
      <c r="I351" s="22" t="e">
        <f ca="1"/>
        <v>#NUM!</v>
      </c>
      <c r="J351" s="248" t="e">
        <f ca="1"/>
        <v>#NUM!</v>
      </c>
      <c r="K351" s="248" t="e">
        <f ca="1"/>
        <v>#NUM!</v>
      </c>
      <c r="L351" s="248" t="e">
        <f ca="1"/>
        <v>#NUM!</v>
      </c>
      <c r="M351" s="22" t="e">
        <f ca="1"/>
        <v>#NUM!</v>
      </c>
      <c r="N351" s="22" t="e">
        <f ca="1"/>
        <v>#NUM!</v>
      </c>
      <c r="O351" s="22" t="e">
        <f ca="1"/>
        <v>#NUM!</v>
      </c>
    </row>
    <row r="352" spans="2:15">
      <c r="B352" s="22" t="e">
        <f ca="1"/>
        <v>#NUM!</v>
      </c>
      <c r="C352" s="22" t="e">
        <f ca="1"/>
        <v>#NUM!</v>
      </c>
      <c r="D352" s="22" t="e">
        <f ca="1"/>
        <v>#NUM!</v>
      </c>
      <c r="E352" s="22" t="e">
        <f ca="1"/>
        <v>#NUM!</v>
      </c>
      <c r="F352" s="234" t="e">
        <f ca="1"/>
        <v>#NUM!</v>
      </c>
      <c r="G352" s="22" t="e">
        <f ca="1"/>
        <v>#NUM!</v>
      </c>
      <c r="H352" s="22" t="e">
        <f ca="1"/>
        <v>#NUM!</v>
      </c>
      <c r="I352" s="22" t="e">
        <f ca="1"/>
        <v>#NUM!</v>
      </c>
      <c r="J352" s="248" t="e">
        <f ca="1"/>
        <v>#NUM!</v>
      </c>
      <c r="K352" s="248" t="e">
        <f ca="1"/>
        <v>#NUM!</v>
      </c>
      <c r="L352" s="248" t="e">
        <f ca="1"/>
        <v>#NUM!</v>
      </c>
      <c r="M352" s="22" t="e">
        <f ca="1"/>
        <v>#NUM!</v>
      </c>
      <c r="N352" s="22" t="e">
        <f ca="1"/>
        <v>#NUM!</v>
      </c>
      <c r="O352" s="22" t="e">
        <f ca="1"/>
        <v>#NUM!</v>
      </c>
    </row>
    <row r="353" spans="2:15">
      <c r="B353" s="22" t="e">
        <f ca="1"/>
        <v>#NUM!</v>
      </c>
      <c r="C353" s="22" t="e">
        <f ca="1"/>
        <v>#NUM!</v>
      </c>
      <c r="D353" s="22" t="e">
        <f ca="1"/>
        <v>#NUM!</v>
      </c>
      <c r="E353" s="22" t="e">
        <f ca="1"/>
        <v>#NUM!</v>
      </c>
      <c r="F353" s="234" t="e">
        <f ca="1"/>
        <v>#NUM!</v>
      </c>
      <c r="G353" s="22" t="e">
        <f ca="1"/>
        <v>#NUM!</v>
      </c>
      <c r="H353" s="22" t="e">
        <f ca="1"/>
        <v>#NUM!</v>
      </c>
      <c r="I353" s="22" t="e">
        <f ca="1"/>
        <v>#NUM!</v>
      </c>
      <c r="J353" s="248" t="e">
        <f ca="1"/>
        <v>#NUM!</v>
      </c>
      <c r="K353" s="248" t="e">
        <f ca="1"/>
        <v>#NUM!</v>
      </c>
      <c r="L353" s="248" t="e">
        <f ca="1"/>
        <v>#NUM!</v>
      </c>
      <c r="M353" s="22" t="e">
        <f ca="1"/>
        <v>#NUM!</v>
      </c>
      <c r="N353" s="22" t="e">
        <f ca="1"/>
        <v>#NUM!</v>
      </c>
      <c r="O353" s="22" t="e">
        <f ca="1"/>
        <v>#NUM!</v>
      </c>
    </row>
    <row r="354" spans="2:15">
      <c r="B354" s="22" t="e">
        <f ca="1"/>
        <v>#NUM!</v>
      </c>
      <c r="C354" s="22" t="e">
        <f ca="1"/>
        <v>#NUM!</v>
      </c>
      <c r="D354" s="22" t="e">
        <f ca="1"/>
        <v>#NUM!</v>
      </c>
      <c r="E354" s="22" t="e">
        <f ca="1"/>
        <v>#NUM!</v>
      </c>
      <c r="F354" s="234" t="e">
        <f ca="1"/>
        <v>#NUM!</v>
      </c>
      <c r="G354" s="22" t="e">
        <f ca="1"/>
        <v>#NUM!</v>
      </c>
      <c r="H354" s="22" t="e">
        <f ca="1"/>
        <v>#NUM!</v>
      </c>
      <c r="I354" s="22" t="e">
        <f ca="1"/>
        <v>#NUM!</v>
      </c>
      <c r="J354" s="248" t="e">
        <f ca="1"/>
        <v>#NUM!</v>
      </c>
      <c r="K354" s="248" t="e">
        <f ca="1"/>
        <v>#NUM!</v>
      </c>
      <c r="L354" s="248" t="e">
        <f ca="1"/>
        <v>#NUM!</v>
      </c>
      <c r="M354" s="22" t="e">
        <f ca="1"/>
        <v>#NUM!</v>
      </c>
      <c r="N354" s="22" t="e">
        <f ca="1"/>
        <v>#NUM!</v>
      </c>
      <c r="O354" s="22" t="e">
        <f ca="1"/>
        <v>#NUM!</v>
      </c>
    </row>
    <row r="355" spans="2:15">
      <c r="B355" s="22" t="e">
        <f ca="1"/>
        <v>#NUM!</v>
      </c>
      <c r="C355" s="22" t="e">
        <f ca="1"/>
        <v>#NUM!</v>
      </c>
      <c r="D355" s="22" t="e">
        <f ca="1"/>
        <v>#NUM!</v>
      </c>
      <c r="E355" s="22" t="e">
        <f ca="1"/>
        <v>#NUM!</v>
      </c>
      <c r="F355" s="234" t="e">
        <f ca="1"/>
        <v>#NUM!</v>
      </c>
      <c r="G355" s="22" t="e">
        <f ca="1"/>
        <v>#NUM!</v>
      </c>
      <c r="H355" s="22" t="e">
        <f ca="1"/>
        <v>#NUM!</v>
      </c>
      <c r="I355" s="22" t="e">
        <f ca="1"/>
        <v>#NUM!</v>
      </c>
      <c r="J355" s="248" t="e">
        <f ca="1"/>
        <v>#NUM!</v>
      </c>
      <c r="K355" s="248" t="e">
        <f ca="1"/>
        <v>#NUM!</v>
      </c>
      <c r="L355" s="248" t="e">
        <f ca="1"/>
        <v>#NUM!</v>
      </c>
      <c r="M355" s="22" t="e">
        <f ca="1"/>
        <v>#NUM!</v>
      </c>
      <c r="N355" s="22" t="e">
        <f ca="1"/>
        <v>#NUM!</v>
      </c>
      <c r="O355" s="22" t="e">
        <f ca="1"/>
        <v>#NUM!</v>
      </c>
    </row>
    <row r="356" spans="2:15">
      <c r="B356" s="22" t="e">
        <f ca="1"/>
        <v>#NUM!</v>
      </c>
      <c r="C356" s="22" t="e">
        <f ca="1"/>
        <v>#NUM!</v>
      </c>
      <c r="D356" s="22" t="e">
        <f ca="1"/>
        <v>#NUM!</v>
      </c>
      <c r="E356" s="22" t="e">
        <f ca="1"/>
        <v>#NUM!</v>
      </c>
      <c r="F356" s="234" t="e">
        <f ca="1"/>
        <v>#NUM!</v>
      </c>
      <c r="G356" s="22" t="e">
        <f ca="1"/>
        <v>#NUM!</v>
      </c>
      <c r="H356" s="22" t="e">
        <f ca="1"/>
        <v>#NUM!</v>
      </c>
      <c r="I356" s="22" t="e">
        <f ca="1"/>
        <v>#NUM!</v>
      </c>
      <c r="J356" s="248" t="e">
        <f ca="1"/>
        <v>#NUM!</v>
      </c>
      <c r="K356" s="248" t="e">
        <f ca="1"/>
        <v>#NUM!</v>
      </c>
      <c r="L356" s="248" t="e">
        <f ca="1"/>
        <v>#NUM!</v>
      </c>
      <c r="M356" s="22" t="e">
        <f ca="1"/>
        <v>#NUM!</v>
      </c>
      <c r="N356" s="22" t="e">
        <f ca="1"/>
        <v>#NUM!</v>
      </c>
      <c r="O356" s="22" t="e">
        <f ca="1"/>
        <v>#NUM!</v>
      </c>
    </row>
    <row r="357" spans="2:15">
      <c r="B357" s="22" t="e">
        <f ca="1"/>
        <v>#NUM!</v>
      </c>
      <c r="C357" s="22" t="e">
        <f ca="1"/>
        <v>#NUM!</v>
      </c>
      <c r="D357" s="22" t="e">
        <f ca="1"/>
        <v>#NUM!</v>
      </c>
      <c r="E357" s="22" t="e">
        <f ca="1"/>
        <v>#NUM!</v>
      </c>
      <c r="F357" s="234" t="e">
        <f ca="1"/>
        <v>#NUM!</v>
      </c>
      <c r="G357" s="22" t="e">
        <f ca="1"/>
        <v>#NUM!</v>
      </c>
      <c r="H357" s="22" t="e">
        <f ca="1"/>
        <v>#NUM!</v>
      </c>
      <c r="I357" s="22" t="e">
        <f ca="1"/>
        <v>#NUM!</v>
      </c>
      <c r="J357" s="248" t="e">
        <f ca="1"/>
        <v>#NUM!</v>
      </c>
      <c r="K357" s="248" t="e">
        <f ca="1"/>
        <v>#NUM!</v>
      </c>
      <c r="L357" s="248" t="e">
        <f ca="1"/>
        <v>#NUM!</v>
      </c>
      <c r="M357" s="22" t="e">
        <f ca="1"/>
        <v>#NUM!</v>
      </c>
      <c r="N357" s="22" t="e">
        <f ca="1"/>
        <v>#NUM!</v>
      </c>
      <c r="O357" s="22" t="e">
        <f ca="1"/>
        <v>#NUM!</v>
      </c>
    </row>
    <row r="358" spans="2:15">
      <c r="B358" s="22" t="e">
        <f ca="1"/>
        <v>#NUM!</v>
      </c>
      <c r="C358" s="22" t="e">
        <f ca="1"/>
        <v>#NUM!</v>
      </c>
      <c r="D358" s="22" t="e">
        <f ca="1"/>
        <v>#NUM!</v>
      </c>
      <c r="E358" s="22" t="e">
        <f ca="1"/>
        <v>#NUM!</v>
      </c>
      <c r="F358" s="234" t="e">
        <f ca="1"/>
        <v>#NUM!</v>
      </c>
      <c r="G358" s="22" t="e">
        <f ca="1"/>
        <v>#NUM!</v>
      </c>
      <c r="H358" s="22" t="e">
        <f ca="1"/>
        <v>#NUM!</v>
      </c>
      <c r="I358" s="22" t="e">
        <f ca="1"/>
        <v>#NUM!</v>
      </c>
      <c r="J358" s="248" t="e">
        <f ca="1"/>
        <v>#NUM!</v>
      </c>
      <c r="K358" s="248" t="e">
        <f ca="1"/>
        <v>#NUM!</v>
      </c>
      <c r="L358" s="248" t="e">
        <f ca="1"/>
        <v>#NUM!</v>
      </c>
      <c r="M358" s="22" t="e">
        <f ca="1"/>
        <v>#NUM!</v>
      </c>
      <c r="N358" s="22" t="e">
        <f ca="1"/>
        <v>#NUM!</v>
      </c>
      <c r="O358" s="22" t="e">
        <f ca="1"/>
        <v>#NUM!</v>
      </c>
    </row>
    <row r="359" spans="2:15">
      <c r="B359" s="22" t="e">
        <f ca="1"/>
        <v>#NUM!</v>
      </c>
      <c r="C359" s="22" t="e">
        <f ca="1"/>
        <v>#NUM!</v>
      </c>
      <c r="D359" s="22" t="e">
        <f ca="1"/>
        <v>#NUM!</v>
      </c>
      <c r="E359" s="22" t="e">
        <f ca="1"/>
        <v>#NUM!</v>
      </c>
      <c r="F359" s="234" t="e">
        <f ca="1"/>
        <v>#NUM!</v>
      </c>
      <c r="G359" s="22" t="e">
        <f ca="1"/>
        <v>#NUM!</v>
      </c>
      <c r="H359" s="22" t="e">
        <f ca="1"/>
        <v>#NUM!</v>
      </c>
      <c r="I359" s="22" t="e">
        <f ca="1"/>
        <v>#NUM!</v>
      </c>
      <c r="J359" s="248" t="e">
        <f ca="1"/>
        <v>#NUM!</v>
      </c>
      <c r="K359" s="248" t="e">
        <f ca="1"/>
        <v>#NUM!</v>
      </c>
      <c r="L359" s="248" t="e">
        <f ca="1"/>
        <v>#NUM!</v>
      </c>
      <c r="M359" s="22" t="e">
        <f ca="1"/>
        <v>#NUM!</v>
      </c>
      <c r="N359" s="22" t="e">
        <f ca="1"/>
        <v>#NUM!</v>
      </c>
      <c r="O359" s="22" t="e">
        <f ca="1"/>
        <v>#NUM!</v>
      </c>
    </row>
    <row r="360" spans="2:15">
      <c r="B360" s="22" t="e">
        <f ca="1"/>
        <v>#NUM!</v>
      </c>
      <c r="C360" s="22" t="e">
        <f ca="1"/>
        <v>#NUM!</v>
      </c>
      <c r="D360" s="22" t="e">
        <f ca="1"/>
        <v>#NUM!</v>
      </c>
      <c r="E360" s="22" t="e">
        <f ca="1"/>
        <v>#NUM!</v>
      </c>
      <c r="F360" s="234" t="e">
        <f ca="1"/>
        <v>#NUM!</v>
      </c>
      <c r="G360" s="22" t="e">
        <f ca="1"/>
        <v>#NUM!</v>
      </c>
      <c r="H360" s="22" t="e">
        <f ca="1"/>
        <v>#NUM!</v>
      </c>
      <c r="I360" s="22" t="e">
        <f ca="1"/>
        <v>#NUM!</v>
      </c>
      <c r="J360" s="248" t="e">
        <f ca="1"/>
        <v>#NUM!</v>
      </c>
      <c r="K360" s="248" t="e">
        <f ca="1"/>
        <v>#NUM!</v>
      </c>
      <c r="L360" s="248" t="e">
        <f ca="1"/>
        <v>#NUM!</v>
      </c>
      <c r="M360" s="22" t="e">
        <f ca="1"/>
        <v>#NUM!</v>
      </c>
      <c r="N360" s="22" t="e">
        <f ca="1"/>
        <v>#NUM!</v>
      </c>
      <c r="O360" s="22" t="e">
        <f ca="1"/>
        <v>#NUM!</v>
      </c>
    </row>
  </sheetData>
  <autoFilter ref="B3:O225" xr:uid="{494B59AE-7808-4F50-8DE2-4929ADA2ECE6}"/>
  <conditionalFormatting sqref="B1:O1048576">
    <cfRule type="expression" dxfId="303" priority="1">
      <formula>AND(LEFT($B1, 6)="-", COLUMN($B1)&lt;=COLUMN($B$1)+2)</formula>
    </cfRule>
  </conditionalFormatting>
  <conditionalFormatting sqref="D1:D1048576">
    <cfRule type="containsText" dxfId="302" priority="4" operator="containsText" text="Recover">
      <formula>NOT(ISERROR(SEARCH("Recover",D1)))</formula>
    </cfRule>
    <cfRule type="containsText" dxfId="301" priority="5" operator="containsText" text="Respond">
      <formula>NOT(ISERROR(SEARCH("Respond",D1)))</formula>
    </cfRule>
    <cfRule type="containsText" dxfId="300" priority="6" operator="containsText" text="Protect">
      <formula>NOT(ISERROR(SEARCH("Protect",D1)))</formula>
    </cfRule>
    <cfRule type="containsText" dxfId="299" priority="7" operator="containsText" text="Detect">
      <formula>NOT(ISERROR(SEARCH("Detect",D1)))</formula>
    </cfRule>
    <cfRule type="containsText" dxfId="298" priority="8" operator="containsText" text="Identify">
      <formula>NOT(ISERROR(SEARCH("Identify",D1)))</formula>
    </cfRule>
  </conditionalFormatting>
  <conditionalFormatting sqref="M1:M1048576">
    <cfRule type="cellIs" dxfId="297" priority="3" operator="equal">
      <formula>"V"</formula>
    </cfRule>
  </conditionalFormatting>
  <conditionalFormatting sqref="O1:O1048576">
    <cfRule type="beginsWith" dxfId="296" priority="2" operator="beginsWith" text="v">
      <formula>LEFT(O1,LEN("v"))="v"</formula>
    </cfRule>
  </conditionalFormatting>
  <pageMargins left="0.7" right="0.7" top="0.75" bottom="0.75" header="0.3" footer="0.3"/>
  <pageSetup paperSize="9" orientation="portrait"/>
</worksheet>
</file>

<file path=xl/worksheets/sheet15.xml><?xml version="1.0" encoding="utf-8"?>
<worksheet xmlns="http://schemas.openxmlformats.org/spreadsheetml/2006/main" xmlns:ns1="http://schemas.openxmlformats.org/markup-compatibility/2006" xmlns:ns2="http://schemas.microsoft.com/office/spreadsheetml/2014/revision" ns1:Ignorable="x14ac xr xr2 xr3" ns2:uid="{5A3F8DBA-EFBF-4DB8-AF90-60A68889979B}">
  <sheetPr codeName="Sheet6"/>
  <dimension ref="A1:G24"/>
  <sheetViews>
    <sheetView rightToLeft="1" showRuler="0" zoomScaleNormal="100" zoomScaleSheetLayoutView="100" workbookViewId="0">
      <selection activeCell="B6" sqref="B6:F6"/>
    </sheetView>
  </sheetViews>
  <sheetFormatPr defaultColWidth="0" defaultRowHeight="14.25" zeroHeight="1"/>
  <cols>
    <col min="1" max="1" width="9.125" style="99" customWidth="1"/>
    <col min="2" max="6" width="12.875" style="99" customWidth="1"/>
    <col min="7" max="7" width="9.125" style="99" customWidth="1"/>
    <col min="8" max="16384" width="9.125" style="99" hidden="1"/>
  </cols>
  <sheetData>
    <row r="1" spans="1:7" ht="63.75" customHeight="1" thickBot="1">
      <c r="A1" s="28"/>
      <c r="B1" s="28"/>
      <c r="C1" s="28"/>
      <c r="D1" s="28"/>
      <c r="E1" s="28"/>
      <c r="F1" s="28"/>
      <c r="G1" s="28"/>
    </row>
    <row r="2" spans="1:7" ht="15.75" thickBot="1">
      <c r="A2" s="28"/>
      <c r="B2" s="591" t="s">
        <v>2055</v>
      </c>
      <c r="C2" s="592"/>
      <c r="D2" s="592"/>
      <c r="E2" s="592"/>
      <c r="F2" s="593"/>
      <c r="G2" s="28"/>
    </row>
    <row r="3" spans="1:7" ht="27" customHeight="1">
      <c r="A3" s="28"/>
      <c r="B3" s="594">
        <v>1</v>
      </c>
      <c r="C3" s="595" t="inlineStr">
        <is>
          <t xml:space="preserve">אופי הפרויקט: פורטל לקוחות של מפ"י בשלב הוכחת היתכנות (POC), המדגים מסלולי שירות והזמנה מקוונים לקראת יישום מלא.</t>
        </is>
      </c>
      <c r="D3" s="595"/>
      <c r="E3" s="595"/>
      <c r="F3" s="596"/>
      <c r="G3" s="28"/>
    </row>
    <row r="4" spans="1:7" ht="27" customHeight="1">
      <c r="A4" s="28"/>
      <c r="B4" s="585">
        <v>2</v>
      </c>
      <c r="C4" s="586" t="inlineStr">
        <is>
          <t xml:space="preserve">תשתית: אירוח ב-Vercel (PaaS / Serverless) ובסיס נתונים Neon PostgreSQL (Serverless). אין שרתים בניהול הארגון ואין רכיבי On-Prem.</t>
        </is>
      </c>
      <c r="D4" s="586"/>
      <c r="E4" s="586"/>
      <c r="F4" s="587"/>
      <c r="G4" s="28"/>
    </row>
    <row r="5" spans="1:7" ht="27" customHeight="1">
      <c r="A5" s="28"/>
      <c r="B5" s="585">
        <v>3</v>
      </c>
      <c r="C5" s="586" t="inlineStr">
        <is>
          <t xml:space="preserve">מיקום המידע: אזור הריצה שנצפה בפועל הוא פרנקפורט (fra1) — כלומר המידע נשמר ומעובד מחוץ לישראל. נדרשת הכרעת הוועדה/המנחה, או מעבר לאזור בישראל.</t>
        </is>
      </c>
      <c r="D5" s="586"/>
      <c r="E5" s="586"/>
      <c r="F5" s="587"/>
      <c r="G5" s="28"/>
    </row>
    <row r="6" spans="1:7" ht="27" customHeight="1">
      <c r="A6" s="28"/>
      <c r="B6" s="585">
        <v>4</v>
      </c>
      <c r="C6" s="586" t="inlineStr">
        <is>
          <t xml:space="preserve">הצפנה: תעבורה מוצפנת TLS עם HSTS (שנתיים, includeSubDomains, preload) — אומת בפועל; הצפנה במנוחה מסופקת על ידי Neon; ניהול מפתחות אוטומטי בענן.</t>
        </is>
      </c>
      <c r="D6" s="586"/>
      <c r="E6" s="586"/>
      <c r="F6" s="587"/>
      <c r="G6" s="28"/>
    </row>
    <row r="7" spans="1:7" ht="27" customHeight="1">
      <c r="A7" s="28"/>
      <c r="B7" s="585">
        <v>5</v>
      </c>
      <c r="C7" s="586" t="inlineStr">
        <is>
          <t xml:space="preserve">ממשקי API של יישומי צד שלישי: GovMap (הטמעת מפה וסימון אזור), govforms.gov.il ו-gov.il (טפסים רשמיים ומפתחות גיליונות), שירות דואר יוצא (Google Apps Script Web App או Resend API), Google Sheets ו-Google Chat (אופציונלי, מושבתים בייצור), Google OAuth לכניסת CMS (אופציונלי), ו-Neon PostgreSQL. כלל התקשורת ב-HTTPS/TLS בלבד.</t>
        </is>
      </c>
      <c r="D7" s="586"/>
      <c r="E7" s="586"/>
      <c r="F7" s="587"/>
      <c r="G7" s="28"/>
    </row>
    <row r="8" spans="1:7" ht="27" customHeight="1">
      <c r="A8" s="28"/>
      <c r="B8" s="585">
        <v>6</v>
      </c>
      <c r="C8" s="586" t="inlineStr">
        <is>
          <t xml:space="preserve">שער תשלומים: בשלב ה-POC התשלום מסומלץ. ביישום מלא מתוכנן חיבור לשירות התשלומים הממשלתי — ממשק זה יידרש בחינה ואישור נפרדים.</t>
        </is>
      </c>
      <c r="D8" s="586"/>
      <c r="E8" s="586"/>
      <c r="F8" s="587"/>
      <c r="G8" s="28"/>
    </row>
    <row r="9" spans="1:7" ht="27" customHeight="1">
      <c r="A9" s="28"/>
      <c r="B9" s="585">
        <v>7</v>
      </c>
      <c r="C9" s="586" t="inlineStr">
        <is>
          <t xml:space="preserve">יישומים מתוכננים (לפי מסמך האפיון): הרחבת ההזמנה המקוונת לכלל מסלולי השירות, אזור אישי ומעקב הזמנות, מנוע המלצות ומכירה צולבת, מנויי CORS (בנק שימוש), חבילות מוצרים, ניהול תוכן ומוצרים ב-CMS, דוחות וניתוח, ושילוב עתידי עם Salesforce.</t>
        </is>
      </c>
      <c r="D9" s="586"/>
      <c r="E9" s="586"/>
      <c r="F9" s="587"/>
      <c r="G9" s="28"/>
    </row>
    <row r="10" spans="1:7" ht="27" customHeight="1">
      <c r="A10" s="28"/>
      <c r="B10" s="588">
        <v>8</v>
      </c>
      <c r="C10" s="589" t="inlineStr">
        <is>
          <t xml:space="preserve">אימות והרשאות: הציבור גולש ללא הזדהות; ממשק הניהול (CMS) מוגן בסיסמה מגובבת SHA-256, עוגיית session חתומה (httpOnly/secure/SameSite), הגבלת קצב לניסיונות כניסה ובקרת הרשאות בצד השרת.</t>
        </is>
      </c>
      <c r="D10" s="589"/>
      <c r="E10" s="589"/>
      <c r="F10" s="590"/>
      <c r="G10" s="28"/>
    </row>
    <row r="11" spans="1:7" ht="27" customHeight="1">
      <c r="A11" s="28"/>
      <c r="B11" s="585">
        <v>9</v>
      </c>
      <c r="C11" s="586" t="inlineStr">
        <is>
          <t xml:space="preserve">פיתוח מאובטח: הפיתוח יושר להנחיית מערך הסייבר הלאומי "הקפדה על כללי הפיתוח המאובטח באתרי Web" (01/09/2026) ולעקרונות OWASP Top 10. אומת בפועל בייצור: ספריית git אינה חשופה, אין מפתחות API מוטמעים בקוד או בחבילת הלקוח, מפות מקור אינן מוגשות, וכל כותרות האבטחה נשלחות.</t>
        </is>
      </c>
      <c r="D11" s="586"/>
      <c r="E11" s="586"/>
      <c r="F11" s="587"/>
      <c r="G11" s="28"/>
    </row>
    <row r="12" spans="1:7" ht="27" customHeight="1">
      <c r="A12" s="28"/>
      <c r="B12" s="585">
        <v>10</v>
      </c>
      <c r="C12" s="586" t="inlineStr">
        <is>
          <t xml:space="preserve">בקרת רגרסיה: נוספה בדיקה אוטומטית (npm run security:check) המונעת פריסה עם קבצי סביבה במעקב גרסאות, סודות מוטמעים בקוד או כותרות אבטחה חסרות.</t>
        </is>
      </c>
      <c r="D12" s="586"/>
      <c r="E12" s="586"/>
      <c r="F12" s="587"/>
      <c r="G12" s="28"/>
    </row>
    <row r="13" spans="1:7" ht="27" customHeight="1">
      <c r="A13" s="28"/>
      <c r="B13" s="585">
        <v>11</v>
      </c>
      <c r="C13" s="586" t="inlineStr">
        <is>
          <t xml:space="preserve">פערים לסגירה לפני ייצור: הלבנת קבצים (CDR/Sandbox) להעלאות; חיבור לניטור SIEM/SOC ארגוני; מעבר להזדהות SSO ארגונית ל-CMS; והפרדת בסיסי נתונים בין סביבות (כיום סביבות הבדיקות והייצור חולקות מסד נתונים).</t>
        </is>
      </c>
      <c r="D13" s="586"/>
      <c r="E13" s="586"/>
      <c r="F13" s="587"/>
      <c r="G13" s="28"/>
    </row>
    <row r="14" spans="1:7" ht="27" customHeight="1">
      <c r="A14" s="28"/>
      <c r="B14" s="585">
        <v>12</v>
      </c>
      <c r="C14" s="586" t="inlineStr">
        <is>
          <t xml:space="preserve">מידע אישי: הטפסים אוספים שם, מספר זהות או ח.פ, דוא"ל, טלפון וכתובת למשלוח — ולכן המערכת מכילה מידע פרטי הכולל מזהים ישירים, ויחולו עליה חובות הגנת פרטיות.</t>
        </is>
      </c>
      <c r="D14" s="586"/>
      <c r="E14" s="586"/>
      <c r="F14" s="587"/>
      <c r="G14" s="28"/>
    </row>
    <row r="15" spans="1:7" ht="27" customHeight="1">
      <c r="A15" s="28"/>
      <c r="B15" s="585">
        <v>13</v>
      </c>
      <c r="C15" s="586" t="inlineStr">
        <is>
          <t xml:space="preserve">סעיפים הדורשים השלמה על ידי מפ"י: כשירות ארגונית (גיליון 1), שרשרת אספקה ופרטי ספקים (גיליון 3), בעלי תפקידים ואישורים (גיליון כללי), והכרעה האם המערכת מוגדרת תמ"ק (שאלה Q2.9).</t>
        </is>
      </c>
      <c r="D15" s="586"/>
      <c r="E15" s="586"/>
      <c r="F15" s="587"/>
      <c r="G15" s="28"/>
    </row>
    <row r="16" spans="1:7" ht="27" customHeight="1">
      <c r="A16" s="28"/>
      <c r="B16" s="585">
        <v>14</v>
      </c>
      <c r="C16" s="586"/>
      <c r="D16" s="586"/>
      <c r="E16" s="586"/>
      <c r="F16" s="587"/>
      <c r="G16" s="28"/>
    </row>
    <row r="17" spans="1:7" ht="27" customHeight="1">
      <c r="A17" s="28"/>
      <c r="B17" s="585">
        <v>15</v>
      </c>
      <c r="C17" s="586"/>
      <c r="D17" s="586"/>
      <c r="E17" s="586"/>
      <c r="F17" s="587"/>
      <c r="G17" s="28"/>
    </row>
    <row r="18" spans="1:7">
      <c r="A18" s="28"/>
      <c r="B18" s="28"/>
      <c r="C18" s="28"/>
      <c r="D18" s="28"/>
      <c r="E18" s="28"/>
      <c r="F18" s="28"/>
      <c r="G18" s="28"/>
    </row>
    <row r="19" spans="1:7"/>
    <row r="20" spans="1:7"/>
    <row r="21" spans="1:7"/>
    <row r="22" spans="1:7"/>
    <row r="23" spans="1:7"/>
    <row r="24" spans="1:7"/>
  </sheetData>
  <mergeCells count="16">
    <mergeCell ref="B17:F17"/>
    <mergeCell ref="B11:F11"/>
    <mergeCell ref="B12:F12"/>
    <mergeCell ref="B13:F13"/>
    <mergeCell ref="B14:F14"/>
    <mergeCell ref="B15:F15"/>
    <mergeCell ref="B16:F16"/>
    <mergeCell ref="B7:F7"/>
    <mergeCell ref="B8:F8"/>
    <mergeCell ref="B9:F9"/>
    <mergeCell ref="B10:F10"/>
    <mergeCell ref="B2:F2"/>
    <mergeCell ref="B3:F3"/>
    <mergeCell ref="B4:F4"/>
    <mergeCell ref="B5:F5"/>
    <mergeCell ref="B6:F6"/>
  </mergeCell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CF986-501D-46C5-9CBE-22A7BE33C5A4}">
  <sheetPr codeName="Sheet9"/>
  <dimension ref="A1:K28"/>
  <sheetViews>
    <sheetView rightToLeft="1" workbookViewId="0">
      <selection activeCell="E2" sqref="E2"/>
    </sheetView>
  </sheetViews>
  <sheetFormatPr defaultColWidth="0" defaultRowHeight="14.25" zeroHeight="1"/>
  <cols>
    <col min="1" max="2" width="8.875" style="99" customWidth="1"/>
    <col min="3" max="3" width="19.125" style="99" customWidth="1"/>
    <col min="4" max="11" width="8.875" style="99" customWidth="1"/>
    <col min="12" max="16384" width="8.875" style="99" hidden="1"/>
  </cols>
  <sheetData>
    <row r="1" spans="1:11" ht="24.75" customHeight="1">
      <c r="A1" s="53"/>
      <c r="B1" s="53"/>
      <c r="C1" s="53"/>
      <c r="D1" s="53"/>
      <c r="E1" s="53"/>
      <c r="F1" s="53"/>
      <c r="G1" s="53"/>
      <c r="H1" s="53"/>
      <c r="I1" s="53"/>
      <c r="J1" s="53"/>
      <c r="K1" s="53"/>
    </row>
    <row r="2" spans="1:11">
      <c r="A2" s="53"/>
      <c r="B2" s="53"/>
      <c r="C2" s="53"/>
      <c r="D2" s="53"/>
      <c r="E2" s="53"/>
      <c r="F2" s="53"/>
      <c r="G2" s="53"/>
      <c r="H2" s="53"/>
      <c r="I2" s="53"/>
      <c r="J2" s="53"/>
      <c r="K2" s="53"/>
    </row>
    <row r="3" spans="1:11">
      <c r="A3" s="53"/>
      <c r="K3" s="53"/>
    </row>
    <row r="4" spans="1:11" ht="20.25">
      <c r="A4" s="53"/>
      <c r="B4" s="513" t="s">
        <v>80</v>
      </c>
      <c r="C4" s="513"/>
      <c r="D4" s="513"/>
      <c r="E4" s="513"/>
      <c r="F4" s="513"/>
      <c r="G4" s="513"/>
      <c r="H4" s="513"/>
      <c r="I4" s="513"/>
      <c r="J4" s="513"/>
      <c r="K4" s="53"/>
    </row>
    <row r="5" spans="1:11">
      <c r="A5" s="53"/>
      <c r="K5" s="53"/>
    </row>
    <row r="6" spans="1:11" ht="14.45" customHeight="1" thickBot="1">
      <c r="A6" s="53"/>
      <c r="B6" s="110" t="s">
        <v>81</v>
      </c>
      <c r="C6" s="111" t="s">
        <v>82</v>
      </c>
      <c r="D6" s="599" t="s">
        <v>83</v>
      </c>
      <c r="E6" s="599"/>
      <c r="F6" s="599"/>
      <c r="G6" s="599"/>
      <c r="H6" s="599"/>
      <c r="I6" s="599"/>
      <c r="J6" s="599"/>
      <c r="K6" s="53"/>
    </row>
    <row r="7" spans="1:11" ht="31.35" customHeight="1">
      <c r="A7" s="53"/>
      <c r="B7" s="115">
        <v>1</v>
      </c>
      <c r="C7" s="116" t="s">
        <v>84</v>
      </c>
      <c r="D7" s="595" t="s">
        <v>86</v>
      </c>
      <c r="E7" s="595"/>
      <c r="F7" s="595"/>
      <c r="G7" s="595"/>
      <c r="H7" s="595"/>
      <c r="I7" s="595"/>
      <c r="J7" s="596"/>
      <c r="K7" s="53"/>
    </row>
    <row r="8" spans="1:11" ht="81" customHeight="1">
      <c r="A8" s="53"/>
      <c r="B8" s="117">
        <v>2</v>
      </c>
      <c r="C8" s="113" t="s">
        <v>85</v>
      </c>
      <c r="D8" s="586" t="s">
        <v>87</v>
      </c>
      <c r="E8" s="586"/>
      <c r="F8" s="586"/>
      <c r="G8" s="586"/>
      <c r="H8" s="586"/>
      <c r="I8" s="586"/>
      <c r="J8" s="587"/>
      <c r="K8" s="53"/>
    </row>
    <row r="9" spans="1:11" ht="30">
      <c r="A9" s="53"/>
      <c r="B9" s="117">
        <v>3</v>
      </c>
      <c r="C9" s="114" t="s">
        <v>88</v>
      </c>
      <c r="D9" s="597" t="s">
        <v>89</v>
      </c>
      <c r="E9" s="597"/>
      <c r="F9" s="597"/>
      <c r="G9" s="597"/>
      <c r="H9" s="597"/>
      <c r="I9" s="597"/>
      <c r="J9" s="598"/>
      <c r="K9" s="53"/>
    </row>
    <row r="10" spans="1:11" ht="30">
      <c r="A10" s="53"/>
      <c r="B10" s="117">
        <v>4</v>
      </c>
      <c r="C10" s="114" t="s">
        <v>90</v>
      </c>
      <c r="D10" s="597" t="s">
        <v>91</v>
      </c>
      <c r="E10" s="597"/>
      <c r="F10" s="597"/>
      <c r="G10" s="597"/>
      <c r="H10" s="597"/>
      <c r="I10" s="597"/>
      <c r="J10" s="598"/>
      <c r="K10" s="53"/>
    </row>
    <row r="11" spans="1:11" ht="30">
      <c r="A11" s="53"/>
      <c r="B11" s="117">
        <v>5</v>
      </c>
      <c r="C11" s="114" t="s">
        <v>94</v>
      </c>
      <c r="D11" s="597" t="s">
        <v>92</v>
      </c>
      <c r="E11" s="597"/>
      <c r="F11" s="597"/>
      <c r="G11" s="597"/>
      <c r="H11" s="597"/>
      <c r="I11" s="597"/>
      <c r="J11" s="598"/>
      <c r="K11" s="53"/>
    </row>
    <row r="12" spans="1:11" ht="37.35" customHeight="1">
      <c r="A12" s="53"/>
      <c r="B12" s="117">
        <v>6</v>
      </c>
      <c r="C12" s="114" t="s">
        <v>93</v>
      </c>
      <c r="D12" s="586" t="s">
        <v>95</v>
      </c>
      <c r="E12" s="586"/>
      <c r="F12" s="586"/>
      <c r="G12" s="586"/>
      <c r="H12" s="586"/>
      <c r="I12" s="586"/>
      <c r="J12" s="587"/>
      <c r="K12" s="53"/>
    </row>
    <row r="13" spans="1:11" ht="27.6" customHeight="1">
      <c r="A13" s="53"/>
      <c r="B13" s="117">
        <v>7</v>
      </c>
      <c r="C13" s="113" t="s">
        <v>96</v>
      </c>
      <c r="D13" s="586" t="s">
        <v>97</v>
      </c>
      <c r="E13" s="586"/>
      <c r="F13" s="586"/>
      <c r="G13" s="586"/>
      <c r="H13" s="586"/>
      <c r="I13" s="586"/>
      <c r="J13" s="587"/>
      <c r="K13" s="53"/>
    </row>
    <row r="14" spans="1:11" ht="15">
      <c r="A14" s="53"/>
      <c r="B14" s="117">
        <v>8</v>
      </c>
      <c r="C14" s="113" t="s">
        <v>10</v>
      </c>
      <c r="D14" s="597" t="s">
        <v>98</v>
      </c>
      <c r="E14" s="597"/>
      <c r="F14" s="597"/>
      <c r="G14" s="597"/>
      <c r="H14" s="597"/>
      <c r="I14" s="597"/>
      <c r="J14" s="598"/>
      <c r="K14" s="53"/>
    </row>
    <row r="15" spans="1:11" ht="35.450000000000003" customHeight="1">
      <c r="A15" s="53"/>
      <c r="B15" s="117">
        <v>9</v>
      </c>
      <c r="C15" s="114" t="s">
        <v>99</v>
      </c>
      <c r="D15" s="586" t="s">
        <v>100</v>
      </c>
      <c r="E15" s="586"/>
      <c r="F15" s="586"/>
      <c r="G15" s="586"/>
      <c r="H15" s="586"/>
      <c r="I15" s="586"/>
      <c r="J15" s="587"/>
      <c r="K15" s="53"/>
    </row>
    <row r="16" spans="1:11" ht="145.35" customHeight="1">
      <c r="A16" s="53"/>
      <c r="B16" s="117">
        <v>10</v>
      </c>
      <c r="C16" s="114" t="s">
        <v>101</v>
      </c>
      <c r="D16" s="586" t="s">
        <v>102</v>
      </c>
      <c r="E16" s="597"/>
      <c r="F16" s="597"/>
      <c r="G16" s="597"/>
      <c r="H16" s="597"/>
      <c r="I16" s="597"/>
      <c r="J16" s="598"/>
      <c r="K16" s="53"/>
    </row>
    <row r="17" spans="1:11" ht="15.75" thickBot="1">
      <c r="A17" s="53"/>
      <c r="B17" s="118">
        <v>11</v>
      </c>
      <c r="C17" s="119" t="s">
        <v>103</v>
      </c>
      <c r="D17" s="600" t="s">
        <v>104</v>
      </c>
      <c r="E17" s="600"/>
      <c r="F17" s="600"/>
      <c r="G17" s="600"/>
      <c r="H17" s="600"/>
      <c r="I17" s="600"/>
      <c r="J17" s="601"/>
      <c r="K17" s="53"/>
    </row>
    <row r="18" spans="1:11">
      <c r="A18" s="53"/>
      <c r="B18" s="112"/>
      <c r="C18" s="112"/>
      <c r="D18" s="112"/>
      <c r="E18" s="112"/>
      <c r="F18" s="112"/>
      <c r="G18" s="112"/>
      <c r="H18" s="112"/>
      <c r="I18" s="112"/>
      <c r="J18" s="112"/>
      <c r="K18" s="53"/>
    </row>
    <row r="19" spans="1:11">
      <c r="A19" s="53"/>
      <c r="B19" s="120"/>
      <c r="C19" s="120"/>
      <c r="D19" s="120"/>
      <c r="E19" s="120"/>
      <c r="F19" s="120"/>
      <c r="G19" s="120"/>
      <c r="H19" s="120"/>
      <c r="I19" s="120"/>
      <c r="J19" s="120"/>
      <c r="K19" s="53"/>
    </row>
    <row r="20" spans="1:11">
      <c r="A20" s="53"/>
      <c r="B20" s="120"/>
      <c r="C20" s="120"/>
      <c r="D20" s="120"/>
      <c r="E20" s="120"/>
      <c r="F20" s="120"/>
      <c r="G20" s="120"/>
      <c r="H20" s="120"/>
      <c r="I20" s="120"/>
      <c r="J20" s="120"/>
      <c r="K20" s="53"/>
    </row>
    <row r="21" spans="1:11">
      <c r="A21" s="53"/>
      <c r="B21" s="120"/>
      <c r="C21" s="120"/>
      <c r="D21" s="120"/>
      <c r="E21" s="120"/>
      <c r="F21" s="120"/>
      <c r="G21" s="120"/>
      <c r="H21" s="120"/>
      <c r="I21" s="120"/>
      <c r="J21" s="120"/>
      <c r="K21" s="53"/>
    </row>
    <row r="22" spans="1:11" hidden="1">
      <c r="B22" s="112"/>
      <c r="C22" s="112"/>
      <c r="D22" s="112"/>
      <c r="E22" s="112"/>
      <c r="F22" s="112"/>
      <c r="G22" s="112"/>
      <c r="H22" s="112"/>
      <c r="I22" s="112"/>
      <c r="J22" s="112"/>
    </row>
    <row r="23" spans="1:11" hidden="1">
      <c r="B23" s="112"/>
      <c r="C23" s="112"/>
      <c r="D23" s="112"/>
      <c r="E23" s="112"/>
      <c r="F23" s="112"/>
      <c r="G23" s="112"/>
      <c r="H23" s="112"/>
      <c r="I23" s="112"/>
      <c r="J23" s="112"/>
    </row>
    <row r="24" spans="1:11" hidden="1">
      <c r="B24" s="112"/>
      <c r="C24" s="112"/>
      <c r="D24" s="112"/>
      <c r="E24" s="112"/>
      <c r="F24" s="112"/>
      <c r="G24" s="112"/>
      <c r="H24" s="112"/>
      <c r="I24" s="112"/>
      <c r="J24" s="112"/>
    </row>
    <row r="25" spans="1:11" hidden="1">
      <c r="B25" s="112"/>
      <c r="C25" s="112"/>
      <c r="D25" s="112"/>
      <c r="E25" s="112"/>
      <c r="F25" s="112"/>
      <c r="G25" s="112"/>
      <c r="H25" s="112"/>
      <c r="I25" s="112"/>
      <c r="J25" s="112"/>
    </row>
    <row r="26" spans="1:11" hidden="1">
      <c r="B26" s="112"/>
      <c r="C26" s="112"/>
      <c r="D26" s="112"/>
      <c r="E26" s="112"/>
      <c r="F26" s="112"/>
      <c r="G26" s="112"/>
      <c r="H26" s="112"/>
      <c r="I26" s="112"/>
      <c r="J26" s="112"/>
    </row>
    <row r="27" spans="1:11" hidden="1">
      <c r="B27" s="112"/>
      <c r="C27" s="112"/>
      <c r="D27" s="112"/>
      <c r="E27" s="112"/>
      <c r="F27" s="112"/>
      <c r="G27" s="112"/>
      <c r="H27" s="112"/>
      <c r="I27" s="112"/>
      <c r="J27" s="112"/>
    </row>
    <row r="28" spans="1:11" hidden="1">
      <c r="B28" s="112"/>
      <c r="C28" s="112"/>
      <c r="D28" s="112"/>
      <c r="E28" s="112"/>
      <c r="F28" s="112"/>
      <c r="G28" s="112"/>
      <c r="H28" s="112"/>
      <c r="I28" s="112"/>
      <c r="J28" s="112"/>
    </row>
  </sheetData>
  <mergeCells count="13">
    <mergeCell ref="D13:J13"/>
    <mergeCell ref="D14:J14"/>
    <mergeCell ref="D15:J15"/>
    <mergeCell ref="D16:J16"/>
    <mergeCell ref="D17:J17"/>
    <mergeCell ref="D10:J10"/>
    <mergeCell ref="D11:J11"/>
    <mergeCell ref="D12:J12"/>
    <mergeCell ref="B4:J4"/>
    <mergeCell ref="D6:J6"/>
    <mergeCell ref="D7:J7"/>
    <mergeCell ref="D8:J8"/>
    <mergeCell ref="D9:J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D590E-EFCD-4887-B171-98A971371150}">
  <sheetPr codeName="Sheet17"/>
  <dimension ref="A1:AE224"/>
  <sheetViews>
    <sheetView rightToLeft="1" zoomScale="58" zoomScaleNormal="55" workbookViewId="0">
      <pane ySplit="2" topLeftCell="A27" activePane="bottomLeft" state="frozen"/>
      <selection activeCell="A4" sqref="A4"/>
      <selection pane="bottomLeft" activeCell="D27" sqref="D27"/>
    </sheetView>
  </sheetViews>
  <sheetFormatPr defaultColWidth="9.125" defaultRowHeight="14.25"/>
  <cols>
    <col min="1" max="2" width="12.125" style="175" customWidth="1"/>
    <col min="3" max="3" width="13.875" style="175" bestFit="1" customWidth="1"/>
    <col min="4" max="4" width="13.875" style="446" bestFit="1" customWidth="1"/>
    <col min="5" max="5" width="14.5" style="175" customWidth="1"/>
    <col min="6" max="6" width="26.875" style="175" customWidth="1"/>
    <col min="7" max="7" width="73.5" style="447" customWidth="1"/>
    <col min="8" max="13" width="7.125" style="448" customWidth="1"/>
    <col min="14" max="14" width="13.125" style="449" customWidth="1"/>
    <col min="15" max="15" width="9.5" style="450" customWidth="1"/>
    <col min="16" max="16" width="33" style="451" customWidth="1"/>
    <col min="17" max="17" width="16.125" style="451" customWidth="1"/>
    <col min="18" max="18" width="43.5" style="201" hidden="1" customWidth="1"/>
    <col min="19" max="19" width="39.125" style="451" customWidth="1"/>
    <col min="20" max="20" width="31.875" style="451" customWidth="1"/>
    <col min="21" max="21" width="13.125" style="175" customWidth="1"/>
    <col min="22" max="22" width="13.125" style="450" customWidth="1"/>
    <col min="23" max="23" width="13.125" style="448" customWidth="1"/>
    <col min="24" max="27" width="9.125" style="448" customWidth="1"/>
    <col min="28" max="28" width="7.5" style="448" customWidth="1"/>
    <col min="29" max="29" width="13.375" style="175" customWidth="1"/>
    <col min="30" max="16384" width="9.125" style="175"/>
  </cols>
  <sheetData>
    <row r="1" spans="1:31" ht="15" customHeight="1">
      <c r="A1" s="196" t="s">
        <v>938</v>
      </c>
      <c r="B1" s="196" t="s">
        <v>939</v>
      </c>
      <c r="C1" s="196" t="s">
        <v>940</v>
      </c>
      <c r="D1" s="235" t="s">
        <v>941</v>
      </c>
      <c r="E1" s="196" t="s">
        <v>944</v>
      </c>
      <c r="F1" s="196" t="s">
        <v>945</v>
      </c>
      <c r="G1" s="239" t="s">
        <v>946</v>
      </c>
      <c r="H1" s="158" t="s">
        <v>947</v>
      </c>
      <c r="I1" s="158" t="s">
        <v>948</v>
      </c>
      <c r="J1" s="158" t="s">
        <v>949</v>
      </c>
      <c r="K1" s="158" t="s">
        <v>950</v>
      </c>
      <c r="L1" s="158" t="s">
        <v>951</v>
      </c>
      <c r="M1" s="158" t="s">
        <v>952</v>
      </c>
      <c r="N1" s="165" t="s">
        <v>953</v>
      </c>
      <c r="O1" s="197" t="s">
        <v>954</v>
      </c>
      <c r="P1" s="197" t="s">
        <v>955</v>
      </c>
      <c r="Q1" s="197" t="s">
        <v>956</v>
      </c>
      <c r="R1" s="198" t="s">
        <v>957</v>
      </c>
      <c r="S1" s="197" t="s">
        <v>958</v>
      </c>
      <c r="T1" s="197" t="s">
        <v>959</v>
      </c>
      <c r="U1" s="199" t="s">
        <v>960</v>
      </c>
      <c r="V1" s="159" t="s">
        <v>961</v>
      </c>
      <c r="W1" s="160" t="s">
        <v>962</v>
      </c>
      <c r="X1" s="148" t="s">
        <v>963</v>
      </c>
      <c r="Y1" s="148" t="s">
        <v>964</v>
      </c>
      <c r="Z1" s="148" t="s">
        <v>965</v>
      </c>
      <c r="AA1" s="148" t="s">
        <v>970</v>
      </c>
      <c r="AB1" s="148" t="s">
        <v>979</v>
      </c>
      <c r="AC1" s="443" t="s">
        <v>2022</v>
      </c>
    </row>
    <row r="2" spans="1:31" ht="42.75" hidden="1">
      <c r="A2" s="136" t="s">
        <v>942</v>
      </c>
      <c r="B2" s="136" t="s">
        <v>2023</v>
      </c>
      <c r="C2" s="136" t="s">
        <v>169</v>
      </c>
      <c r="D2" s="236" t="s">
        <v>170</v>
      </c>
      <c r="E2" s="136" t="s">
        <v>171</v>
      </c>
      <c r="F2" s="136" t="s">
        <v>172</v>
      </c>
      <c r="G2" s="236" t="s">
        <v>891</v>
      </c>
      <c r="H2" s="136" t="s">
        <v>174</v>
      </c>
      <c r="I2" s="136" t="s">
        <v>175</v>
      </c>
      <c r="J2" s="136" t="s">
        <v>176</v>
      </c>
      <c r="K2" s="136" t="s">
        <v>159</v>
      </c>
      <c r="L2" s="136" t="s">
        <v>160</v>
      </c>
      <c r="M2" s="136" t="s">
        <v>161</v>
      </c>
      <c r="N2" s="213" t="s">
        <v>172</v>
      </c>
      <c r="O2" s="213" t="s">
        <v>177</v>
      </c>
      <c r="P2" s="213" t="s">
        <v>173</v>
      </c>
      <c r="Q2" s="213" t="s">
        <v>178</v>
      </c>
      <c r="R2" s="216" t="s">
        <v>179</v>
      </c>
      <c r="S2" s="213" t="s">
        <v>180</v>
      </c>
      <c r="T2" s="213" t="s">
        <v>181</v>
      </c>
      <c r="U2" s="199" t="s">
        <v>927</v>
      </c>
      <c r="V2" s="159" t="s">
        <v>926</v>
      </c>
      <c r="W2" s="160" t="s">
        <v>1509</v>
      </c>
      <c r="X2" s="181" t="s">
        <v>164</v>
      </c>
      <c r="Y2" s="181" t="s">
        <v>165</v>
      </c>
      <c r="Z2" s="181" t="s">
        <v>166</v>
      </c>
      <c r="AA2" s="203" t="s">
        <v>1510</v>
      </c>
      <c r="AB2" s="181" t="s">
        <v>980</v>
      </c>
      <c r="AC2" s="236" t="s">
        <v>2024</v>
      </c>
    </row>
    <row r="3" spans="1:31" ht="110.25" hidden="1">
      <c r="A3" s="154" t="s">
        <v>942</v>
      </c>
      <c r="B3" s="154" t="s">
        <v>162</v>
      </c>
      <c r="C3" s="154" t="s">
        <v>162</v>
      </c>
      <c r="D3" s="245" t="s">
        <v>162</v>
      </c>
      <c r="E3" s="155"/>
      <c r="F3" s="219" t="s">
        <v>350</v>
      </c>
      <c r="G3" s="240" t="s">
        <v>1511</v>
      </c>
      <c r="H3" s="245" t="s">
        <v>162</v>
      </c>
      <c r="I3" s="245" t="s">
        <v>162</v>
      </c>
      <c r="J3" s="245" t="s">
        <v>162</v>
      </c>
      <c r="K3" s="245" t="s">
        <v>162</v>
      </c>
      <c r="L3" s="245" t="s">
        <v>162</v>
      </c>
      <c r="M3" s="245" t="s">
        <v>162</v>
      </c>
      <c r="N3" s="245" t="s">
        <v>162</v>
      </c>
      <c r="O3" s="245" t="s">
        <v>162</v>
      </c>
      <c r="P3" s="245" t="s">
        <v>162</v>
      </c>
      <c r="Q3" s="245" t="s">
        <v>162</v>
      </c>
      <c r="R3" s="154" t="s">
        <v>162</v>
      </c>
      <c r="S3" s="245" t="s">
        <v>162</v>
      </c>
      <c r="T3" s="245" t="s">
        <v>162</v>
      </c>
      <c r="U3" s="245" t="s">
        <v>162</v>
      </c>
      <c r="V3" s="245" t="s">
        <v>162</v>
      </c>
      <c r="W3" s="245" t="s">
        <v>162</v>
      </c>
      <c r="X3" s="245" t="s">
        <v>162</v>
      </c>
      <c r="Y3" s="245" t="s">
        <v>162</v>
      </c>
      <c r="Z3" s="245" t="s">
        <v>162</v>
      </c>
      <c r="AA3" s="245" t="s">
        <v>162</v>
      </c>
      <c r="AB3" s="245" t="s">
        <v>162</v>
      </c>
      <c r="AC3" s="158" t="str">
        <f>IF(AWS[[#This Row],[Column14]] = "-", AWS[[#This Row],[Column14]], LEFT(AWS[[#This Row],[Column14]], SEARCH(" ", AWS[[#This Row],[Column14]] &amp; " ") - 1))</f>
        <v>-</v>
      </c>
    </row>
    <row r="4" spans="1:31" ht="409.5">
      <c r="A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 s="137" t="str">
        <f>AWS[[#This Row],[Column30]]</f>
        <v>3.5</v>
      </c>
      <c r="C4" s="137">
        <v>1.1000000000000001</v>
      </c>
      <c r="D4" s="237" t="s">
        <v>352</v>
      </c>
      <c r="E4" s="162" t="s">
        <v>154</v>
      </c>
      <c r="F4" s="138" t="s">
        <v>353</v>
      </c>
      <c r="G4" s="241" t="s">
        <v>354</v>
      </c>
      <c r="H4" s="163" t="s">
        <v>185</v>
      </c>
      <c r="I4" s="164" t="s">
        <v>185</v>
      </c>
      <c r="J4" s="200" t="s">
        <v>185</v>
      </c>
      <c r="K4" s="176" t="s">
        <v>185</v>
      </c>
      <c r="L4" s="176" t="s">
        <v>185</v>
      </c>
      <c r="M4" s="176"/>
      <c r="N4" s="165" t="s">
        <v>355</v>
      </c>
      <c r="O4" s="197" t="s">
        <v>187</v>
      </c>
      <c r="P4" s="166" t="s">
        <v>356</v>
      </c>
      <c r="Q4" s="166" t="s">
        <v>357</v>
      </c>
      <c r="R4" s="167" t="s">
        <v>358</v>
      </c>
      <c r="S4" s="166" t="s">
        <v>359</v>
      </c>
      <c r="T4" s="166" t="s">
        <v>360</v>
      </c>
      <c r="U4" s="158" t="s">
        <v>975</v>
      </c>
      <c r="V4" s="168" t="s">
        <v>890</v>
      </c>
      <c r="W4" s="158" t="s">
        <v>966</v>
      </c>
      <c r="X4" s="158" t="s">
        <v>185</v>
      </c>
      <c r="Y4" s="158"/>
      <c r="Z4" s="158" t="s">
        <v>185</v>
      </c>
      <c r="AA4" s="158" t="str">
        <f>IF(AWS[[#This Row],[Column14]]="-","", "v")</f>
        <v>v</v>
      </c>
      <c r="AB4" s="158" t="str">
        <f>IF(AWS[[#This Row],[Column8]]="x","1",(IF(OR(AWS[[#This Row],[Column25]]=2,AWS[[#This Row],[Column26]]=2,AWS[[#This Row],[Column27]]=2),"1",(IF(AWS[[#This Row],[Column9]]="x","2",(IF(AWS[[#This Row],[Column10]]="x","3","")))))))</f>
        <v>1</v>
      </c>
      <c r="AC4" s="158" t="str">
        <f>IF(AWS[[#This Row],[Column14]] = "-", AWS[[#This Row],[Column14]], LEFT(AWS[[#This Row],[Column14]], SEARCH(" ", AWS[[#This Row],[Column14]] &amp; " ") - 1))</f>
        <v>3.5</v>
      </c>
    </row>
    <row r="5" spans="1:31" ht="45">
      <c r="A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 s="137" t="str">
        <f>AWS[[#This Row],[Column30]]</f>
        <v>-</v>
      </c>
      <c r="C5" s="137">
        <v>1.2</v>
      </c>
      <c r="D5" s="237" t="s">
        <v>352</v>
      </c>
      <c r="E5" s="162" t="s">
        <v>157</v>
      </c>
      <c r="F5" s="138" t="s">
        <v>361</v>
      </c>
      <c r="G5" s="241" t="s">
        <v>362</v>
      </c>
      <c r="H5" s="163" t="s">
        <v>185</v>
      </c>
      <c r="I5" s="164" t="s">
        <v>185</v>
      </c>
      <c r="J5" s="200" t="s">
        <v>185</v>
      </c>
      <c r="K5" s="176" t="s">
        <v>185</v>
      </c>
      <c r="L5" s="176" t="s">
        <v>185</v>
      </c>
      <c r="M5" s="176"/>
      <c r="N5" s="165" t="s">
        <v>162</v>
      </c>
      <c r="O5" s="165" t="s">
        <v>162</v>
      </c>
      <c r="P5" s="165" t="s">
        <v>162</v>
      </c>
      <c r="Q5" s="165" t="s">
        <v>162</v>
      </c>
      <c r="R5" s="167"/>
      <c r="S5" s="165" t="s">
        <v>162</v>
      </c>
      <c r="T5" s="165" t="s">
        <v>162</v>
      </c>
      <c r="U5" s="158" t="s">
        <v>162</v>
      </c>
      <c r="V5" s="168"/>
      <c r="W5" s="158" t="s">
        <v>966</v>
      </c>
      <c r="X5" s="158" t="s">
        <v>185</v>
      </c>
      <c r="Y5" s="158"/>
      <c r="Z5" s="158" t="s">
        <v>185</v>
      </c>
      <c r="AA5" s="158" t="str">
        <f>IF(AWS[[#This Row],[Column14]]="-","", "v")</f>
        <v/>
      </c>
      <c r="AB5" s="158" t="str">
        <f>IF(AWS[[#This Row],[Column8]]="x","1",(IF(OR(AWS[[#This Row],[Column25]]=2,AWS[[#This Row],[Column26]]=2,AWS[[#This Row],[Column27]]=2),"1",(IF(AWS[[#This Row],[Column9]]="x","2",(IF(AWS[[#This Row],[Column10]]="x","3","")))))))</f>
        <v>1</v>
      </c>
      <c r="AC5" s="158" t="str">
        <f>IF(AWS[[#This Row],[Column14]] = "-", AWS[[#This Row],[Column14]], LEFT(AWS[[#This Row],[Column14]], SEARCH(" ", AWS[[#This Row],[Column14]] &amp; " ") - 1))</f>
        <v>-</v>
      </c>
      <c r="AE5" s="195"/>
    </row>
    <row r="6" spans="1:31" ht="30">
      <c r="A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 s="137" t="str">
        <f>AWS[[#This Row],[Column30]]</f>
        <v>-</v>
      </c>
      <c r="C6" s="137">
        <v>1.3</v>
      </c>
      <c r="D6" s="237" t="s">
        <v>352</v>
      </c>
      <c r="E6" s="162" t="s">
        <v>155</v>
      </c>
      <c r="F6" s="138" t="s">
        <v>363</v>
      </c>
      <c r="G6" s="241" t="s">
        <v>364</v>
      </c>
      <c r="H6" s="137"/>
      <c r="I6" s="164" t="s">
        <v>185</v>
      </c>
      <c r="J6" s="200" t="s">
        <v>185</v>
      </c>
      <c r="K6" s="176" t="s">
        <v>185</v>
      </c>
      <c r="L6" s="176" t="s">
        <v>185</v>
      </c>
      <c r="M6" s="176"/>
      <c r="N6" s="165" t="s">
        <v>162</v>
      </c>
      <c r="O6" s="165" t="s">
        <v>162</v>
      </c>
      <c r="P6" s="165" t="s">
        <v>162</v>
      </c>
      <c r="Q6" s="165" t="s">
        <v>162</v>
      </c>
      <c r="R6" s="167"/>
      <c r="S6" s="165" t="s">
        <v>162</v>
      </c>
      <c r="T6" s="165" t="s">
        <v>162</v>
      </c>
      <c r="U6" s="158" t="s">
        <v>162</v>
      </c>
      <c r="V6" s="168"/>
      <c r="W6" s="158" t="s">
        <v>966</v>
      </c>
      <c r="X6" s="158" t="s">
        <v>185</v>
      </c>
      <c r="Y6" s="158"/>
      <c r="Z6" s="158" t="s">
        <v>185</v>
      </c>
      <c r="AA6" s="158" t="str">
        <f>IF(AWS[[#This Row],[Column14]]="-","", "v")</f>
        <v/>
      </c>
      <c r="AB6" s="158" t="str">
        <f>IF(AWS[[#This Row],[Column8]]="x","1",(IF(OR(AWS[[#This Row],[Column25]]=2,AWS[[#This Row],[Column26]]=2,AWS[[#This Row],[Column27]]=2),"1",(IF(AWS[[#This Row],[Column9]]="x","2",(IF(AWS[[#This Row],[Column10]]="x","3","")))))))</f>
        <v>2</v>
      </c>
      <c r="AC6" s="158" t="str">
        <f>IF(AWS[[#This Row],[Column14]] = "-", AWS[[#This Row],[Column14]], LEFT(AWS[[#This Row],[Column14]], SEARCH(" ", AWS[[#This Row],[Column14]] &amp; " ") - 1))</f>
        <v>-</v>
      </c>
    </row>
    <row r="7" spans="1:31" ht="60">
      <c r="A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 s="137" t="str">
        <f>AWS[[#This Row],[Column30]]</f>
        <v>-</v>
      </c>
      <c r="C7" s="137">
        <v>1.4</v>
      </c>
      <c r="D7" s="237" t="s">
        <v>352</v>
      </c>
      <c r="E7" s="162" t="s">
        <v>154</v>
      </c>
      <c r="F7" s="138" t="s">
        <v>365</v>
      </c>
      <c r="G7" s="241" t="s">
        <v>366</v>
      </c>
      <c r="H7" s="137"/>
      <c r="I7" s="164" t="s">
        <v>185</v>
      </c>
      <c r="J7" s="200" t="s">
        <v>185</v>
      </c>
      <c r="K7" s="176" t="s">
        <v>185</v>
      </c>
      <c r="L7" s="176" t="s">
        <v>185</v>
      </c>
      <c r="M7" s="176"/>
      <c r="N7" s="165" t="s">
        <v>162</v>
      </c>
      <c r="O7" s="165" t="s">
        <v>162</v>
      </c>
      <c r="P7" s="165" t="s">
        <v>162</v>
      </c>
      <c r="Q7" s="165" t="s">
        <v>162</v>
      </c>
      <c r="R7" s="167"/>
      <c r="S7" s="165" t="s">
        <v>162</v>
      </c>
      <c r="T7" s="165" t="s">
        <v>162</v>
      </c>
      <c r="U7" s="158" t="s">
        <v>162</v>
      </c>
      <c r="V7" s="168"/>
      <c r="W7" s="158" t="s">
        <v>966</v>
      </c>
      <c r="X7" s="158" t="s">
        <v>185</v>
      </c>
      <c r="Y7" s="158"/>
      <c r="Z7" s="158" t="s">
        <v>185</v>
      </c>
      <c r="AA7" s="158" t="str">
        <f>IF(AWS[[#This Row],[Column14]]="-","", "v")</f>
        <v/>
      </c>
      <c r="AB7" s="158" t="str">
        <f>IF(AWS[[#This Row],[Column8]]="x","1",(IF(OR(AWS[[#This Row],[Column25]]=2,AWS[[#This Row],[Column26]]=2,AWS[[#This Row],[Column27]]=2),"1",(IF(AWS[[#This Row],[Column9]]="x","2",(IF(AWS[[#This Row],[Column10]]="x","3","")))))))</f>
        <v>2</v>
      </c>
      <c r="AC7" s="158" t="str">
        <f>IF(AWS[[#This Row],[Column14]] = "-", AWS[[#This Row],[Column14]], LEFT(AWS[[#This Row],[Column14]], SEARCH(" ", AWS[[#This Row],[Column14]] &amp; " ") - 1))</f>
        <v>-</v>
      </c>
    </row>
    <row r="8" spans="1:31" ht="45">
      <c r="A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 s="137" t="str">
        <f>AWS[[#This Row],[Column30]]</f>
        <v>-</v>
      </c>
      <c r="C8" s="137">
        <v>1.5</v>
      </c>
      <c r="D8" s="237" t="s">
        <v>352</v>
      </c>
      <c r="E8" s="162" t="s">
        <v>155</v>
      </c>
      <c r="F8" s="138" t="s">
        <v>367</v>
      </c>
      <c r="G8" s="241" t="s">
        <v>368</v>
      </c>
      <c r="H8" s="137"/>
      <c r="I8" s="137"/>
      <c r="J8" s="200" t="s">
        <v>185</v>
      </c>
      <c r="K8" s="176" t="s">
        <v>185</v>
      </c>
      <c r="L8" s="176" t="s">
        <v>185</v>
      </c>
      <c r="M8" s="176"/>
      <c r="N8" s="165" t="s">
        <v>162</v>
      </c>
      <c r="O8" s="165" t="s">
        <v>162</v>
      </c>
      <c r="P8" s="165" t="s">
        <v>162</v>
      </c>
      <c r="Q8" s="165" t="s">
        <v>162</v>
      </c>
      <c r="R8" s="167"/>
      <c r="S8" s="165" t="s">
        <v>162</v>
      </c>
      <c r="T8" s="165" t="s">
        <v>162</v>
      </c>
      <c r="U8" s="158" t="s">
        <v>162</v>
      </c>
      <c r="V8" s="168"/>
      <c r="W8" s="158" t="s">
        <v>966</v>
      </c>
      <c r="X8" s="158" t="s">
        <v>185</v>
      </c>
      <c r="Y8" s="158"/>
      <c r="Z8" s="158" t="s">
        <v>185</v>
      </c>
      <c r="AA8" s="158" t="str">
        <f>IF(AWS[[#This Row],[Column14]]="-","", "v")</f>
        <v/>
      </c>
      <c r="AB8" s="158" t="str">
        <f>IF(AWS[[#This Row],[Column8]]="x","1",(IF(OR(AWS[[#This Row],[Column25]]=2,AWS[[#This Row],[Column26]]=2,AWS[[#This Row],[Column27]]=2),"1",(IF(AWS[[#This Row],[Column9]]="x","2",(IF(AWS[[#This Row],[Column10]]="x","3","")))))))</f>
        <v>3</v>
      </c>
      <c r="AC8" s="158" t="str">
        <f>IF(AWS[[#This Row],[Column14]] = "-", AWS[[#This Row],[Column14]], LEFT(AWS[[#This Row],[Column14]], SEARCH(" ", AWS[[#This Row],[Column14]] &amp; " ") - 1))</f>
        <v>-</v>
      </c>
    </row>
    <row r="9" spans="1:31" ht="75" hidden="1">
      <c r="A9" s="178" t="s">
        <v>942</v>
      </c>
      <c r="B9" s="154" t="s">
        <v>162</v>
      </c>
      <c r="C9" s="154" t="s">
        <v>162</v>
      </c>
      <c r="D9" s="246" t="s">
        <v>162</v>
      </c>
      <c r="E9" s="178"/>
      <c r="F9" s="219" t="s">
        <v>369</v>
      </c>
      <c r="G9" s="242" t="s">
        <v>370</v>
      </c>
      <c r="H9" s="245" t="s">
        <v>162</v>
      </c>
      <c r="I9" s="245" t="s">
        <v>162</v>
      </c>
      <c r="J9" s="245" t="s">
        <v>162</v>
      </c>
      <c r="K9" s="245" t="s">
        <v>162</v>
      </c>
      <c r="L9" s="245" t="s">
        <v>162</v>
      </c>
      <c r="M9" s="245" t="s">
        <v>162</v>
      </c>
      <c r="N9" s="245" t="s">
        <v>162</v>
      </c>
      <c r="O9" s="245" t="s">
        <v>162</v>
      </c>
      <c r="P9" s="245" t="s">
        <v>162</v>
      </c>
      <c r="Q9" s="245" t="s">
        <v>162</v>
      </c>
      <c r="R9" s="154" t="s">
        <v>162</v>
      </c>
      <c r="S9" s="245" t="s">
        <v>162</v>
      </c>
      <c r="T9" s="245" t="s">
        <v>162</v>
      </c>
      <c r="U9" s="245" t="s">
        <v>162</v>
      </c>
      <c r="V9" s="245" t="s">
        <v>162</v>
      </c>
      <c r="W9" s="245" t="s">
        <v>162</v>
      </c>
      <c r="X9" s="245" t="s">
        <v>162</v>
      </c>
      <c r="Y9" s="245" t="s">
        <v>162</v>
      </c>
      <c r="Z9" s="245" t="s">
        <v>162</v>
      </c>
      <c r="AA9" s="245" t="s">
        <v>162</v>
      </c>
      <c r="AB9" s="245" t="s">
        <v>162</v>
      </c>
      <c r="AC9" s="158" t="str">
        <f>IF(AWS[[#This Row],[Column14]] = "-", AWS[[#This Row],[Column14]], LEFT(AWS[[#This Row],[Column14]], SEARCH(" ", AWS[[#This Row],[Column14]] &amp; " ") - 1))</f>
        <v>-</v>
      </c>
    </row>
    <row r="10" spans="1:31" ht="90" hidden="1">
      <c r="A1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 s="137" t="str">
        <f>AWS[[#This Row],[Column30]]</f>
        <v>-</v>
      </c>
      <c r="C10" s="137">
        <v>2.1</v>
      </c>
      <c r="D10" s="237" t="s">
        <v>371</v>
      </c>
      <c r="E10" s="162" t="s">
        <v>154</v>
      </c>
      <c r="F10" s="138" t="s">
        <v>372</v>
      </c>
      <c r="G10" s="241" t="s">
        <v>373</v>
      </c>
      <c r="H10" s="163" t="s">
        <v>185</v>
      </c>
      <c r="I10" s="164" t="s">
        <v>185</v>
      </c>
      <c r="J10" s="200" t="s">
        <v>185</v>
      </c>
      <c r="K10" s="176" t="s">
        <v>185</v>
      </c>
      <c r="L10" s="176" t="s">
        <v>185</v>
      </c>
      <c r="M10" s="176" t="s">
        <v>185</v>
      </c>
      <c r="N10" s="165" t="s">
        <v>162</v>
      </c>
      <c r="O10" s="165" t="s">
        <v>162</v>
      </c>
      <c r="P10" s="165" t="s">
        <v>162</v>
      </c>
      <c r="Q10" s="165" t="s">
        <v>162</v>
      </c>
      <c r="R10" s="167"/>
      <c r="S10" s="165" t="s">
        <v>162</v>
      </c>
      <c r="T10" s="165" t="s">
        <v>162</v>
      </c>
      <c r="U10" s="158" t="s">
        <v>162</v>
      </c>
      <c r="V10" s="168"/>
      <c r="W10" s="158" t="s">
        <v>966</v>
      </c>
      <c r="X10" s="158" t="s">
        <v>185</v>
      </c>
      <c r="Y10" s="158"/>
      <c r="Z10" s="158" t="s">
        <v>185</v>
      </c>
      <c r="AA10" s="158" t="str">
        <f>IF(AWS[[#This Row],[Column14]]="-","", "v")</f>
        <v/>
      </c>
      <c r="AB10" s="158" t="str">
        <f>IF(AWS[[#This Row],[Column8]]="x","1",(IF(OR(AWS[[#This Row],[Column25]]=2,AWS[[#This Row],[Column26]]=2,AWS[[#This Row],[Column27]]=2),"1",(IF(AWS[[#This Row],[Column9]]="x","2",(IF(AWS[[#This Row],[Column10]]="x","3","")))))))</f>
        <v>1</v>
      </c>
      <c r="AC10" s="158" t="str">
        <f>IF(AWS[[#This Row],[Column14]] = "-", AWS[[#This Row],[Column14]], LEFT(AWS[[#This Row],[Column14]], SEARCH(" ", AWS[[#This Row],[Column14]] &amp; " ") - 1))</f>
        <v>-</v>
      </c>
    </row>
    <row r="11" spans="1:31" ht="90" hidden="1">
      <c r="A1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 s="137" t="str">
        <f>AWS[[#This Row],[Column30]]</f>
        <v>-</v>
      </c>
      <c r="C11" s="137">
        <v>2.2000000000000002</v>
      </c>
      <c r="D11" s="237" t="s">
        <v>371</v>
      </c>
      <c r="E11" s="162" t="s">
        <v>154</v>
      </c>
      <c r="F11" s="138" t="s">
        <v>374</v>
      </c>
      <c r="G11" s="243" t="s">
        <v>375</v>
      </c>
      <c r="H11" s="163" t="s">
        <v>185</v>
      </c>
      <c r="I11" s="164" t="s">
        <v>185</v>
      </c>
      <c r="J11" s="200" t="s">
        <v>185</v>
      </c>
      <c r="K11" s="176" t="s">
        <v>185</v>
      </c>
      <c r="L11" s="176" t="s">
        <v>185</v>
      </c>
      <c r="M11" s="176" t="s">
        <v>185</v>
      </c>
      <c r="N11" s="165" t="s">
        <v>162</v>
      </c>
      <c r="O11" s="165" t="s">
        <v>162</v>
      </c>
      <c r="P11" s="165" t="s">
        <v>162</v>
      </c>
      <c r="Q11" s="165" t="s">
        <v>162</v>
      </c>
      <c r="R11" s="167"/>
      <c r="S11" s="165" t="s">
        <v>162</v>
      </c>
      <c r="T11" s="165" t="s">
        <v>162</v>
      </c>
      <c r="U11" s="158" t="s">
        <v>162</v>
      </c>
      <c r="V11" s="168"/>
      <c r="W11" s="158" t="s">
        <v>966</v>
      </c>
      <c r="X11" s="158" t="s">
        <v>185</v>
      </c>
      <c r="Y11" s="158"/>
      <c r="Z11" s="158" t="s">
        <v>185</v>
      </c>
      <c r="AA11" s="158" t="str">
        <f>IF(AWS[[#This Row],[Column14]]="-","", "v")</f>
        <v/>
      </c>
      <c r="AB11" s="158" t="str">
        <f>IF(AWS[[#This Row],[Column8]]="x","1",(IF(OR(AWS[[#This Row],[Column25]]=2,AWS[[#This Row],[Column26]]=2,AWS[[#This Row],[Column27]]=2),"1",(IF(AWS[[#This Row],[Column9]]="x","2",(IF(AWS[[#This Row],[Column10]]="x","3","")))))))</f>
        <v>1</v>
      </c>
      <c r="AC11" s="158" t="str">
        <f>IF(AWS[[#This Row],[Column14]] = "-", AWS[[#This Row],[Column14]], LEFT(AWS[[#This Row],[Column14]], SEARCH(" ", AWS[[#This Row],[Column14]] &amp; " ") - 1))</f>
        <v>-</v>
      </c>
    </row>
    <row r="12" spans="1:31" ht="30" hidden="1">
      <c r="A1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 s="137" t="str">
        <f>AWS[[#This Row],[Column30]]</f>
        <v>-</v>
      </c>
      <c r="C12" s="137">
        <v>2.2999999999999998</v>
      </c>
      <c r="D12" s="237" t="s">
        <v>371</v>
      </c>
      <c r="E12" s="162" t="s">
        <v>157</v>
      </c>
      <c r="F12" s="138" t="s">
        <v>376</v>
      </c>
      <c r="G12" s="241" t="s">
        <v>377</v>
      </c>
      <c r="H12" s="163" t="s">
        <v>185</v>
      </c>
      <c r="I12" s="164" t="s">
        <v>185</v>
      </c>
      <c r="J12" s="200" t="s">
        <v>185</v>
      </c>
      <c r="K12" s="176" t="s">
        <v>185</v>
      </c>
      <c r="L12" s="176" t="s">
        <v>185</v>
      </c>
      <c r="M12" s="176" t="s">
        <v>185</v>
      </c>
      <c r="N12" s="165" t="s">
        <v>162</v>
      </c>
      <c r="O12" s="165" t="s">
        <v>162</v>
      </c>
      <c r="P12" s="165" t="s">
        <v>162</v>
      </c>
      <c r="Q12" s="165" t="s">
        <v>162</v>
      </c>
      <c r="R12" s="167"/>
      <c r="S12" s="165" t="s">
        <v>162</v>
      </c>
      <c r="T12" s="165" t="s">
        <v>162</v>
      </c>
      <c r="U12" s="158" t="s">
        <v>162</v>
      </c>
      <c r="V12" s="168"/>
      <c r="W12" s="158" t="s">
        <v>966</v>
      </c>
      <c r="X12" s="158" t="s">
        <v>185</v>
      </c>
      <c r="Y12" s="158"/>
      <c r="Z12" s="158" t="s">
        <v>185</v>
      </c>
      <c r="AA12" s="158" t="str">
        <f>IF(AWS[[#This Row],[Column14]]="-","", "v")</f>
        <v/>
      </c>
      <c r="AB12" s="158" t="str">
        <f>IF(AWS[[#This Row],[Column8]]="x","1",(IF(OR(AWS[[#This Row],[Column25]]=2,AWS[[#This Row],[Column26]]=2,AWS[[#This Row],[Column27]]=2),"1",(IF(AWS[[#This Row],[Column9]]="x","2",(IF(AWS[[#This Row],[Column10]]="x","3","")))))))</f>
        <v>1</v>
      </c>
      <c r="AC12" s="158" t="str">
        <f>IF(AWS[[#This Row],[Column14]] = "-", AWS[[#This Row],[Column14]], LEFT(AWS[[#This Row],[Column14]], SEARCH(" ", AWS[[#This Row],[Column14]] &amp; " ") - 1))</f>
        <v>-</v>
      </c>
    </row>
    <row r="13" spans="1:31" ht="30" hidden="1">
      <c r="A1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 s="137" t="str">
        <f>AWS[[#This Row],[Column30]]</f>
        <v>-</v>
      </c>
      <c r="C13" s="137">
        <v>2.4</v>
      </c>
      <c r="D13" s="237" t="s">
        <v>371</v>
      </c>
      <c r="E13" s="162" t="s">
        <v>155</v>
      </c>
      <c r="F13" s="138" t="s">
        <v>378</v>
      </c>
      <c r="G13" s="241" t="s">
        <v>379</v>
      </c>
      <c r="H13" s="137"/>
      <c r="I13" s="164" t="s">
        <v>185</v>
      </c>
      <c r="J13" s="200" t="s">
        <v>185</v>
      </c>
      <c r="K13" s="176" t="s">
        <v>185</v>
      </c>
      <c r="L13" s="176" t="s">
        <v>185</v>
      </c>
      <c r="M13" s="176" t="s">
        <v>185</v>
      </c>
      <c r="N13" s="165" t="s">
        <v>162</v>
      </c>
      <c r="O13" s="165" t="s">
        <v>162</v>
      </c>
      <c r="P13" s="165" t="s">
        <v>162</v>
      </c>
      <c r="Q13" s="165" t="s">
        <v>162</v>
      </c>
      <c r="R13" s="167"/>
      <c r="S13" s="165" t="s">
        <v>162</v>
      </c>
      <c r="T13" s="165" t="s">
        <v>162</v>
      </c>
      <c r="U13" s="158" t="s">
        <v>162</v>
      </c>
      <c r="V13" s="168"/>
      <c r="W13" s="158" t="s">
        <v>966</v>
      </c>
      <c r="X13" s="158" t="s">
        <v>185</v>
      </c>
      <c r="Y13" s="158"/>
      <c r="Z13" s="158" t="s">
        <v>185</v>
      </c>
      <c r="AA13" s="158" t="str">
        <f>IF(AWS[[#This Row],[Column14]]="-","", "v")</f>
        <v/>
      </c>
      <c r="AB13" s="158" t="str">
        <f>IF(AWS[[#This Row],[Column8]]="x","1",(IF(OR(AWS[[#This Row],[Column25]]=2,AWS[[#This Row],[Column26]]=2,AWS[[#This Row],[Column27]]=2),"1",(IF(AWS[[#This Row],[Column9]]="x","2",(IF(AWS[[#This Row],[Column10]]="x","3","")))))))</f>
        <v>2</v>
      </c>
      <c r="AC13" s="158" t="str">
        <f>IF(AWS[[#This Row],[Column14]] = "-", AWS[[#This Row],[Column14]], LEFT(AWS[[#This Row],[Column14]], SEARCH(" ", AWS[[#This Row],[Column14]] &amp; " ") - 1))</f>
        <v>-</v>
      </c>
    </row>
    <row r="14" spans="1:31" ht="45">
      <c r="A1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 s="137" t="str">
        <f>AWS[[#This Row],[Column30]]</f>
        <v>-</v>
      </c>
      <c r="C14" s="137">
        <v>2.5</v>
      </c>
      <c r="D14" s="237" t="s">
        <v>371</v>
      </c>
      <c r="E14" s="162" t="s">
        <v>156</v>
      </c>
      <c r="F14" s="138" t="s">
        <v>380</v>
      </c>
      <c r="G14" s="241" t="s">
        <v>381</v>
      </c>
      <c r="H14" s="137"/>
      <c r="I14" s="164" t="s">
        <v>185</v>
      </c>
      <c r="J14" s="200" t="s">
        <v>185</v>
      </c>
      <c r="K14" s="176" t="s">
        <v>185</v>
      </c>
      <c r="L14" s="176" t="s">
        <v>185</v>
      </c>
      <c r="M14" s="176"/>
      <c r="N14" s="165" t="s">
        <v>162</v>
      </c>
      <c r="O14" s="165" t="s">
        <v>162</v>
      </c>
      <c r="P14" s="165" t="s">
        <v>162</v>
      </c>
      <c r="Q14" s="165" t="s">
        <v>162</v>
      </c>
      <c r="R14" s="167"/>
      <c r="S14" s="165" t="s">
        <v>162</v>
      </c>
      <c r="T14" s="165" t="s">
        <v>162</v>
      </c>
      <c r="U14" s="158" t="s">
        <v>162</v>
      </c>
      <c r="V14" s="168"/>
      <c r="W14" s="158" t="s">
        <v>966</v>
      </c>
      <c r="X14" s="158" t="s">
        <v>185</v>
      </c>
      <c r="Y14" s="158"/>
      <c r="Z14" s="158" t="s">
        <v>185</v>
      </c>
      <c r="AA14" s="158" t="str">
        <f>IF(AWS[[#This Row],[Column14]]="-","", "v")</f>
        <v/>
      </c>
      <c r="AB14" s="158" t="str">
        <f>IF(AWS[[#This Row],[Column8]]="x","1",(IF(OR(AWS[[#This Row],[Column25]]=2,AWS[[#This Row],[Column26]]=2,AWS[[#This Row],[Column27]]=2),"1",(IF(AWS[[#This Row],[Column9]]="x","2",(IF(AWS[[#This Row],[Column10]]="x","3","")))))))</f>
        <v>2</v>
      </c>
      <c r="AC14" s="158" t="str">
        <f>IF(AWS[[#This Row],[Column14]] = "-", AWS[[#This Row],[Column14]], LEFT(AWS[[#This Row],[Column14]], SEARCH(" ", AWS[[#This Row],[Column14]] &amp; " ") - 1))</f>
        <v>-</v>
      </c>
    </row>
    <row r="15" spans="1:31" ht="60">
      <c r="A1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 s="137" t="str">
        <f>AWS[[#This Row],[Column30]]</f>
        <v>-</v>
      </c>
      <c r="C15" s="137">
        <v>2.6</v>
      </c>
      <c r="D15" s="237" t="s">
        <v>371</v>
      </c>
      <c r="E15" s="162" t="s">
        <v>156</v>
      </c>
      <c r="F15" s="138" t="s">
        <v>382</v>
      </c>
      <c r="G15" s="243" t="s">
        <v>383</v>
      </c>
      <c r="H15" s="137"/>
      <c r="I15" s="164" t="s">
        <v>185</v>
      </c>
      <c r="J15" s="200" t="s">
        <v>185</v>
      </c>
      <c r="K15" s="176" t="s">
        <v>185</v>
      </c>
      <c r="L15" s="176" t="s">
        <v>185</v>
      </c>
      <c r="M15" s="176"/>
      <c r="N15" s="165" t="s">
        <v>162</v>
      </c>
      <c r="O15" s="165" t="s">
        <v>162</v>
      </c>
      <c r="P15" s="165" t="s">
        <v>162</v>
      </c>
      <c r="Q15" s="165" t="s">
        <v>162</v>
      </c>
      <c r="R15" s="167"/>
      <c r="S15" s="165" t="s">
        <v>162</v>
      </c>
      <c r="T15" s="165" t="s">
        <v>162</v>
      </c>
      <c r="U15" s="158" t="s">
        <v>162</v>
      </c>
      <c r="V15" s="168"/>
      <c r="W15" s="158" t="s">
        <v>967</v>
      </c>
      <c r="X15" s="158" t="s">
        <v>185</v>
      </c>
      <c r="Y15" s="158"/>
      <c r="Z15" s="158" t="s">
        <v>185</v>
      </c>
      <c r="AA15" s="158" t="str">
        <f>IF(AWS[[#This Row],[Column14]]="-","", "v")</f>
        <v/>
      </c>
      <c r="AB15" s="158" t="str">
        <f>IF(AWS[[#This Row],[Column8]]="x","1",(IF(OR(AWS[[#This Row],[Column25]]=2,AWS[[#This Row],[Column26]]=2,AWS[[#This Row],[Column27]]=2),"1",(IF(AWS[[#This Row],[Column9]]="x","2",(IF(AWS[[#This Row],[Column10]]="x","3","")))))))</f>
        <v>2</v>
      </c>
      <c r="AC15" s="158" t="str">
        <f>IF(AWS[[#This Row],[Column14]] = "-", AWS[[#This Row],[Column14]], LEFT(AWS[[#This Row],[Column14]], SEARCH(" ", AWS[[#This Row],[Column14]] &amp; " ") - 1))</f>
        <v>-</v>
      </c>
    </row>
    <row r="16" spans="1:31" ht="60">
      <c r="A1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 s="137" t="str">
        <f>AWS[[#This Row],[Column30]]</f>
        <v>-</v>
      </c>
      <c r="C16" s="137">
        <v>2.7</v>
      </c>
      <c r="D16" s="237" t="s">
        <v>371</v>
      </c>
      <c r="E16" s="162" t="s">
        <v>156</v>
      </c>
      <c r="F16" s="138" t="s">
        <v>384</v>
      </c>
      <c r="G16" s="243" t="s">
        <v>385</v>
      </c>
      <c r="H16" s="137"/>
      <c r="I16" s="204"/>
      <c r="J16" s="200" t="s">
        <v>185</v>
      </c>
      <c r="K16" s="176" t="s">
        <v>185</v>
      </c>
      <c r="L16" s="176" t="s">
        <v>185</v>
      </c>
      <c r="M16" s="176"/>
      <c r="N16" s="165" t="s">
        <v>162</v>
      </c>
      <c r="O16" s="165" t="s">
        <v>162</v>
      </c>
      <c r="P16" s="165" t="s">
        <v>162</v>
      </c>
      <c r="Q16" s="165" t="s">
        <v>162</v>
      </c>
      <c r="R16" s="167"/>
      <c r="S16" s="165" t="s">
        <v>162</v>
      </c>
      <c r="T16" s="165" t="s">
        <v>162</v>
      </c>
      <c r="U16" s="158" t="s">
        <v>162</v>
      </c>
      <c r="V16" s="168"/>
      <c r="W16" s="158" t="s">
        <v>966</v>
      </c>
      <c r="X16" s="158" t="s">
        <v>185</v>
      </c>
      <c r="Y16" s="158"/>
      <c r="Z16" s="158" t="s">
        <v>185</v>
      </c>
      <c r="AA16" s="158" t="str">
        <f>IF(AWS[[#This Row],[Column14]]="-","", "v")</f>
        <v/>
      </c>
      <c r="AB16" s="158" t="str">
        <f>IF(AWS[[#This Row],[Column8]]="x","1",(IF(OR(AWS[[#This Row],[Column25]]=2,AWS[[#This Row],[Column26]]=2,AWS[[#This Row],[Column27]]=2),"1",(IF(AWS[[#This Row],[Column9]]="x","2",(IF(AWS[[#This Row],[Column10]]="x","3","")))))))</f>
        <v>3</v>
      </c>
      <c r="AC16" s="158" t="str">
        <f>IF(AWS[[#This Row],[Column14]] = "-", AWS[[#This Row],[Column14]], LEFT(AWS[[#This Row],[Column14]], SEARCH(" ", AWS[[#This Row],[Column14]] &amp; " ") - 1))</f>
        <v>-</v>
      </c>
    </row>
    <row r="17" spans="1:29" ht="30" hidden="1">
      <c r="A17" s="178" t="s">
        <v>942</v>
      </c>
      <c r="B17" s="154" t="s">
        <v>162</v>
      </c>
      <c r="C17" s="154" t="s">
        <v>162</v>
      </c>
      <c r="D17" s="245" t="s">
        <v>162</v>
      </c>
      <c r="E17" s="178"/>
      <c r="F17" s="219" t="s">
        <v>386</v>
      </c>
      <c r="G17" s="242" t="s">
        <v>387</v>
      </c>
      <c r="H17" s="245" t="s">
        <v>162</v>
      </c>
      <c r="I17" s="245" t="s">
        <v>162</v>
      </c>
      <c r="J17" s="245" t="s">
        <v>162</v>
      </c>
      <c r="K17" s="245" t="s">
        <v>162</v>
      </c>
      <c r="L17" s="245" t="s">
        <v>162</v>
      </c>
      <c r="M17" s="245" t="s">
        <v>162</v>
      </c>
      <c r="N17" s="245" t="s">
        <v>162</v>
      </c>
      <c r="O17" s="245" t="s">
        <v>162</v>
      </c>
      <c r="P17" s="245" t="s">
        <v>162</v>
      </c>
      <c r="Q17" s="245" t="s">
        <v>162</v>
      </c>
      <c r="R17" s="154" t="s">
        <v>162</v>
      </c>
      <c r="S17" s="245" t="s">
        <v>162</v>
      </c>
      <c r="T17" s="245" t="s">
        <v>162</v>
      </c>
      <c r="U17" s="245" t="s">
        <v>162</v>
      </c>
      <c r="V17" s="245" t="s">
        <v>162</v>
      </c>
      <c r="W17" s="245" t="s">
        <v>162</v>
      </c>
      <c r="X17" s="245" t="s">
        <v>162</v>
      </c>
      <c r="Y17" s="245" t="s">
        <v>162</v>
      </c>
      <c r="Z17" s="245" t="s">
        <v>162</v>
      </c>
      <c r="AA17" s="245" t="s">
        <v>162</v>
      </c>
      <c r="AB17" s="245" t="s">
        <v>162</v>
      </c>
      <c r="AC17" s="158" t="str">
        <f>IF(AWS[[#This Row],[Column14]] = "-", AWS[[#This Row],[Column14]], LEFT(AWS[[#This Row],[Column14]], SEARCH(" ", AWS[[#This Row],[Column14]] &amp; " ") - 1))</f>
        <v>-</v>
      </c>
    </row>
    <row r="18" spans="1:29" ht="409.5" hidden="1">
      <c r="A1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 s="137" t="str">
        <f>AWS[[#This Row],[Column30]]</f>
        <v>2.1.3</v>
      </c>
      <c r="C18" s="137">
        <v>3.1</v>
      </c>
      <c r="D18" s="237" t="s">
        <v>182</v>
      </c>
      <c r="E18" s="162" t="s">
        <v>154</v>
      </c>
      <c r="F18" s="138" t="s">
        <v>183</v>
      </c>
      <c r="G18" s="241" t="s">
        <v>184</v>
      </c>
      <c r="H18" s="163" t="s">
        <v>185</v>
      </c>
      <c r="I18" s="164" t="s">
        <v>185</v>
      </c>
      <c r="J18" s="200" t="s">
        <v>185</v>
      </c>
      <c r="K18" s="176" t="s">
        <v>185</v>
      </c>
      <c r="L18" s="176" t="s">
        <v>185</v>
      </c>
      <c r="M18" s="176" t="s">
        <v>185</v>
      </c>
      <c r="N18" s="165" t="s">
        <v>186</v>
      </c>
      <c r="O18" s="197" t="s">
        <v>187</v>
      </c>
      <c r="P18" s="166" t="s">
        <v>188</v>
      </c>
      <c r="Q18" s="166" t="s">
        <v>189</v>
      </c>
      <c r="R18" s="167" t="s">
        <v>190</v>
      </c>
      <c r="S18" s="166" t="s">
        <v>191</v>
      </c>
      <c r="T18" s="166" t="s">
        <v>192</v>
      </c>
      <c r="U18" s="158" t="s">
        <v>975</v>
      </c>
      <c r="V18" s="168" t="s">
        <v>892</v>
      </c>
      <c r="W18" s="158" t="s">
        <v>967</v>
      </c>
      <c r="X18" s="158" t="s">
        <v>185</v>
      </c>
      <c r="Y18" s="158" t="s">
        <v>185</v>
      </c>
      <c r="Z18" s="158"/>
      <c r="AA18" s="158" t="str">
        <f>IF(AWS[[#This Row],[Column14]]="-","", "v")</f>
        <v>v</v>
      </c>
      <c r="AB18" s="158" t="str">
        <f>IF(AWS[[#This Row],[Column8]]="x","1",(IF(OR(AWS[[#This Row],[Column25]]=2,AWS[[#This Row],[Column26]]=2,AWS[[#This Row],[Column27]]=2),"1",(IF(AWS[[#This Row],[Column9]]="x","2",(IF(AWS[[#This Row],[Column10]]="x","3","")))))))</f>
        <v>1</v>
      </c>
      <c r="AC18" s="158" t="str">
        <f>IF(AWS[[#This Row],[Column14]] = "-", AWS[[#This Row],[Column14]], LEFT(AWS[[#This Row],[Column14]], SEARCH(" ", AWS[[#This Row],[Column14]] &amp; " ") - 1))</f>
        <v>2.1.3</v>
      </c>
    </row>
    <row r="19" spans="1:29" ht="45" hidden="1">
      <c r="A1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 s="137" t="str">
        <f>AWS[[#This Row],[Column30]]</f>
        <v>-</v>
      </c>
      <c r="C19" s="137">
        <v>3.2</v>
      </c>
      <c r="D19" s="237" t="s">
        <v>182</v>
      </c>
      <c r="E19" s="162" t="s">
        <v>154</v>
      </c>
      <c r="F19" s="138" t="s">
        <v>193</v>
      </c>
      <c r="G19" s="241" t="s">
        <v>194</v>
      </c>
      <c r="H19" s="163" t="s">
        <v>185</v>
      </c>
      <c r="I19" s="164" t="s">
        <v>185</v>
      </c>
      <c r="J19" s="200" t="s">
        <v>185</v>
      </c>
      <c r="K19" s="176" t="s">
        <v>185</v>
      </c>
      <c r="L19" s="176" t="s">
        <v>185</v>
      </c>
      <c r="M19" s="176" t="s">
        <v>185</v>
      </c>
      <c r="N19" s="165" t="s">
        <v>162</v>
      </c>
      <c r="O19" s="165" t="s">
        <v>162</v>
      </c>
      <c r="P19" s="165" t="s">
        <v>162</v>
      </c>
      <c r="Q19" s="165" t="s">
        <v>162</v>
      </c>
      <c r="R19" s="167"/>
      <c r="S19" s="165" t="s">
        <v>162</v>
      </c>
      <c r="T19" s="165" t="s">
        <v>162</v>
      </c>
      <c r="U19" s="158" t="s">
        <v>162</v>
      </c>
      <c r="V19" s="168"/>
      <c r="W19" s="158" t="s">
        <v>966</v>
      </c>
      <c r="X19" s="158" t="s">
        <v>185</v>
      </c>
      <c r="Y19" s="158" t="s">
        <v>185</v>
      </c>
      <c r="Z19" s="158"/>
      <c r="AA19" s="158" t="str">
        <f>IF(AWS[[#This Row],[Column14]]="-","", "v")</f>
        <v/>
      </c>
      <c r="AB19" s="158" t="str">
        <f>IF(AWS[[#This Row],[Column8]]="x","1",(IF(OR(AWS[[#This Row],[Column25]]=2,AWS[[#This Row],[Column26]]=2,AWS[[#This Row],[Column27]]=2),"1",(IF(AWS[[#This Row],[Column9]]="x","2",(IF(AWS[[#This Row],[Column10]]="x","3","")))))))</f>
        <v>1</v>
      </c>
      <c r="AC19" s="158" t="str">
        <f>IF(AWS[[#This Row],[Column14]] = "-", AWS[[#This Row],[Column14]], LEFT(AWS[[#This Row],[Column14]], SEARCH(" ", AWS[[#This Row],[Column14]] &amp; " ") - 1))</f>
        <v>-</v>
      </c>
    </row>
    <row r="20" spans="1:29" ht="299.25" hidden="1">
      <c r="A2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0" s="137" t="str">
        <f>AWS[[#This Row],[Column30]]</f>
        <v>1.4</v>
      </c>
      <c r="C20" s="137">
        <v>3.3</v>
      </c>
      <c r="D20" s="237" t="s">
        <v>182</v>
      </c>
      <c r="E20" s="162" t="s">
        <v>156</v>
      </c>
      <c r="F20" s="138" t="s">
        <v>195</v>
      </c>
      <c r="G20" s="241" t="s">
        <v>196</v>
      </c>
      <c r="H20" s="163" t="s">
        <v>185</v>
      </c>
      <c r="I20" s="164" t="s">
        <v>185</v>
      </c>
      <c r="J20" s="200" t="s">
        <v>185</v>
      </c>
      <c r="K20" s="176" t="s">
        <v>185</v>
      </c>
      <c r="L20" s="176" t="s">
        <v>185</v>
      </c>
      <c r="M20" s="176" t="s">
        <v>185</v>
      </c>
      <c r="N20" s="165" t="s">
        <v>197</v>
      </c>
      <c r="O20" s="197" t="s">
        <v>198</v>
      </c>
      <c r="P20" s="166" t="s">
        <v>199</v>
      </c>
      <c r="Q20" s="166" t="s">
        <v>200</v>
      </c>
      <c r="R20" s="167" t="s">
        <v>201</v>
      </c>
      <c r="S20" s="166" t="s">
        <v>202</v>
      </c>
      <c r="T20" s="166" t="s">
        <v>203</v>
      </c>
      <c r="U20" s="158" t="s">
        <v>975</v>
      </c>
      <c r="V20" s="168" t="s">
        <v>893</v>
      </c>
      <c r="W20" s="158" t="s">
        <v>966</v>
      </c>
      <c r="X20" s="158" t="s">
        <v>185</v>
      </c>
      <c r="Y20" s="158" t="s">
        <v>185</v>
      </c>
      <c r="Z20" s="158"/>
      <c r="AA20" s="158" t="str">
        <f>IF(AWS[[#This Row],[Column14]]="-","", "v")</f>
        <v>v</v>
      </c>
      <c r="AB20" s="158" t="str">
        <f>IF(AWS[[#This Row],[Column8]]="x","1",(IF(OR(AWS[[#This Row],[Column25]]=2,AWS[[#This Row],[Column26]]=2,AWS[[#This Row],[Column27]]=2),"1",(IF(AWS[[#This Row],[Column9]]="x","2",(IF(AWS[[#This Row],[Column10]]="x","3","")))))))</f>
        <v>1</v>
      </c>
      <c r="AC20" s="158" t="str">
        <f>IF(AWS[[#This Row],[Column14]] = "-", AWS[[#This Row],[Column14]], LEFT(AWS[[#This Row],[Column14]], SEARCH(" ", AWS[[#This Row],[Column14]] &amp; " ") - 1))</f>
        <v>1.4</v>
      </c>
    </row>
    <row r="21" spans="1:29" ht="409.5" hidden="1">
      <c r="A2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 s="137" t="str">
        <f>AWS[[#This Row],[Column30]]</f>
        <v>1.11</v>
      </c>
      <c r="C21" s="137">
        <v>3.3</v>
      </c>
      <c r="D21" s="237" t="s">
        <v>182</v>
      </c>
      <c r="E21" s="162" t="s">
        <v>156</v>
      </c>
      <c r="F21" s="138" t="s">
        <v>195</v>
      </c>
      <c r="G21" s="241" t="s">
        <v>196</v>
      </c>
      <c r="H21" s="163" t="s">
        <v>185</v>
      </c>
      <c r="I21" s="164" t="s">
        <v>185</v>
      </c>
      <c r="J21" s="200" t="s">
        <v>185</v>
      </c>
      <c r="K21" s="176" t="s">
        <v>185</v>
      </c>
      <c r="L21" s="176" t="s">
        <v>185</v>
      </c>
      <c r="M21" s="176" t="s">
        <v>185</v>
      </c>
      <c r="N21" s="165" t="s">
        <v>204</v>
      </c>
      <c r="O21" s="197" t="s">
        <v>198</v>
      </c>
      <c r="P21" s="166" t="s">
        <v>205</v>
      </c>
      <c r="Q21" s="166" t="s">
        <v>206</v>
      </c>
      <c r="R21" s="167" t="s">
        <v>207</v>
      </c>
      <c r="S21" s="166" t="s">
        <v>208</v>
      </c>
      <c r="T21" s="166" t="s">
        <v>209</v>
      </c>
      <c r="U21" s="158" t="s">
        <v>975</v>
      </c>
      <c r="V21" s="168" t="s">
        <v>894</v>
      </c>
      <c r="W21" s="158" t="s">
        <v>967</v>
      </c>
      <c r="X21" s="158" t="s">
        <v>185</v>
      </c>
      <c r="Y21" s="158" t="s">
        <v>185</v>
      </c>
      <c r="Z21" s="158"/>
      <c r="AA21" s="158" t="str">
        <f>IF(AWS[[#This Row],[Column14]]="-","", "v")</f>
        <v>v</v>
      </c>
      <c r="AB21" s="158" t="str">
        <f>IF(AWS[[#This Row],[Column8]]="x","1",(IF(OR(AWS[[#This Row],[Column25]]=2,AWS[[#This Row],[Column26]]=2,AWS[[#This Row],[Column27]]=2),"1",(IF(AWS[[#This Row],[Column9]]="x","2",(IF(AWS[[#This Row],[Column10]]="x","3","")))))))</f>
        <v>1</v>
      </c>
      <c r="AC21" s="158" t="str">
        <f>IF(AWS[[#This Row],[Column14]] = "-", AWS[[#This Row],[Column14]], LEFT(AWS[[#This Row],[Column14]], SEARCH(" ", AWS[[#This Row],[Column14]] &amp; " ") - 1))</f>
        <v>1.11</v>
      </c>
    </row>
    <row r="22" spans="1:29" ht="409.5" hidden="1">
      <c r="A2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2" s="137" t="str">
        <f>AWS[[#This Row],[Column30]]</f>
        <v>1.16</v>
      </c>
      <c r="C22" s="137">
        <v>3.3</v>
      </c>
      <c r="D22" s="237" t="s">
        <v>182</v>
      </c>
      <c r="E22" s="162" t="s">
        <v>156</v>
      </c>
      <c r="F22" s="138" t="s">
        <v>195</v>
      </c>
      <c r="G22" s="241" t="s">
        <v>196</v>
      </c>
      <c r="H22" s="163" t="s">
        <v>185</v>
      </c>
      <c r="I22" s="164" t="s">
        <v>185</v>
      </c>
      <c r="J22" s="200" t="s">
        <v>185</v>
      </c>
      <c r="K22" s="176" t="s">
        <v>185</v>
      </c>
      <c r="L22" s="176" t="s">
        <v>185</v>
      </c>
      <c r="M22" s="176" t="s">
        <v>185</v>
      </c>
      <c r="N22" s="165" t="s">
        <v>210</v>
      </c>
      <c r="O22" s="197" t="s">
        <v>198</v>
      </c>
      <c r="P22" s="166" t="s">
        <v>211</v>
      </c>
      <c r="Q22" s="166" t="s">
        <v>212</v>
      </c>
      <c r="R22" s="167" t="s">
        <v>213</v>
      </c>
      <c r="S22" s="166" t="s">
        <v>214</v>
      </c>
      <c r="T22" s="166" t="s">
        <v>215</v>
      </c>
      <c r="U22" s="158" t="s">
        <v>162</v>
      </c>
      <c r="V22" s="168" t="s">
        <v>895</v>
      </c>
      <c r="W22" s="158" t="s">
        <v>967</v>
      </c>
      <c r="X22" s="158" t="s">
        <v>185</v>
      </c>
      <c r="Y22" s="158" t="s">
        <v>185</v>
      </c>
      <c r="Z22" s="158"/>
      <c r="AA22" s="158" t="str">
        <f>IF(AWS[[#This Row],[Column14]]="-","", "v")</f>
        <v>v</v>
      </c>
      <c r="AB22" s="158" t="str">
        <f>IF(AWS[[#This Row],[Column8]]="x","1",(IF(OR(AWS[[#This Row],[Column25]]=2,AWS[[#This Row],[Column26]]=2,AWS[[#This Row],[Column27]]=2),"1",(IF(AWS[[#This Row],[Column9]]="x","2",(IF(AWS[[#This Row],[Column10]]="x","3","")))))))</f>
        <v>1</v>
      </c>
      <c r="AC22" s="158" t="str">
        <f>IF(AWS[[#This Row],[Column14]] = "-", AWS[[#This Row],[Column14]], LEFT(AWS[[#This Row],[Column14]], SEARCH(" ", AWS[[#This Row],[Column14]] &amp; " ") - 1))</f>
        <v>1.16</v>
      </c>
    </row>
    <row r="23" spans="1:29" ht="409.5" hidden="1">
      <c r="A2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3" s="137" t="str">
        <f>AWS[[#This Row],[Column30]]</f>
        <v>1.20</v>
      </c>
      <c r="C23" s="137">
        <v>3.3</v>
      </c>
      <c r="D23" s="237" t="s">
        <v>182</v>
      </c>
      <c r="E23" s="162" t="s">
        <v>156</v>
      </c>
      <c r="F23" s="138" t="s">
        <v>195</v>
      </c>
      <c r="G23" s="241" t="s">
        <v>196</v>
      </c>
      <c r="H23" s="163" t="s">
        <v>185</v>
      </c>
      <c r="I23" s="164" t="s">
        <v>185</v>
      </c>
      <c r="J23" s="200" t="s">
        <v>185</v>
      </c>
      <c r="K23" s="176" t="s">
        <v>185</v>
      </c>
      <c r="L23" s="176" t="s">
        <v>185</v>
      </c>
      <c r="M23" s="176" t="s">
        <v>185</v>
      </c>
      <c r="N23" s="165" t="s">
        <v>216</v>
      </c>
      <c r="O23" s="197" t="s">
        <v>198</v>
      </c>
      <c r="P23" s="166" t="s">
        <v>217</v>
      </c>
      <c r="Q23" s="166" t="s">
        <v>218</v>
      </c>
      <c r="R23" s="167" t="s">
        <v>219</v>
      </c>
      <c r="S23" s="166" t="s">
        <v>220</v>
      </c>
      <c r="T23" s="166" t="s">
        <v>221</v>
      </c>
      <c r="U23" s="158" t="s">
        <v>162</v>
      </c>
      <c r="V23" s="168" t="s">
        <v>896</v>
      </c>
      <c r="W23" s="158" t="s">
        <v>966</v>
      </c>
      <c r="X23" s="158" t="s">
        <v>185</v>
      </c>
      <c r="Y23" s="158" t="s">
        <v>185</v>
      </c>
      <c r="Z23" s="158"/>
      <c r="AA23" s="158" t="str">
        <f>IF(AWS[[#This Row],[Column14]]="-","", "v")</f>
        <v>v</v>
      </c>
      <c r="AB23" s="158" t="str">
        <f>IF(AWS[[#This Row],[Column8]]="x","1",(IF(OR(AWS[[#This Row],[Column25]]=2,AWS[[#This Row],[Column26]]=2,AWS[[#This Row],[Column27]]=2),"1",(IF(AWS[[#This Row],[Column9]]="x","2",(IF(AWS[[#This Row],[Column10]]="x","3","")))))))</f>
        <v>1</v>
      </c>
      <c r="AC23" s="158" t="str">
        <f>IF(AWS[[#This Row],[Column14]] = "-", AWS[[#This Row],[Column14]], LEFT(AWS[[#This Row],[Column14]], SEARCH(" ", AWS[[#This Row],[Column14]] &amp; " ") - 1))</f>
        <v>1.20</v>
      </c>
    </row>
    <row r="24" spans="1:29" ht="299.25" hidden="1">
      <c r="A2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4" s="137" t="str">
        <f>AWS[[#This Row],[Column30]]</f>
        <v>2.1.2</v>
      </c>
      <c r="C24" s="137">
        <v>3.3</v>
      </c>
      <c r="D24" s="237" t="s">
        <v>182</v>
      </c>
      <c r="E24" s="162" t="s">
        <v>156</v>
      </c>
      <c r="F24" s="138" t="s">
        <v>195</v>
      </c>
      <c r="G24" s="241" t="s">
        <v>196</v>
      </c>
      <c r="H24" s="163" t="s">
        <v>185</v>
      </c>
      <c r="I24" s="164" t="s">
        <v>185</v>
      </c>
      <c r="J24" s="200" t="s">
        <v>185</v>
      </c>
      <c r="K24" s="176" t="s">
        <v>185</v>
      </c>
      <c r="L24" s="176" t="s">
        <v>185</v>
      </c>
      <c r="M24" s="176" t="s">
        <v>185</v>
      </c>
      <c r="N24" s="165" t="s">
        <v>222</v>
      </c>
      <c r="O24" s="197" t="s">
        <v>187</v>
      </c>
      <c r="P24" s="166" t="s">
        <v>223</v>
      </c>
      <c r="Q24" s="166" t="s">
        <v>224</v>
      </c>
      <c r="R24" s="167" t="s">
        <v>225</v>
      </c>
      <c r="S24" s="166" t="s">
        <v>226</v>
      </c>
      <c r="T24" s="166" t="s">
        <v>227</v>
      </c>
      <c r="U24" s="158" t="s">
        <v>162</v>
      </c>
      <c r="V24" s="168" t="s">
        <v>897</v>
      </c>
      <c r="W24" s="158" t="s">
        <v>967</v>
      </c>
      <c r="X24" s="158" t="s">
        <v>185</v>
      </c>
      <c r="Y24" s="158" t="s">
        <v>185</v>
      </c>
      <c r="Z24" s="158"/>
      <c r="AA24" s="158" t="str">
        <f>IF(AWS[[#This Row],[Column14]]="-","", "v")</f>
        <v>v</v>
      </c>
      <c r="AB24" s="158" t="str">
        <f>IF(AWS[[#This Row],[Column8]]="x","1",(IF(OR(AWS[[#This Row],[Column25]]=2,AWS[[#This Row],[Column26]]=2,AWS[[#This Row],[Column27]]=2),"1",(IF(AWS[[#This Row],[Column9]]="x","2",(IF(AWS[[#This Row],[Column10]]="x","3","")))))))</f>
        <v>1</v>
      </c>
      <c r="AC24" s="158" t="str">
        <f>IF(AWS[[#This Row],[Column14]] = "-", AWS[[#This Row],[Column14]], LEFT(AWS[[#This Row],[Column14]], SEARCH(" ", AWS[[#This Row],[Column14]] &amp; " ") - 1))</f>
        <v>2.1.2</v>
      </c>
    </row>
    <row r="25" spans="1:29" ht="409.5" hidden="1">
      <c r="A2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5" s="137" t="str">
        <f>AWS[[#This Row],[Column30]]</f>
        <v>2.1.4</v>
      </c>
      <c r="C25" s="137">
        <v>3.3</v>
      </c>
      <c r="D25" s="237" t="s">
        <v>182</v>
      </c>
      <c r="E25" s="162" t="s">
        <v>156</v>
      </c>
      <c r="F25" s="138" t="s">
        <v>195</v>
      </c>
      <c r="G25" s="241" t="s">
        <v>196</v>
      </c>
      <c r="H25" s="163" t="s">
        <v>185</v>
      </c>
      <c r="I25" s="164" t="s">
        <v>185</v>
      </c>
      <c r="J25" s="200" t="s">
        <v>185</v>
      </c>
      <c r="K25" s="176" t="s">
        <v>185</v>
      </c>
      <c r="L25" s="176" t="s">
        <v>185</v>
      </c>
      <c r="M25" s="176" t="s">
        <v>185</v>
      </c>
      <c r="N25" s="165" t="s">
        <v>228</v>
      </c>
      <c r="O25" s="197" t="s">
        <v>198</v>
      </c>
      <c r="P25" s="166" t="s">
        <v>229</v>
      </c>
      <c r="Q25" s="166" t="s">
        <v>230</v>
      </c>
      <c r="R25" s="167" t="s">
        <v>231</v>
      </c>
      <c r="S25" s="166" t="s">
        <v>232</v>
      </c>
      <c r="T25" s="166" t="s">
        <v>233</v>
      </c>
      <c r="U25" s="158" t="s">
        <v>975</v>
      </c>
      <c r="V25" s="168" t="s">
        <v>898</v>
      </c>
      <c r="W25" s="158" t="s">
        <v>967</v>
      </c>
      <c r="X25" s="158" t="s">
        <v>185</v>
      </c>
      <c r="Y25" s="158" t="s">
        <v>185</v>
      </c>
      <c r="Z25" s="158"/>
      <c r="AA25" s="158" t="str">
        <f>IF(AWS[[#This Row],[Column14]]="-","", "v")</f>
        <v>v</v>
      </c>
      <c r="AB25" s="158" t="str">
        <f>IF(AWS[[#This Row],[Column8]]="x","1",(IF(OR(AWS[[#This Row],[Column25]]=2,AWS[[#This Row],[Column26]]=2,AWS[[#This Row],[Column27]]=2),"1",(IF(AWS[[#This Row],[Column9]]="x","2",(IF(AWS[[#This Row],[Column10]]="x","3","")))))))</f>
        <v>1</v>
      </c>
      <c r="AC25" s="158" t="str">
        <f>IF(AWS[[#This Row],[Column14]] = "-", AWS[[#This Row],[Column14]], LEFT(AWS[[#This Row],[Column14]], SEARCH(" ", AWS[[#This Row],[Column14]] &amp; " ") - 1))</f>
        <v>2.1.4</v>
      </c>
    </row>
    <row r="26" spans="1:29" ht="409.5" hidden="1">
      <c r="A2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6" s="137" t="str">
        <f>AWS[[#This Row],[Column30]]</f>
        <v>2.3.3</v>
      </c>
      <c r="C26" s="137">
        <v>3.3</v>
      </c>
      <c r="D26" s="237" t="s">
        <v>182</v>
      </c>
      <c r="E26" s="162" t="s">
        <v>156</v>
      </c>
      <c r="F26" s="138" t="s">
        <v>195</v>
      </c>
      <c r="G26" s="241" t="s">
        <v>196</v>
      </c>
      <c r="H26" s="163" t="s">
        <v>185</v>
      </c>
      <c r="I26" s="164" t="s">
        <v>185</v>
      </c>
      <c r="J26" s="200" t="s">
        <v>185</v>
      </c>
      <c r="K26" s="176" t="s">
        <v>185</v>
      </c>
      <c r="L26" s="176" t="s">
        <v>185</v>
      </c>
      <c r="M26" s="176" t="s">
        <v>185</v>
      </c>
      <c r="N26" s="165" t="s">
        <v>234</v>
      </c>
      <c r="O26" s="197" t="s">
        <v>198</v>
      </c>
      <c r="P26" s="166" t="s">
        <v>235</v>
      </c>
      <c r="Q26" s="166" t="s">
        <v>236</v>
      </c>
      <c r="R26" s="167" t="s">
        <v>237</v>
      </c>
      <c r="S26" s="166" t="s">
        <v>238</v>
      </c>
      <c r="T26" s="166" t="s">
        <v>239</v>
      </c>
      <c r="U26" s="158" t="s">
        <v>975</v>
      </c>
      <c r="V26" s="168" t="s">
        <v>898</v>
      </c>
      <c r="W26" s="158" t="s">
        <v>967</v>
      </c>
      <c r="X26" s="158" t="s">
        <v>185</v>
      </c>
      <c r="Y26" s="158" t="s">
        <v>185</v>
      </c>
      <c r="Z26" s="158"/>
      <c r="AA26" s="158" t="str">
        <f>IF(AWS[[#This Row],[Column14]]="-","", "v")</f>
        <v>v</v>
      </c>
      <c r="AB26" s="158" t="str">
        <f>IF(AWS[[#This Row],[Column8]]="x","1",(IF(OR(AWS[[#This Row],[Column25]]=2,AWS[[#This Row],[Column26]]=2,AWS[[#This Row],[Column27]]=2),"1",(IF(AWS[[#This Row],[Column9]]="x","2",(IF(AWS[[#This Row],[Column10]]="x","3","")))))))</f>
        <v>1</v>
      </c>
      <c r="AC26" s="158" t="str">
        <f>IF(AWS[[#This Row],[Column14]] = "-", AWS[[#This Row],[Column14]], LEFT(AWS[[#This Row],[Column14]], SEARCH(" ", AWS[[#This Row],[Column14]] &amp; " ") - 1))</f>
        <v>2.3.3</v>
      </c>
    </row>
    <row r="27" spans="1:29" ht="409.5" hidden="1">
      <c r="A2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7" s="137" t="str">
        <f>AWS[[#This Row],[Column30]]</f>
        <v>3.3</v>
      </c>
      <c r="C27" s="137">
        <v>3.3</v>
      </c>
      <c r="D27" s="237" t="s">
        <v>182</v>
      </c>
      <c r="E27" s="162" t="s">
        <v>156</v>
      </c>
      <c r="F27" s="138" t="s">
        <v>195</v>
      </c>
      <c r="G27" s="241" t="s">
        <v>196</v>
      </c>
      <c r="H27" s="163" t="s">
        <v>185</v>
      </c>
      <c r="I27" s="164" t="s">
        <v>185</v>
      </c>
      <c r="J27" s="200" t="s">
        <v>185</v>
      </c>
      <c r="K27" s="176" t="s">
        <v>185</v>
      </c>
      <c r="L27" s="176" t="s">
        <v>185</v>
      </c>
      <c r="M27" s="176" t="s">
        <v>185</v>
      </c>
      <c r="N27" s="165" t="s">
        <v>240</v>
      </c>
      <c r="O27" s="197" t="s">
        <v>198</v>
      </c>
      <c r="P27" s="166" t="s">
        <v>241</v>
      </c>
      <c r="Q27" s="166" t="s">
        <v>242</v>
      </c>
      <c r="R27" s="167" t="s">
        <v>243</v>
      </c>
      <c r="S27" s="166" t="s">
        <v>244</v>
      </c>
      <c r="T27" s="166" t="s">
        <v>245</v>
      </c>
      <c r="U27" s="158" t="s">
        <v>975</v>
      </c>
      <c r="V27" s="168" t="s">
        <v>898</v>
      </c>
      <c r="W27" s="158" t="s">
        <v>967</v>
      </c>
      <c r="X27" s="158" t="s">
        <v>185</v>
      </c>
      <c r="Y27" s="158" t="s">
        <v>185</v>
      </c>
      <c r="Z27" s="158"/>
      <c r="AA27" s="158" t="str">
        <f>IF(AWS[[#This Row],[Column14]]="-","", "v")</f>
        <v>v</v>
      </c>
      <c r="AB27" s="158" t="str">
        <f>IF(AWS[[#This Row],[Column8]]="x","1",(IF(OR(AWS[[#This Row],[Column25]]=2,AWS[[#This Row],[Column26]]=2,AWS[[#This Row],[Column27]]=2),"1",(IF(AWS[[#This Row],[Column9]]="x","2",(IF(AWS[[#This Row],[Column10]]="x","3","")))))))</f>
        <v>1</v>
      </c>
      <c r="AC27" s="158" t="str">
        <f>IF(AWS[[#This Row],[Column14]] = "-", AWS[[#This Row],[Column14]], LEFT(AWS[[#This Row],[Column14]], SEARCH(" ", AWS[[#This Row],[Column14]] &amp; " ") - 1))</f>
        <v>3.3</v>
      </c>
    </row>
    <row r="28" spans="1:29" ht="409.5" hidden="1">
      <c r="A2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8" s="137" t="str">
        <f>AWS[[#This Row],[Column30]]</f>
        <v>4.10</v>
      </c>
      <c r="C28" s="137">
        <v>3.3</v>
      </c>
      <c r="D28" s="237" t="s">
        <v>182</v>
      </c>
      <c r="E28" s="162" t="s">
        <v>156</v>
      </c>
      <c r="F28" s="138" t="s">
        <v>195</v>
      </c>
      <c r="G28" s="241" t="s">
        <v>196</v>
      </c>
      <c r="H28" s="163" t="s">
        <v>185</v>
      </c>
      <c r="I28" s="164" t="s">
        <v>185</v>
      </c>
      <c r="J28" s="200" t="s">
        <v>185</v>
      </c>
      <c r="K28" s="176" t="s">
        <v>185</v>
      </c>
      <c r="L28" s="176" t="s">
        <v>185</v>
      </c>
      <c r="M28" s="176" t="s">
        <v>185</v>
      </c>
      <c r="N28" s="165" t="s">
        <v>246</v>
      </c>
      <c r="O28" s="197" t="s">
        <v>187</v>
      </c>
      <c r="P28" s="166" t="s">
        <v>247</v>
      </c>
      <c r="Q28" s="166" t="s">
        <v>248</v>
      </c>
      <c r="R28" s="167" t="s">
        <v>249</v>
      </c>
      <c r="S28" s="166" t="s">
        <v>250</v>
      </c>
      <c r="T28" s="166" t="s">
        <v>251</v>
      </c>
      <c r="U28" s="158" t="s">
        <v>162</v>
      </c>
      <c r="V28" s="168" t="s">
        <v>921</v>
      </c>
      <c r="W28" s="158" t="s">
        <v>967</v>
      </c>
      <c r="X28" s="158" t="s">
        <v>185</v>
      </c>
      <c r="Y28" s="158" t="s">
        <v>185</v>
      </c>
      <c r="Z28" s="158"/>
      <c r="AA28" s="158" t="str">
        <f>IF(AWS[[#This Row],[Column14]]="-","", "v")</f>
        <v>v</v>
      </c>
      <c r="AB28" s="158" t="str">
        <f>IF(AWS[[#This Row],[Column8]]="x","1",(IF(OR(AWS[[#This Row],[Column25]]=2,AWS[[#This Row],[Column26]]=2,AWS[[#This Row],[Column27]]=2),"1",(IF(AWS[[#This Row],[Column9]]="x","2",(IF(AWS[[#This Row],[Column10]]="x","3","")))))))</f>
        <v>1</v>
      </c>
      <c r="AC28" s="158" t="str">
        <f>IF(AWS[[#This Row],[Column14]] = "-", AWS[[#This Row],[Column14]], LEFT(AWS[[#This Row],[Column14]], SEARCH(" ", AWS[[#This Row],[Column14]] &amp; " ") - 1))</f>
        <v>4.10</v>
      </c>
    </row>
    <row r="29" spans="1:29" ht="409.5" hidden="1">
      <c r="A2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9" s="137" t="str">
        <f>AWS[[#This Row],[Column30]]</f>
        <v>5.4</v>
      </c>
      <c r="C29" s="137">
        <v>3.3</v>
      </c>
      <c r="D29" s="237" t="s">
        <v>182</v>
      </c>
      <c r="E29" s="162" t="s">
        <v>156</v>
      </c>
      <c r="F29" s="138" t="s">
        <v>195</v>
      </c>
      <c r="G29" s="241" t="s">
        <v>196</v>
      </c>
      <c r="H29" s="163" t="s">
        <v>185</v>
      </c>
      <c r="I29" s="164" t="s">
        <v>185</v>
      </c>
      <c r="J29" s="200" t="s">
        <v>185</v>
      </c>
      <c r="K29" s="176" t="s">
        <v>185</v>
      </c>
      <c r="L29" s="176" t="s">
        <v>185</v>
      </c>
      <c r="M29" s="176" t="s">
        <v>185</v>
      </c>
      <c r="N29" s="165" t="s">
        <v>252</v>
      </c>
      <c r="O29" s="197" t="s">
        <v>187</v>
      </c>
      <c r="P29" s="166" t="s">
        <v>253</v>
      </c>
      <c r="Q29" s="166" t="s">
        <v>254</v>
      </c>
      <c r="R29" s="167" t="s">
        <v>255</v>
      </c>
      <c r="S29" s="166" t="s">
        <v>256</v>
      </c>
      <c r="T29" s="166" t="s">
        <v>257</v>
      </c>
      <c r="U29" s="158" t="s">
        <v>162</v>
      </c>
      <c r="V29" s="168" t="s">
        <v>900</v>
      </c>
      <c r="W29" s="158" t="s">
        <v>967</v>
      </c>
      <c r="X29" s="158" t="s">
        <v>185</v>
      </c>
      <c r="Y29" s="158" t="s">
        <v>185</v>
      </c>
      <c r="Z29" s="158"/>
      <c r="AA29" s="158" t="str">
        <f>IF(AWS[[#This Row],[Column14]]="-","", "v")</f>
        <v>v</v>
      </c>
      <c r="AB29" s="158" t="str">
        <f>IF(AWS[[#This Row],[Column8]]="x","1",(IF(OR(AWS[[#This Row],[Column25]]=2,AWS[[#This Row],[Column26]]=2,AWS[[#This Row],[Column27]]=2),"1",(IF(AWS[[#This Row],[Column9]]="x","2",(IF(AWS[[#This Row],[Column10]]="x","3","")))))))</f>
        <v>1</v>
      </c>
      <c r="AC29" s="158" t="str">
        <f>IF(AWS[[#This Row],[Column14]] = "-", AWS[[#This Row],[Column14]], LEFT(AWS[[#This Row],[Column14]], SEARCH(" ", AWS[[#This Row],[Column14]] &amp; " ") - 1))</f>
        <v>5.4</v>
      </c>
    </row>
    <row r="30" spans="1:29" ht="256.5" hidden="1">
      <c r="A3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0" s="137" t="str">
        <f>AWS[[#This Row],[Column30]]</f>
        <v>5.5</v>
      </c>
      <c r="C30" s="137">
        <v>3.3</v>
      </c>
      <c r="D30" s="237" t="s">
        <v>182</v>
      </c>
      <c r="E30" s="162" t="s">
        <v>156</v>
      </c>
      <c r="F30" s="138" t="s">
        <v>195</v>
      </c>
      <c r="G30" s="241" t="s">
        <v>196</v>
      </c>
      <c r="H30" s="163" t="s">
        <v>185</v>
      </c>
      <c r="I30" s="164" t="s">
        <v>185</v>
      </c>
      <c r="J30" s="200" t="s">
        <v>185</v>
      </c>
      <c r="K30" s="176" t="s">
        <v>185</v>
      </c>
      <c r="L30" s="176" t="s">
        <v>185</v>
      </c>
      <c r="M30" s="176" t="s">
        <v>185</v>
      </c>
      <c r="N30" s="165" t="s">
        <v>258</v>
      </c>
      <c r="O30" s="197" t="s">
        <v>187</v>
      </c>
      <c r="P30" s="166" t="s">
        <v>259</v>
      </c>
      <c r="Q30" s="166" t="s">
        <v>260</v>
      </c>
      <c r="R30" s="167" t="s">
        <v>261</v>
      </c>
      <c r="S30" s="166" t="s">
        <v>262</v>
      </c>
      <c r="T30" s="166" t="s">
        <v>263</v>
      </c>
      <c r="U30" s="158" t="s">
        <v>975</v>
      </c>
      <c r="V30" s="168" t="s">
        <v>901</v>
      </c>
      <c r="W30" s="158" t="s">
        <v>967</v>
      </c>
      <c r="X30" s="158" t="s">
        <v>185</v>
      </c>
      <c r="Y30" s="158" t="s">
        <v>185</v>
      </c>
      <c r="Z30" s="158"/>
      <c r="AA30" s="158" t="str">
        <f>IF(AWS[[#This Row],[Column14]]="-","", "v")</f>
        <v>v</v>
      </c>
      <c r="AB30" s="158" t="str">
        <f>IF(AWS[[#This Row],[Column8]]="x","1",(IF(OR(AWS[[#This Row],[Column25]]=2,AWS[[#This Row],[Column26]]=2,AWS[[#This Row],[Column27]]=2),"1",(IF(AWS[[#This Row],[Column9]]="x","2",(IF(AWS[[#This Row],[Column10]]="x","3","")))))))</f>
        <v>1</v>
      </c>
      <c r="AC30" s="158" t="str">
        <f>IF(AWS[[#This Row],[Column14]] = "-", AWS[[#This Row],[Column14]], LEFT(AWS[[#This Row],[Column14]], SEARCH(" ", AWS[[#This Row],[Column14]] &amp; " ") - 1))</f>
        <v>5.5</v>
      </c>
    </row>
    <row r="31" spans="1:29" ht="409.5" hidden="1">
      <c r="A3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1" s="137" t="str">
        <f>AWS[[#This Row],[Column30]]</f>
        <v>4.10</v>
      </c>
      <c r="C31" s="137">
        <v>3.3</v>
      </c>
      <c r="D31" s="237" t="s">
        <v>182</v>
      </c>
      <c r="E31" s="162" t="s">
        <v>156</v>
      </c>
      <c r="F31" s="138" t="s">
        <v>195</v>
      </c>
      <c r="G31" s="241" t="s">
        <v>196</v>
      </c>
      <c r="H31" s="163" t="s">
        <v>185</v>
      </c>
      <c r="I31" s="164" t="s">
        <v>185</v>
      </c>
      <c r="J31" s="200" t="s">
        <v>185</v>
      </c>
      <c r="K31" s="176" t="s">
        <v>185</v>
      </c>
      <c r="L31" s="176" t="s">
        <v>185</v>
      </c>
      <c r="M31" s="176" t="s">
        <v>185</v>
      </c>
      <c r="N31" s="165" t="s">
        <v>246</v>
      </c>
      <c r="O31" s="197" t="s">
        <v>187</v>
      </c>
      <c r="P31" s="166" t="s">
        <v>247</v>
      </c>
      <c r="Q31" s="166" t="s">
        <v>248</v>
      </c>
      <c r="R31" s="167" t="s">
        <v>264</v>
      </c>
      <c r="S31" s="166" t="s">
        <v>265</v>
      </c>
      <c r="T31" s="166" t="s">
        <v>251</v>
      </c>
      <c r="U31" s="158" t="s">
        <v>162</v>
      </c>
      <c r="V31" s="168" t="s">
        <v>921</v>
      </c>
      <c r="W31" s="158" t="s">
        <v>967</v>
      </c>
      <c r="X31" s="158" t="s">
        <v>185</v>
      </c>
      <c r="Y31" s="158" t="s">
        <v>185</v>
      </c>
      <c r="Z31" s="158"/>
      <c r="AA31" s="158" t="str">
        <f>IF(AWS[[#This Row],[Column14]]="-","", "v")</f>
        <v>v</v>
      </c>
      <c r="AB31" s="158" t="str">
        <f>IF(AWS[[#This Row],[Column8]]="x","1",(IF(OR(AWS[[#This Row],[Column25]]=2,AWS[[#This Row],[Column26]]=2,AWS[[#This Row],[Column27]]=2),"1",(IF(AWS[[#This Row],[Column9]]="x","2",(IF(AWS[[#This Row],[Column10]]="x","3","")))))))</f>
        <v>1</v>
      </c>
      <c r="AC31" s="158" t="str">
        <f>IF(AWS[[#This Row],[Column14]] = "-", AWS[[#This Row],[Column14]], LEFT(AWS[[#This Row],[Column14]], SEARCH(" ", AWS[[#This Row],[Column14]] &amp; " ") - 1))</f>
        <v>4.10</v>
      </c>
    </row>
    <row r="32" spans="1:29" ht="30" hidden="1">
      <c r="A3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2" s="137" t="str">
        <f>AWS[[#This Row],[Column30]]</f>
        <v>-</v>
      </c>
      <c r="C32" s="137">
        <v>3.4</v>
      </c>
      <c r="D32" s="237" t="s">
        <v>182</v>
      </c>
      <c r="E32" s="162" t="s">
        <v>156</v>
      </c>
      <c r="F32" s="138" t="s">
        <v>266</v>
      </c>
      <c r="G32" s="241" t="s">
        <v>267</v>
      </c>
      <c r="H32" s="163" t="s">
        <v>185</v>
      </c>
      <c r="I32" s="164" t="s">
        <v>185</v>
      </c>
      <c r="J32" s="200" t="s">
        <v>185</v>
      </c>
      <c r="K32" s="176" t="s">
        <v>185</v>
      </c>
      <c r="L32" s="176" t="s">
        <v>185</v>
      </c>
      <c r="M32" s="176" t="s">
        <v>185</v>
      </c>
      <c r="N32" s="165" t="s">
        <v>162</v>
      </c>
      <c r="O32" s="165" t="s">
        <v>162</v>
      </c>
      <c r="P32" s="165" t="s">
        <v>162</v>
      </c>
      <c r="Q32" s="165" t="s">
        <v>162</v>
      </c>
      <c r="R32" s="167"/>
      <c r="S32" s="165" t="s">
        <v>162</v>
      </c>
      <c r="T32" s="165" t="s">
        <v>162</v>
      </c>
      <c r="U32" s="158" t="s">
        <v>162</v>
      </c>
      <c r="V32" s="168"/>
      <c r="W32" s="158" t="s">
        <v>966</v>
      </c>
      <c r="X32" s="158" t="s">
        <v>185</v>
      </c>
      <c r="Y32" s="158" t="s">
        <v>185</v>
      </c>
      <c r="Z32" s="158"/>
      <c r="AA32" s="158" t="str">
        <f>IF(AWS[[#This Row],[Column14]]="-","", "v")</f>
        <v/>
      </c>
      <c r="AB32" s="158" t="str">
        <f>IF(AWS[[#This Row],[Column8]]="x","1",(IF(OR(AWS[[#This Row],[Column25]]=2,AWS[[#This Row],[Column26]]=2,AWS[[#This Row],[Column27]]=2),"1",(IF(AWS[[#This Row],[Column9]]="x","2",(IF(AWS[[#This Row],[Column10]]="x","3","")))))))</f>
        <v>1</v>
      </c>
      <c r="AC32" s="158" t="str">
        <f>IF(AWS[[#This Row],[Column14]] = "-", AWS[[#This Row],[Column14]], LEFT(AWS[[#This Row],[Column14]], SEARCH(" ", AWS[[#This Row],[Column14]] &amp; " ") - 1))</f>
        <v>-</v>
      </c>
    </row>
    <row r="33" spans="1:29" ht="45" hidden="1">
      <c r="A3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3" s="137" t="str">
        <f>AWS[[#This Row],[Column30]]</f>
        <v>-</v>
      </c>
      <c r="C33" s="137">
        <v>3.5</v>
      </c>
      <c r="D33" s="237" t="s">
        <v>182</v>
      </c>
      <c r="E33" s="162" t="s">
        <v>156</v>
      </c>
      <c r="F33" s="138" t="s">
        <v>268</v>
      </c>
      <c r="G33" s="241" t="s">
        <v>269</v>
      </c>
      <c r="H33" s="163" t="s">
        <v>185</v>
      </c>
      <c r="I33" s="164" t="s">
        <v>185</v>
      </c>
      <c r="J33" s="200" t="s">
        <v>185</v>
      </c>
      <c r="K33" s="176" t="s">
        <v>185</v>
      </c>
      <c r="L33" s="176" t="s">
        <v>185</v>
      </c>
      <c r="M33" s="176" t="s">
        <v>185</v>
      </c>
      <c r="N33" s="165" t="s">
        <v>162</v>
      </c>
      <c r="O33" s="165" t="s">
        <v>162</v>
      </c>
      <c r="P33" s="165" t="s">
        <v>162</v>
      </c>
      <c r="Q33" s="165" t="s">
        <v>162</v>
      </c>
      <c r="R33" s="167"/>
      <c r="S33" s="165" t="s">
        <v>162</v>
      </c>
      <c r="T33" s="165" t="s">
        <v>162</v>
      </c>
      <c r="U33" s="158" t="s">
        <v>162</v>
      </c>
      <c r="V33" s="168"/>
      <c r="W33" s="158" t="s">
        <v>966</v>
      </c>
      <c r="X33" s="158" t="s">
        <v>185</v>
      </c>
      <c r="Y33" s="158" t="s">
        <v>185</v>
      </c>
      <c r="Z33" s="158"/>
      <c r="AA33" s="158" t="str">
        <f>IF(AWS[[#This Row],[Column14]]="-","", "v")</f>
        <v/>
      </c>
      <c r="AB33" s="158" t="str">
        <f>IF(AWS[[#This Row],[Column8]]="x","1",(IF(OR(AWS[[#This Row],[Column25]]=2,AWS[[#This Row],[Column26]]=2,AWS[[#This Row],[Column27]]=2),"1",(IF(AWS[[#This Row],[Column9]]="x","2",(IF(AWS[[#This Row],[Column10]]="x","3","")))))))</f>
        <v>1</v>
      </c>
      <c r="AC33" s="158" t="str">
        <f>IF(AWS[[#This Row],[Column14]] = "-", AWS[[#This Row],[Column14]], LEFT(AWS[[#This Row],[Column14]], SEARCH(" ", AWS[[#This Row],[Column14]] &amp; " ") - 1))</f>
        <v>-</v>
      </c>
    </row>
    <row r="34" spans="1:29" ht="48">
      <c r="A3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34" s="137" t="str">
        <f>AWS[[#This Row],[Column30]]</f>
        <v>-</v>
      </c>
      <c r="C34" s="137">
        <v>3.6</v>
      </c>
      <c r="D34" s="237" t="s">
        <v>352</v>
      </c>
      <c r="E34" s="162" t="s">
        <v>156</v>
      </c>
      <c r="F34" s="138" t="s">
        <v>388</v>
      </c>
      <c r="G34" s="243" t="s">
        <v>389</v>
      </c>
      <c r="H34" s="163" t="s">
        <v>185</v>
      </c>
      <c r="I34" s="164" t="s">
        <v>185</v>
      </c>
      <c r="J34" s="200" t="s">
        <v>185</v>
      </c>
      <c r="K34" s="158"/>
      <c r="L34" s="158"/>
      <c r="M34" s="158"/>
      <c r="N34" s="165" t="s">
        <v>162</v>
      </c>
      <c r="O34" s="165" t="s">
        <v>162</v>
      </c>
      <c r="P34" s="165" t="s">
        <v>162</v>
      </c>
      <c r="Q34" s="165" t="s">
        <v>162</v>
      </c>
      <c r="R34" s="167"/>
      <c r="S34" s="165" t="s">
        <v>162</v>
      </c>
      <c r="T34" s="165" t="s">
        <v>162</v>
      </c>
      <c r="U34" s="158" t="s">
        <v>162</v>
      </c>
      <c r="V34" s="168"/>
      <c r="W34" s="158" t="s">
        <v>966</v>
      </c>
      <c r="X34" s="158" t="s">
        <v>185</v>
      </c>
      <c r="Y34" s="158" t="s">
        <v>185</v>
      </c>
      <c r="Z34" s="158"/>
      <c r="AA34" s="158" t="str">
        <f>IF(AWS[[#This Row],[Column14]]="-","", "v")</f>
        <v/>
      </c>
      <c r="AB34" s="158" t="str">
        <f>IF(AWS[[#This Row],[Column8]]="x","1",(IF(OR(AWS[[#This Row],[Column25]]=2,AWS[[#This Row],[Column26]]=2,AWS[[#This Row],[Column27]]=2),"1",(IF(AWS[[#This Row],[Column9]]="x","2",(IF(AWS[[#This Row],[Column10]]="x","3","")))))))</f>
        <v>1</v>
      </c>
      <c r="AC34" s="158" t="str">
        <f>IF(AWS[[#This Row],[Column14]] = "-", AWS[[#This Row],[Column14]], LEFT(AWS[[#This Row],[Column14]], SEARCH(" ", AWS[[#This Row],[Column14]] &amp; " ") - 1))</f>
        <v>-</v>
      </c>
    </row>
    <row r="35" spans="1:29" ht="75" hidden="1">
      <c r="A3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5" s="137" t="str">
        <f>AWS[[#This Row],[Column30]]</f>
        <v>-</v>
      </c>
      <c r="C35" s="137">
        <v>3.7</v>
      </c>
      <c r="D35" s="237" t="s">
        <v>182</v>
      </c>
      <c r="E35" s="162" t="s">
        <v>154</v>
      </c>
      <c r="F35" s="138" t="s">
        <v>270</v>
      </c>
      <c r="G35" s="243" t="s">
        <v>271</v>
      </c>
      <c r="H35" s="204"/>
      <c r="I35" s="164" t="s">
        <v>185</v>
      </c>
      <c r="J35" s="200" t="s">
        <v>185</v>
      </c>
      <c r="K35" s="176" t="s">
        <v>185</v>
      </c>
      <c r="L35" s="176" t="s">
        <v>185</v>
      </c>
      <c r="M35" s="176" t="s">
        <v>185</v>
      </c>
      <c r="N35" s="165" t="s">
        <v>162</v>
      </c>
      <c r="O35" s="165" t="s">
        <v>162</v>
      </c>
      <c r="P35" s="165" t="s">
        <v>162</v>
      </c>
      <c r="Q35" s="165" t="s">
        <v>162</v>
      </c>
      <c r="R35" s="167"/>
      <c r="S35" s="165" t="s">
        <v>162</v>
      </c>
      <c r="T35" s="165" t="s">
        <v>162</v>
      </c>
      <c r="U35" s="158" t="s">
        <v>162</v>
      </c>
      <c r="V35" s="168"/>
      <c r="W35" s="158" t="s">
        <v>966</v>
      </c>
      <c r="X35" s="158" t="s">
        <v>185</v>
      </c>
      <c r="Y35" s="158" t="s">
        <v>185</v>
      </c>
      <c r="Z35" s="158"/>
      <c r="AA35" s="158" t="str">
        <f>IF(AWS[[#This Row],[Column14]]="-","", "v")</f>
        <v/>
      </c>
      <c r="AB35" s="158" t="str">
        <f>IF(AWS[[#This Row],[Column8]]="x","1",(IF(OR(AWS[[#This Row],[Column25]]=2,AWS[[#This Row],[Column26]]=2,AWS[[#This Row],[Column27]]=2),"1",(IF(AWS[[#This Row],[Column9]]="x","2",(IF(AWS[[#This Row],[Column10]]="x","3","")))))))</f>
        <v>2</v>
      </c>
      <c r="AC35" s="158" t="str">
        <f>IF(AWS[[#This Row],[Column14]] = "-", AWS[[#This Row],[Column14]], LEFT(AWS[[#This Row],[Column14]], SEARCH(" ", AWS[[#This Row],[Column14]] &amp; " ") - 1))</f>
        <v>-</v>
      </c>
    </row>
    <row r="36" spans="1:29" ht="60" hidden="1">
      <c r="A3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6" s="137" t="str">
        <f>AWS[[#This Row],[Column30]]</f>
        <v>-</v>
      </c>
      <c r="C36" s="137">
        <v>3.8</v>
      </c>
      <c r="D36" s="237" t="s">
        <v>182</v>
      </c>
      <c r="E36" s="162" t="s">
        <v>154</v>
      </c>
      <c r="F36" s="138" t="s">
        <v>272</v>
      </c>
      <c r="G36" s="241" t="s">
        <v>273</v>
      </c>
      <c r="H36" s="137"/>
      <c r="I36" s="164" t="s">
        <v>185</v>
      </c>
      <c r="J36" s="200" t="s">
        <v>185</v>
      </c>
      <c r="K36" s="176" t="s">
        <v>185</v>
      </c>
      <c r="L36" s="176" t="s">
        <v>185</v>
      </c>
      <c r="M36" s="176" t="s">
        <v>185</v>
      </c>
      <c r="N36" s="165" t="s">
        <v>162</v>
      </c>
      <c r="O36" s="165" t="s">
        <v>162</v>
      </c>
      <c r="P36" s="165" t="s">
        <v>162</v>
      </c>
      <c r="Q36" s="165" t="s">
        <v>162</v>
      </c>
      <c r="R36" s="167"/>
      <c r="S36" s="165" t="s">
        <v>162</v>
      </c>
      <c r="T36" s="165" t="s">
        <v>162</v>
      </c>
      <c r="U36" s="158" t="s">
        <v>162</v>
      </c>
      <c r="V36" s="168"/>
      <c r="W36" s="158" t="s">
        <v>966</v>
      </c>
      <c r="X36" s="158" t="s">
        <v>185</v>
      </c>
      <c r="Y36" s="158" t="s">
        <v>185</v>
      </c>
      <c r="Z36" s="158"/>
      <c r="AA36" s="158" t="str">
        <f>IF(AWS[[#This Row],[Column14]]="-","", "v")</f>
        <v/>
      </c>
      <c r="AB36" s="158" t="str">
        <f>IF(AWS[[#This Row],[Column8]]="x","1",(IF(OR(AWS[[#This Row],[Column25]]=2,AWS[[#This Row],[Column26]]=2,AWS[[#This Row],[Column27]]=2),"1",(IF(AWS[[#This Row],[Column9]]="x","2",(IF(AWS[[#This Row],[Column10]]="x","3","")))))))</f>
        <v>2</v>
      </c>
      <c r="AC36" s="158" t="str">
        <f>IF(AWS[[#This Row],[Column14]] = "-", AWS[[#This Row],[Column14]], LEFT(AWS[[#This Row],[Column14]], SEARCH(" ", AWS[[#This Row],[Column14]] &amp; " ") - 1))</f>
        <v>-</v>
      </c>
    </row>
    <row r="37" spans="1:29" ht="30">
      <c r="A3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37" s="137" t="str">
        <f>AWS[[#This Row],[Column30]]</f>
        <v>-</v>
      </c>
      <c r="C37" s="137">
        <v>3.9</v>
      </c>
      <c r="D37" s="237" t="s">
        <v>182</v>
      </c>
      <c r="E37" s="162" t="s">
        <v>156</v>
      </c>
      <c r="F37" s="138" t="s">
        <v>274</v>
      </c>
      <c r="G37" s="241" t="s">
        <v>275</v>
      </c>
      <c r="H37" s="204"/>
      <c r="I37" s="164" t="s">
        <v>185</v>
      </c>
      <c r="J37" s="200" t="s">
        <v>185</v>
      </c>
      <c r="K37" s="158"/>
      <c r="L37" s="158"/>
      <c r="M37" s="158"/>
      <c r="N37" s="165" t="s">
        <v>162</v>
      </c>
      <c r="O37" s="165" t="s">
        <v>162</v>
      </c>
      <c r="P37" s="165" t="s">
        <v>162</v>
      </c>
      <c r="Q37" s="165" t="s">
        <v>162</v>
      </c>
      <c r="R37" s="167"/>
      <c r="S37" s="165" t="s">
        <v>162</v>
      </c>
      <c r="T37" s="165" t="s">
        <v>162</v>
      </c>
      <c r="U37" s="158" t="s">
        <v>162</v>
      </c>
      <c r="V37" s="168"/>
      <c r="W37" s="158" t="s">
        <v>966</v>
      </c>
      <c r="X37" s="158" t="s">
        <v>185</v>
      </c>
      <c r="Y37" s="158" t="s">
        <v>185</v>
      </c>
      <c r="Z37" s="158"/>
      <c r="AA37" s="158" t="str">
        <f>IF(AWS[[#This Row],[Column14]]="-","", "v")</f>
        <v/>
      </c>
      <c r="AB37" s="158" t="str">
        <f>IF(AWS[[#This Row],[Column8]]="x","1",(IF(OR(AWS[[#This Row],[Column25]]=2,AWS[[#This Row],[Column26]]=2,AWS[[#This Row],[Column27]]=2),"1",(IF(AWS[[#This Row],[Column9]]="x","2",(IF(AWS[[#This Row],[Column10]]="x","3","")))))))</f>
        <v>2</v>
      </c>
      <c r="AC37" s="158" t="str">
        <f>IF(AWS[[#This Row],[Column14]] = "-", AWS[[#This Row],[Column14]], LEFT(AWS[[#This Row],[Column14]], SEARCH(" ", AWS[[#This Row],[Column14]] &amp; " ") - 1))</f>
        <v>-</v>
      </c>
    </row>
    <row r="38" spans="1:29" ht="409.5" hidden="1">
      <c r="A3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8" s="137" t="str">
        <f>AWS[[#This Row],[Column30]]</f>
        <v>2.1.1</v>
      </c>
      <c r="C38" s="140">
        <v>3.1</v>
      </c>
      <c r="D38" s="237" t="s">
        <v>182</v>
      </c>
      <c r="E38" s="162" t="s">
        <v>156</v>
      </c>
      <c r="F38" s="138" t="s">
        <v>276</v>
      </c>
      <c r="G38" s="243" t="s">
        <v>277</v>
      </c>
      <c r="H38" s="137"/>
      <c r="I38" s="164" t="s">
        <v>185</v>
      </c>
      <c r="J38" s="200" t="s">
        <v>185</v>
      </c>
      <c r="K38" s="176" t="s">
        <v>185</v>
      </c>
      <c r="L38" s="176" t="s">
        <v>185</v>
      </c>
      <c r="M38" s="176" t="s">
        <v>185</v>
      </c>
      <c r="N38" s="165" t="s">
        <v>278</v>
      </c>
      <c r="O38" s="197" t="s">
        <v>187</v>
      </c>
      <c r="P38" s="166" t="s">
        <v>279</v>
      </c>
      <c r="Q38" s="166" t="s">
        <v>280</v>
      </c>
      <c r="R38" s="167" t="s">
        <v>281</v>
      </c>
      <c r="S38" s="166" t="s">
        <v>282</v>
      </c>
      <c r="T38" s="166" t="s">
        <v>283</v>
      </c>
      <c r="U38" s="158" t="s">
        <v>162</v>
      </c>
      <c r="V38" s="168" t="s">
        <v>902</v>
      </c>
      <c r="W38" s="158" t="s">
        <v>967</v>
      </c>
      <c r="X38" s="158" t="s">
        <v>185</v>
      </c>
      <c r="Y38" s="158" t="s">
        <v>185</v>
      </c>
      <c r="Z38" s="158"/>
      <c r="AA38" s="158" t="str">
        <f>IF(AWS[[#This Row],[Column14]]="-","", "v")</f>
        <v>v</v>
      </c>
      <c r="AB38" s="158" t="str">
        <f>IF(AWS[[#This Row],[Column8]]="x","1",(IF(OR(AWS[[#This Row],[Column25]]=2,AWS[[#This Row],[Column26]]=2,AWS[[#This Row],[Column27]]=2),"1",(IF(AWS[[#This Row],[Column9]]="x","2",(IF(AWS[[#This Row],[Column10]]="x","3","")))))))</f>
        <v>2</v>
      </c>
      <c r="AC38" s="158" t="str">
        <f>IF(AWS[[#This Row],[Column14]] = "-", AWS[[#This Row],[Column14]], LEFT(AWS[[#This Row],[Column14]], SEARCH(" ", AWS[[#This Row],[Column14]] &amp; " ") - 1))</f>
        <v>2.1.1</v>
      </c>
    </row>
    <row r="39" spans="1:29" ht="327.75">
      <c r="A3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NOT(ISBLANK(K39)),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NOT(ISBLANK(L39)),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NOT(ISBLANK(M39)),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39" s="137" t="str">
        <f>AWS[[#This Row],[Column30]]</f>
        <v>2.2.1</v>
      </c>
      <c r="C39" s="137">
        <v>3.11</v>
      </c>
      <c r="D39" s="237" t="s">
        <v>182</v>
      </c>
      <c r="E39" s="162" t="s">
        <v>156</v>
      </c>
      <c r="F39" s="139" t="s">
        <v>284</v>
      </c>
      <c r="G39" s="243" t="s">
        <v>285</v>
      </c>
      <c r="H39" s="204"/>
      <c r="I39" s="164" t="s">
        <v>185</v>
      </c>
      <c r="J39" s="200" t="s">
        <v>185</v>
      </c>
      <c r="K39" s="176" t="s">
        <v>185</v>
      </c>
      <c r="L39" s="176" t="s">
        <v>185</v>
      </c>
      <c r="M39" s="158"/>
      <c r="N39" s="165" t="s">
        <v>286</v>
      </c>
      <c r="O39" s="197" t="s">
        <v>198</v>
      </c>
      <c r="P39" s="166" t="s">
        <v>287</v>
      </c>
      <c r="Q39" s="166" t="s">
        <v>288</v>
      </c>
      <c r="R39" s="167" t="s">
        <v>289</v>
      </c>
      <c r="S39" s="166" t="s">
        <v>290</v>
      </c>
      <c r="T39" s="166" t="s">
        <v>291</v>
      </c>
      <c r="U39" s="158" t="s">
        <v>975</v>
      </c>
      <c r="V39" s="168" t="s">
        <v>903</v>
      </c>
      <c r="W39" s="158" t="s">
        <v>967</v>
      </c>
      <c r="X39" s="158" t="s">
        <v>185</v>
      </c>
      <c r="Y39" s="158" t="s">
        <v>185</v>
      </c>
      <c r="Z39" s="158"/>
      <c r="AA39" s="158" t="str">
        <f>IF(AWS[[#This Row],[Column14]]="-","", "v")</f>
        <v>v</v>
      </c>
      <c r="AB39" s="158" t="str">
        <f>IF(AWS[[#This Row],[Column8]]="x","1",(IF(OR(AWS[[#This Row],[Column25]]=2,AWS[[#This Row],[Column26]]=2,AWS[[#This Row],[Column27]]=2),"1",(IF(AWS[[#This Row],[Column9]]="x","2",(IF(AWS[[#This Row],[Column10]]="x","3","")))))))</f>
        <v>2</v>
      </c>
      <c r="AC39" s="158" t="str">
        <f>IF(AWS[[#This Row],[Column14]] = "-", AWS[[#This Row],[Column14]], LEFT(AWS[[#This Row],[Column14]], SEARCH(" ", AWS[[#This Row],[Column14]] &amp; " ") - 1))</f>
        <v>2.2.1</v>
      </c>
    </row>
    <row r="40" spans="1:29" ht="409.5">
      <c r="A4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0" s="137" t="str">
        <f>AWS[[#This Row],[Column30]]</f>
        <v>2.3.1</v>
      </c>
      <c r="C40" s="137">
        <v>3.11</v>
      </c>
      <c r="D40" s="237" t="s">
        <v>182</v>
      </c>
      <c r="E40" s="162" t="s">
        <v>156</v>
      </c>
      <c r="F40" s="139" t="s">
        <v>284</v>
      </c>
      <c r="G40" s="243" t="s">
        <v>285</v>
      </c>
      <c r="H40" s="204"/>
      <c r="I40" s="164" t="s">
        <v>185</v>
      </c>
      <c r="J40" s="200" t="s">
        <v>185</v>
      </c>
      <c r="K40" s="176" t="s">
        <v>185</v>
      </c>
      <c r="L40" s="176" t="s">
        <v>185</v>
      </c>
      <c r="M40" s="158"/>
      <c r="N40" s="165" t="s">
        <v>2025</v>
      </c>
      <c r="O40" s="197" t="s">
        <v>198</v>
      </c>
      <c r="P40" s="166" t="s">
        <v>293</v>
      </c>
      <c r="Q40" s="166" t="s">
        <v>294</v>
      </c>
      <c r="R40" s="167" t="s">
        <v>295</v>
      </c>
      <c r="S40" s="166" t="s">
        <v>296</v>
      </c>
      <c r="T40" s="166" t="s">
        <v>297</v>
      </c>
      <c r="U40" s="158" t="s">
        <v>975</v>
      </c>
      <c r="V40" s="168" t="s">
        <v>903</v>
      </c>
      <c r="W40" s="158" t="s">
        <v>967</v>
      </c>
      <c r="X40" s="158" t="s">
        <v>185</v>
      </c>
      <c r="Y40" s="158" t="s">
        <v>185</v>
      </c>
      <c r="Z40" s="158"/>
      <c r="AA40" s="158" t="str">
        <f>IF(AWS[[#This Row],[Column14]]="-","", "v")</f>
        <v>v</v>
      </c>
      <c r="AB40" s="158" t="str">
        <f>IF(AWS[[#This Row],[Column8]]="x","1",(IF(OR(AWS[[#This Row],[Column25]]=2,AWS[[#This Row],[Column26]]=2,AWS[[#This Row],[Column27]]=2),"1",(IF(AWS[[#This Row],[Column9]]="x","2",(IF(AWS[[#This Row],[Column10]]="x","3","")))))))</f>
        <v>2</v>
      </c>
      <c r="AC40" s="158" t="str">
        <f>IF(AWS[[#This Row],[Column14]] = "-", AWS[[#This Row],[Column14]], LEFT(AWS[[#This Row],[Column14]], SEARCH(" ", AWS[[#This Row],[Column14]] &amp; " ") - 1))</f>
        <v>2.3.1</v>
      </c>
    </row>
    <row r="41" spans="1:29" ht="409.5">
      <c r="A4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1" s="137" t="str">
        <f>AWS[[#This Row],[Column30]]</f>
        <v>2.4.1</v>
      </c>
      <c r="C41" s="137">
        <v>3.11</v>
      </c>
      <c r="D41" s="237" t="s">
        <v>182</v>
      </c>
      <c r="E41" s="162" t="s">
        <v>156</v>
      </c>
      <c r="F41" s="139" t="s">
        <v>284</v>
      </c>
      <c r="G41" s="243" t="s">
        <v>285</v>
      </c>
      <c r="H41" s="204"/>
      <c r="I41" s="164" t="s">
        <v>185</v>
      </c>
      <c r="J41" s="200" t="s">
        <v>185</v>
      </c>
      <c r="K41" s="176" t="s">
        <v>185</v>
      </c>
      <c r="L41" s="176" t="s">
        <v>185</v>
      </c>
      <c r="M41" s="158"/>
      <c r="N41" s="165" t="s">
        <v>298</v>
      </c>
      <c r="O41" s="197" t="s">
        <v>198</v>
      </c>
      <c r="P41" s="166" t="s">
        <v>299</v>
      </c>
      <c r="Q41" s="166" t="s">
        <v>300</v>
      </c>
      <c r="R41" s="167" t="s">
        <v>301</v>
      </c>
      <c r="S41" s="166" t="s">
        <v>302</v>
      </c>
      <c r="T41" s="166" t="s">
        <v>303</v>
      </c>
      <c r="U41" s="158" t="s">
        <v>975</v>
      </c>
      <c r="V41" s="168" t="s">
        <v>903</v>
      </c>
      <c r="W41" s="158" t="s">
        <v>967</v>
      </c>
      <c r="X41" s="158" t="s">
        <v>185</v>
      </c>
      <c r="Y41" s="158" t="s">
        <v>185</v>
      </c>
      <c r="Z41" s="158"/>
      <c r="AA41" s="158" t="str">
        <f>IF(AWS[[#This Row],[Column14]]="-","", "v")</f>
        <v>v</v>
      </c>
      <c r="AB41" s="158" t="str">
        <f>IF(AWS[[#This Row],[Column8]]="x","1",(IF(OR(AWS[[#This Row],[Column25]]=2,AWS[[#This Row],[Column26]]=2,AWS[[#This Row],[Column27]]=2),"1",(IF(AWS[[#This Row],[Column9]]="x","2",(IF(AWS[[#This Row],[Column10]]="x","3","")))))))</f>
        <v>2</v>
      </c>
      <c r="AC41" s="158" t="str">
        <f>IF(AWS[[#This Row],[Column14]] = "-", AWS[[#This Row],[Column14]], LEFT(AWS[[#This Row],[Column14]], SEARCH(" ", AWS[[#This Row],[Column14]] &amp; " ") - 1))</f>
        <v>2.4.1</v>
      </c>
    </row>
    <row r="42" spans="1:29" ht="409.5">
      <c r="A4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2" s="137" t="str">
        <f>AWS[[#This Row],[Column30]]</f>
        <v>3.7</v>
      </c>
      <c r="C42" s="137">
        <v>3.11</v>
      </c>
      <c r="D42" s="237" t="s">
        <v>182</v>
      </c>
      <c r="E42" s="162" t="s">
        <v>156</v>
      </c>
      <c r="F42" s="139" t="s">
        <v>284</v>
      </c>
      <c r="G42" s="243" t="s">
        <v>285</v>
      </c>
      <c r="H42" s="204"/>
      <c r="I42" s="164" t="s">
        <v>185</v>
      </c>
      <c r="J42" s="200" t="s">
        <v>185</v>
      </c>
      <c r="K42" s="176" t="s">
        <v>185</v>
      </c>
      <c r="L42" s="176" t="s">
        <v>185</v>
      </c>
      <c r="M42" s="158"/>
      <c r="N42" s="165" t="s">
        <v>304</v>
      </c>
      <c r="O42" s="197" t="s">
        <v>187</v>
      </c>
      <c r="P42" s="166" t="s">
        <v>305</v>
      </c>
      <c r="Q42" s="166" t="s">
        <v>306</v>
      </c>
      <c r="R42" s="167" t="s">
        <v>307</v>
      </c>
      <c r="S42" s="166" t="s">
        <v>308</v>
      </c>
      <c r="T42" s="166" t="s">
        <v>309</v>
      </c>
      <c r="U42" s="158" t="s">
        <v>975</v>
      </c>
      <c r="V42" s="168" t="s">
        <v>968</v>
      </c>
      <c r="W42" s="158" t="s">
        <v>967</v>
      </c>
      <c r="X42" s="158" t="s">
        <v>185</v>
      </c>
      <c r="Y42" s="158" t="s">
        <v>185</v>
      </c>
      <c r="Z42" s="158"/>
      <c r="AA42" s="158" t="str">
        <f>IF(AWS[[#This Row],[Column14]]="-","", "v")</f>
        <v>v</v>
      </c>
      <c r="AB42" s="158" t="str">
        <f>IF(AWS[[#This Row],[Column8]]="x","1",(IF(OR(AWS[[#This Row],[Column25]]=2,AWS[[#This Row],[Column26]]=2,AWS[[#This Row],[Column27]]=2),"1",(IF(AWS[[#This Row],[Column9]]="x","2",(IF(AWS[[#This Row],[Column10]]="x","3","")))))))</f>
        <v>2</v>
      </c>
      <c r="AC42" s="158" t="str">
        <f>IF(AWS[[#This Row],[Column14]] = "-", AWS[[#This Row],[Column14]], LEFT(AWS[[#This Row],[Column14]], SEARCH(" ", AWS[[#This Row],[Column14]] &amp; " ") - 1))</f>
        <v>3.7</v>
      </c>
    </row>
    <row r="43" spans="1:29" ht="409.5">
      <c r="A4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3" s="137" t="str">
        <f>AWS[[#This Row],[Column30]]</f>
        <v>3.8</v>
      </c>
      <c r="C43" s="137">
        <v>3.11</v>
      </c>
      <c r="D43" s="237" t="s">
        <v>182</v>
      </c>
      <c r="E43" s="162" t="s">
        <v>156</v>
      </c>
      <c r="F43" s="139" t="s">
        <v>284</v>
      </c>
      <c r="G43" s="243" t="s">
        <v>285</v>
      </c>
      <c r="H43" s="204"/>
      <c r="I43" s="164" t="s">
        <v>185</v>
      </c>
      <c r="J43" s="200" t="s">
        <v>185</v>
      </c>
      <c r="K43" s="176" t="s">
        <v>185</v>
      </c>
      <c r="L43" s="176" t="s">
        <v>185</v>
      </c>
      <c r="M43" s="158"/>
      <c r="N43" s="165" t="s">
        <v>310</v>
      </c>
      <c r="O43" s="197" t="s">
        <v>187</v>
      </c>
      <c r="P43" s="166" t="s">
        <v>311</v>
      </c>
      <c r="Q43" s="166" t="s">
        <v>312</v>
      </c>
      <c r="R43" s="167" t="s">
        <v>313</v>
      </c>
      <c r="S43" s="166" t="s">
        <v>314</v>
      </c>
      <c r="T43" s="166" t="s">
        <v>315</v>
      </c>
      <c r="U43" s="158" t="s">
        <v>162</v>
      </c>
      <c r="V43" s="168" t="s">
        <v>904</v>
      </c>
      <c r="W43" s="158" t="s">
        <v>967</v>
      </c>
      <c r="X43" s="158" t="s">
        <v>185</v>
      </c>
      <c r="Y43" s="158" t="s">
        <v>185</v>
      </c>
      <c r="Z43" s="158"/>
      <c r="AA43" s="158" t="str">
        <f>IF(AWS[[#This Row],[Column14]]="-","", "v")</f>
        <v>v</v>
      </c>
      <c r="AB43" s="158" t="str">
        <f>IF(AWS[[#This Row],[Column8]]="x","1",(IF(OR(AWS[[#This Row],[Column25]]=2,AWS[[#This Row],[Column26]]=2,AWS[[#This Row],[Column27]]=2),"1",(IF(AWS[[#This Row],[Column9]]="x","2",(IF(AWS[[#This Row],[Column10]]="x","3","")))))))</f>
        <v>2</v>
      </c>
      <c r="AC43" s="158" t="str">
        <f>IF(AWS[[#This Row],[Column14]] = "-", AWS[[#This Row],[Column14]], LEFT(AWS[[#This Row],[Column14]], SEARCH(" ", AWS[[#This Row],[Column14]] &amp; " ") - 1))</f>
        <v>3.8</v>
      </c>
    </row>
    <row r="44" spans="1:29" ht="270.75">
      <c r="A4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4" s="137" t="str">
        <f>AWS[[#This Row],[Column30]]</f>
        <v>5.6</v>
      </c>
      <c r="C44" s="137">
        <v>3.11</v>
      </c>
      <c r="D44" s="237" t="s">
        <v>182</v>
      </c>
      <c r="E44" s="162" t="s">
        <v>156</v>
      </c>
      <c r="F44" s="139" t="s">
        <v>284</v>
      </c>
      <c r="G44" s="243" t="s">
        <v>285</v>
      </c>
      <c r="H44" s="204"/>
      <c r="I44" s="164" t="s">
        <v>185</v>
      </c>
      <c r="J44" s="200" t="s">
        <v>185</v>
      </c>
      <c r="K44" s="176" t="s">
        <v>185</v>
      </c>
      <c r="L44" s="176" t="s">
        <v>185</v>
      </c>
      <c r="M44" s="158"/>
      <c r="N44" s="165" t="s">
        <v>316</v>
      </c>
      <c r="O44" s="197" t="s">
        <v>198</v>
      </c>
      <c r="P44" s="166" t="s">
        <v>317</v>
      </c>
      <c r="Q44" s="166" t="s">
        <v>318</v>
      </c>
      <c r="R44" s="167" t="s">
        <v>319</v>
      </c>
      <c r="S44" s="166" t="s">
        <v>320</v>
      </c>
      <c r="T44" s="166" t="s">
        <v>321</v>
      </c>
      <c r="U44" s="158" t="s">
        <v>975</v>
      </c>
      <c r="V44" s="168" t="s">
        <v>903</v>
      </c>
      <c r="W44" s="158" t="s">
        <v>967</v>
      </c>
      <c r="X44" s="158" t="s">
        <v>185</v>
      </c>
      <c r="Y44" s="158" t="s">
        <v>185</v>
      </c>
      <c r="Z44" s="158"/>
      <c r="AA44" s="158" t="str">
        <f>IF(AWS[[#This Row],[Column14]]="-","", "v")</f>
        <v>v</v>
      </c>
      <c r="AB44" s="158" t="str">
        <f>IF(AWS[[#This Row],[Column8]]="x","1",(IF(OR(AWS[[#This Row],[Column25]]=2,AWS[[#This Row],[Column26]]=2,AWS[[#This Row],[Column27]]=2),"1",(IF(AWS[[#This Row],[Column9]]="x","2",(IF(AWS[[#This Row],[Column10]]="x","3","")))))))</f>
        <v>2</v>
      </c>
      <c r="AC44" s="158" t="str">
        <f>IF(AWS[[#This Row],[Column14]] = "-", AWS[[#This Row],[Column14]], LEFT(AWS[[#This Row],[Column14]], SEARCH(" ", AWS[[#This Row],[Column14]] &amp; " ") - 1))</f>
        <v>5.6</v>
      </c>
    </row>
    <row r="45" spans="1:29" ht="45">
      <c r="A4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5" s="137" t="str">
        <f>AWS[[#This Row],[Column30]]</f>
        <v>-</v>
      </c>
      <c r="C45" s="137">
        <v>3.12</v>
      </c>
      <c r="D45" s="237" t="s">
        <v>390</v>
      </c>
      <c r="E45" s="162" t="s">
        <v>156</v>
      </c>
      <c r="F45" s="138" t="s">
        <v>391</v>
      </c>
      <c r="G45" s="243" t="s">
        <v>392</v>
      </c>
      <c r="H45" s="137"/>
      <c r="I45" s="164" t="s">
        <v>185</v>
      </c>
      <c r="J45" s="200" t="s">
        <v>185</v>
      </c>
      <c r="K45" s="176" t="s">
        <v>185</v>
      </c>
      <c r="L45" s="158"/>
      <c r="M45" s="158"/>
      <c r="N45" s="165" t="s">
        <v>162</v>
      </c>
      <c r="O45" s="165" t="s">
        <v>162</v>
      </c>
      <c r="P45" s="165" t="s">
        <v>162</v>
      </c>
      <c r="Q45" s="165" t="s">
        <v>162</v>
      </c>
      <c r="R45" s="167"/>
      <c r="S45" s="165" t="s">
        <v>162</v>
      </c>
      <c r="T45" s="165" t="s">
        <v>162</v>
      </c>
      <c r="U45" s="158" t="s">
        <v>162</v>
      </c>
      <c r="V45" s="168"/>
      <c r="W45" s="158" t="s">
        <v>966</v>
      </c>
      <c r="X45" s="158" t="s">
        <v>185</v>
      </c>
      <c r="Y45" s="158" t="s">
        <v>185</v>
      </c>
      <c r="Z45" s="158"/>
      <c r="AA45" s="158" t="str">
        <f>IF(AWS[[#This Row],[Column14]]="-","", "v")</f>
        <v/>
      </c>
      <c r="AB45" s="158" t="str">
        <f>IF(AWS[[#This Row],[Column8]]="x","1",(IF(OR(AWS[[#This Row],[Column25]]=2,AWS[[#This Row],[Column26]]=2,AWS[[#This Row],[Column27]]=2),"1",(IF(AWS[[#This Row],[Column9]]="x","2",(IF(AWS[[#This Row],[Column10]]="x","3","")))))))</f>
        <v>2</v>
      </c>
      <c r="AC45" s="158" t="str">
        <f>IF(AWS[[#This Row],[Column14]] = "-", AWS[[#This Row],[Column14]], LEFT(AWS[[#This Row],[Column14]], SEARCH(" ", AWS[[#This Row],[Column14]] &amp; " ") - 1))</f>
        <v>-</v>
      </c>
    </row>
    <row r="46" spans="1:29" ht="60">
      <c r="A4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46" s="137" t="str">
        <f>AWS[[#This Row],[Column30]]</f>
        <v>-</v>
      </c>
      <c r="C46" s="137">
        <v>3.13</v>
      </c>
      <c r="D46" s="237" t="s">
        <v>182</v>
      </c>
      <c r="E46" s="162" t="s">
        <v>156</v>
      </c>
      <c r="F46" s="138" t="s">
        <v>322</v>
      </c>
      <c r="G46" s="241" t="s">
        <v>323</v>
      </c>
      <c r="H46" s="204"/>
      <c r="I46" s="204"/>
      <c r="J46" s="200" t="s">
        <v>185</v>
      </c>
      <c r="K46" s="176" t="s">
        <v>185</v>
      </c>
      <c r="L46" s="158"/>
      <c r="M46" s="158"/>
      <c r="N46" s="165" t="s">
        <v>162</v>
      </c>
      <c r="O46" s="165" t="s">
        <v>162</v>
      </c>
      <c r="P46" s="165" t="s">
        <v>162</v>
      </c>
      <c r="Q46" s="165" t="s">
        <v>162</v>
      </c>
      <c r="R46" s="167"/>
      <c r="S46" s="165" t="s">
        <v>162</v>
      </c>
      <c r="T46" s="165" t="s">
        <v>162</v>
      </c>
      <c r="U46" s="158" t="s">
        <v>162</v>
      </c>
      <c r="V46" s="168"/>
      <c r="W46" s="158" t="s">
        <v>967</v>
      </c>
      <c r="X46" s="158" t="s">
        <v>185</v>
      </c>
      <c r="Y46" s="158" t="s">
        <v>185</v>
      </c>
      <c r="Z46" s="158"/>
      <c r="AA46" s="158" t="str">
        <f>IF(AWS[[#This Row],[Column14]]="-","", "v")</f>
        <v/>
      </c>
      <c r="AB46" s="158" t="str">
        <f>IF(AWS[[#This Row],[Column8]]="x","1",(IF(OR(AWS[[#This Row],[Column25]]=2,AWS[[#This Row],[Column26]]=2,AWS[[#This Row],[Column27]]=2),"1",(IF(AWS[[#This Row],[Column9]]="x","2",(IF(AWS[[#This Row],[Column10]]="x","3","")))))))</f>
        <v>3</v>
      </c>
      <c r="AC46" s="158" t="str">
        <f>IF(AWS[[#This Row],[Column14]] = "-", AWS[[#This Row],[Column14]], LEFT(AWS[[#This Row],[Column14]], SEARCH(" ", AWS[[#This Row],[Column14]] &amp; " ") - 1))</f>
        <v>-</v>
      </c>
    </row>
    <row r="47" spans="1:29" ht="409.5" hidden="1">
      <c r="A4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47" s="137" t="str">
        <f>AWS[[#This Row],[Column30]]</f>
        <v>3.6</v>
      </c>
      <c r="C47" s="137">
        <v>3.14</v>
      </c>
      <c r="D47" s="237" t="s">
        <v>182</v>
      </c>
      <c r="E47" s="162" t="s">
        <v>155</v>
      </c>
      <c r="F47" s="138" t="s">
        <v>324</v>
      </c>
      <c r="G47" s="241" t="s">
        <v>325</v>
      </c>
      <c r="H47" s="137"/>
      <c r="I47" s="137"/>
      <c r="J47" s="200" t="s">
        <v>185</v>
      </c>
      <c r="K47" s="176" t="s">
        <v>185</v>
      </c>
      <c r="L47" s="176" t="s">
        <v>185</v>
      </c>
      <c r="M47" s="176" t="s">
        <v>185</v>
      </c>
      <c r="N47" s="165" t="s">
        <v>326</v>
      </c>
      <c r="O47" s="197" t="s">
        <v>198</v>
      </c>
      <c r="P47" s="166" t="s">
        <v>327</v>
      </c>
      <c r="Q47" s="166" t="s">
        <v>328</v>
      </c>
      <c r="R47" s="167" t="s">
        <v>329</v>
      </c>
      <c r="S47" s="166" t="s">
        <v>330</v>
      </c>
      <c r="T47" s="166" t="s">
        <v>331</v>
      </c>
      <c r="U47" s="158" t="s">
        <v>162</v>
      </c>
      <c r="V47" s="168" t="s">
        <v>905</v>
      </c>
      <c r="W47" s="158" t="s">
        <v>967</v>
      </c>
      <c r="X47" s="158" t="s">
        <v>185</v>
      </c>
      <c r="Y47" s="158" t="s">
        <v>185</v>
      </c>
      <c r="Z47" s="158"/>
      <c r="AA47" s="158" t="str">
        <f>IF(AWS[[#This Row],[Column14]]="-","", "v")</f>
        <v>v</v>
      </c>
      <c r="AB47" s="158" t="str">
        <f>IF(AWS[[#This Row],[Column8]]="x","1",(IF(OR(AWS[[#This Row],[Column25]]=2,AWS[[#This Row],[Column26]]=2,AWS[[#This Row],[Column27]]=2),"1",(IF(AWS[[#This Row],[Column9]]="x","2",(IF(AWS[[#This Row],[Column10]]="x","3","")))))))</f>
        <v>3</v>
      </c>
      <c r="AC47" s="158" t="str">
        <f>IF(AWS[[#This Row],[Column14]] = "-", AWS[[#This Row],[Column14]], LEFT(AWS[[#This Row],[Column14]], SEARCH(" ", AWS[[#This Row],[Column14]] &amp; " ") - 1))</f>
        <v>3.6</v>
      </c>
    </row>
    <row r="48" spans="1:29" ht="60" hidden="1">
      <c r="A48" s="178" t="s">
        <v>942</v>
      </c>
      <c r="B48" s="154" t="s">
        <v>162</v>
      </c>
      <c r="C48" s="154" t="s">
        <v>162</v>
      </c>
      <c r="D48" s="245" t="s">
        <v>162</v>
      </c>
      <c r="E48" s="178"/>
      <c r="F48" s="156" t="s">
        <v>393</v>
      </c>
      <c r="G48" s="242" t="s">
        <v>394</v>
      </c>
      <c r="H48" s="245" t="s">
        <v>162</v>
      </c>
      <c r="I48" s="245" t="s">
        <v>162</v>
      </c>
      <c r="J48" s="245" t="s">
        <v>162</v>
      </c>
      <c r="K48" s="245" t="s">
        <v>162</v>
      </c>
      <c r="L48" s="245" t="s">
        <v>162</v>
      </c>
      <c r="M48" s="245" t="s">
        <v>162</v>
      </c>
      <c r="N48" s="245" t="s">
        <v>162</v>
      </c>
      <c r="O48" s="245" t="s">
        <v>162</v>
      </c>
      <c r="P48" s="245" t="s">
        <v>162</v>
      </c>
      <c r="Q48" s="245" t="s">
        <v>162</v>
      </c>
      <c r="R48" s="154" t="s">
        <v>162</v>
      </c>
      <c r="S48" s="245" t="s">
        <v>162</v>
      </c>
      <c r="T48" s="245" t="s">
        <v>162</v>
      </c>
      <c r="U48" s="245" t="s">
        <v>162</v>
      </c>
      <c r="V48" s="245" t="s">
        <v>162</v>
      </c>
      <c r="W48" s="245" t="s">
        <v>162</v>
      </c>
      <c r="X48" s="245" t="s">
        <v>162</v>
      </c>
      <c r="Y48" s="245" t="s">
        <v>162</v>
      </c>
      <c r="Z48" s="245" t="s">
        <v>162</v>
      </c>
      <c r="AA48" s="245" t="s">
        <v>162</v>
      </c>
      <c r="AB48" s="245" t="s">
        <v>162</v>
      </c>
      <c r="AC48" s="158" t="str">
        <f>IF(AWS[[#This Row],[Column14]] = "-", AWS[[#This Row],[Column14]], LEFT(AWS[[#This Row],[Column14]], SEARCH(" ", AWS[[#This Row],[Column14]] &amp; " ") - 1))</f>
        <v>-</v>
      </c>
    </row>
    <row r="49" spans="1:29" ht="75" hidden="1">
      <c r="A4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NOT(ISBLANK(K49)),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NOT(ISBLANK(L49)),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NOT(ISBLANK(M49)),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49" s="137" t="str">
        <f>AWS[[#This Row],[Column30]]</f>
        <v>-</v>
      </c>
      <c r="C49" s="137">
        <v>4.0999999999999996</v>
      </c>
      <c r="D49" s="237" t="s">
        <v>371</v>
      </c>
      <c r="E49" s="162" t="s">
        <v>156</v>
      </c>
      <c r="F49" s="138" t="s">
        <v>395</v>
      </c>
      <c r="G49" s="243" t="s">
        <v>396</v>
      </c>
      <c r="H49" s="163" t="s">
        <v>185</v>
      </c>
      <c r="I49" s="164" t="s">
        <v>185</v>
      </c>
      <c r="J49" s="200" t="s">
        <v>185</v>
      </c>
      <c r="K49" s="176" t="s">
        <v>185</v>
      </c>
      <c r="L49" s="176" t="s">
        <v>185</v>
      </c>
      <c r="M49" s="176" t="s">
        <v>185</v>
      </c>
      <c r="N49" s="165" t="s">
        <v>162</v>
      </c>
      <c r="O49" s="165" t="s">
        <v>162</v>
      </c>
      <c r="P49" s="165" t="s">
        <v>162</v>
      </c>
      <c r="Q49" s="165" t="s">
        <v>162</v>
      </c>
      <c r="R49" s="167"/>
      <c r="S49" s="165" t="s">
        <v>162</v>
      </c>
      <c r="T49" s="165" t="s">
        <v>162</v>
      </c>
      <c r="U49" s="158" t="s">
        <v>162</v>
      </c>
      <c r="V49" s="168"/>
      <c r="W49" s="158" t="s">
        <v>966</v>
      </c>
      <c r="X49" s="158" t="s">
        <v>185</v>
      </c>
      <c r="Y49" s="158" t="s">
        <v>185</v>
      </c>
      <c r="Z49" s="158" t="s">
        <v>185</v>
      </c>
      <c r="AA49" s="158" t="str">
        <f>IF(AWS[[#This Row],[Column14]]="-","", "v")</f>
        <v/>
      </c>
      <c r="AB49" s="158" t="str">
        <f>IF(AWS[[#This Row],[Column8]]="x","1",(IF(OR(AWS[[#This Row],[Column25]]=2,AWS[[#This Row],[Column26]]=2,AWS[[#This Row],[Column27]]=2),"1",(IF(AWS[[#This Row],[Column9]]="x","2",(IF(AWS[[#This Row],[Column10]]="x","3","")))))))</f>
        <v>1</v>
      </c>
      <c r="AC49" s="158" t="str">
        <f>IF(AWS[[#This Row],[Column14]] = "-", AWS[[#This Row],[Column14]], LEFT(AWS[[#This Row],[Column14]], SEARCH(" ", AWS[[#This Row],[Column14]] &amp; " ") - 1))</f>
        <v>-</v>
      </c>
    </row>
    <row r="50" spans="1:29" ht="60">
      <c r="A5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0" s="137" t="str">
        <f>AWS[[#This Row],[Column30]]</f>
        <v>-</v>
      </c>
      <c r="C50" s="137">
        <v>4.2</v>
      </c>
      <c r="D50" s="237" t="s">
        <v>390</v>
      </c>
      <c r="E50" s="162" t="s">
        <v>156</v>
      </c>
      <c r="F50" s="138" t="s">
        <v>397</v>
      </c>
      <c r="G50" s="241" t="s">
        <v>398</v>
      </c>
      <c r="H50" s="163" t="s">
        <v>185</v>
      </c>
      <c r="I50" s="164" t="s">
        <v>185</v>
      </c>
      <c r="J50" s="200" t="s">
        <v>185</v>
      </c>
      <c r="K50" s="176" t="s">
        <v>185</v>
      </c>
      <c r="L50" s="176" t="s">
        <v>185</v>
      </c>
      <c r="M50" s="176"/>
      <c r="N50" s="165" t="s">
        <v>162</v>
      </c>
      <c r="O50" s="165" t="s">
        <v>162</v>
      </c>
      <c r="P50" s="165" t="s">
        <v>162</v>
      </c>
      <c r="Q50" s="165" t="s">
        <v>162</v>
      </c>
      <c r="R50" s="167"/>
      <c r="S50" s="165" t="s">
        <v>162</v>
      </c>
      <c r="T50" s="165" t="s">
        <v>162</v>
      </c>
      <c r="U50" s="158" t="s">
        <v>162</v>
      </c>
      <c r="V50" s="168"/>
      <c r="W50" s="158" t="s">
        <v>966</v>
      </c>
      <c r="X50" s="158" t="s">
        <v>185</v>
      </c>
      <c r="Y50" s="158" t="s">
        <v>185</v>
      </c>
      <c r="Z50" s="158" t="s">
        <v>185</v>
      </c>
      <c r="AA50" s="158" t="str">
        <f>IF(AWS[[#This Row],[Column14]]="-","", "v")</f>
        <v/>
      </c>
      <c r="AB50" s="158" t="str">
        <f>IF(AWS[[#This Row],[Column8]]="x","1",(IF(OR(AWS[[#This Row],[Column25]]=2,AWS[[#This Row],[Column26]]=2,AWS[[#This Row],[Column27]]=2),"1",(IF(AWS[[#This Row],[Column9]]="x","2",(IF(AWS[[#This Row],[Column10]]="x","3","")))))))</f>
        <v>1</v>
      </c>
      <c r="AC50" s="158" t="str">
        <f>IF(AWS[[#This Row],[Column14]] = "-", AWS[[#This Row],[Column14]], LEFT(AWS[[#This Row],[Column14]], SEARCH(" ", AWS[[#This Row],[Column14]] &amp; " ") - 1))</f>
        <v>-</v>
      </c>
    </row>
    <row r="51" spans="1:29" ht="45">
      <c r="A5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1" s="137" t="str">
        <f>AWS[[#This Row],[Column30]]</f>
        <v>-</v>
      </c>
      <c r="C51" s="137">
        <v>4.3</v>
      </c>
      <c r="D51" s="237" t="s">
        <v>399</v>
      </c>
      <c r="E51" s="162" t="s">
        <v>156</v>
      </c>
      <c r="F51" s="138" t="s">
        <v>400</v>
      </c>
      <c r="G51" s="241" t="s">
        <v>401</v>
      </c>
      <c r="H51" s="163" t="s">
        <v>185</v>
      </c>
      <c r="I51" s="164" t="s">
        <v>185</v>
      </c>
      <c r="J51" s="200" t="s">
        <v>185</v>
      </c>
      <c r="K51" s="176" t="s">
        <v>185</v>
      </c>
      <c r="L51" s="176"/>
      <c r="M51" s="176"/>
      <c r="N51" s="165" t="s">
        <v>162</v>
      </c>
      <c r="O51" s="165" t="s">
        <v>162</v>
      </c>
      <c r="P51" s="165" t="s">
        <v>162</v>
      </c>
      <c r="Q51" s="165" t="s">
        <v>162</v>
      </c>
      <c r="R51" s="167"/>
      <c r="S51" s="165" t="s">
        <v>162</v>
      </c>
      <c r="T51" s="165" t="s">
        <v>162</v>
      </c>
      <c r="U51" s="158" t="s">
        <v>162</v>
      </c>
      <c r="V51" s="168"/>
      <c r="W51" s="158" t="s">
        <v>967</v>
      </c>
      <c r="X51" s="158" t="s">
        <v>185</v>
      </c>
      <c r="Y51" s="158" t="s">
        <v>185</v>
      </c>
      <c r="Z51" s="158" t="s">
        <v>185</v>
      </c>
      <c r="AA51" s="158" t="str">
        <f>IF(AWS[[#This Row],[Column14]]="-","", "v")</f>
        <v/>
      </c>
      <c r="AB51" s="158" t="str">
        <f>IF(AWS[[#This Row],[Column8]]="x","1",(IF(OR(AWS[[#This Row],[Column25]]=2,AWS[[#This Row],[Column26]]=2,AWS[[#This Row],[Column27]]=2),"1",(IF(AWS[[#This Row],[Column9]]="x","2",(IF(AWS[[#This Row],[Column10]]="x","3","")))))))</f>
        <v>1</v>
      </c>
      <c r="AC51" s="158" t="str">
        <f>IF(AWS[[#This Row],[Column14]] = "-", AWS[[#This Row],[Column14]], LEFT(AWS[[#This Row],[Column14]], SEARCH(" ", AWS[[#This Row],[Column14]] &amp; " ") - 1))</f>
        <v>-</v>
      </c>
    </row>
    <row r="52" spans="1:29" ht="45">
      <c r="A5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2" s="137" t="str">
        <f>AWS[[#This Row],[Column30]]</f>
        <v>-</v>
      </c>
      <c r="C52" s="137">
        <v>4.4000000000000004</v>
      </c>
      <c r="D52" s="237" t="s">
        <v>352</v>
      </c>
      <c r="E52" s="162" t="s">
        <v>156</v>
      </c>
      <c r="F52" s="138" t="s">
        <v>402</v>
      </c>
      <c r="G52" s="241" t="s">
        <v>403</v>
      </c>
      <c r="H52" s="163" t="s">
        <v>185</v>
      </c>
      <c r="I52" s="164" t="s">
        <v>185</v>
      </c>
      <c r="J52" s="200" t="s">
        <v>185</v>
      </c>
      <c r="K52" s="176" t="s">
        <v>185</v>
      </c>
      <c r="L52" s="176" t="s">
        <v>185</v>
      </c>
      <c r="M52" s="176"/>
      <c r="N52" s="165" t="s">
        <v>162</v>
      </c>
      <c r="O52" s="165" t="s">
        <v>162</v>
      </c>
      <c r="P52" s="165" t="s">
        <v>162</v>
      </c>
      <c r="Q52" s="165" t="s">
        <v>162</v>
      </c>
      <c r="R52" s="167"/>
      <c r="S52" s="165" t="s">
        <v>162</v>
      </c>
      <c r="T52" s="165" t="s">
        <v>162</v>
      </c>
      <c r="U52" s="158" t="s">
        <v>162</v>
      </c>
      <c r="V52" s="168"/>
      <c r="W52" s="158" t="s">
        <v>967</v>
      </c>
      <c r="X52" s="158" t="s">
        <v>185</v>
      </c>
      <c r="Y52" s="158" t="s">
        <v>185</v>
      </c>
      <c r="Z52" s="158" t="s">
        <v>185</v>
      </c>
      <c r="AA52" s="158" t="str">
        <f>IF(AWS[[#This Row],[Column14]]="-","", "v")</f>
        <v/>
      </c>
      <c r="AB52" s="158" t="str">
        <f>IF(AWS[[#This Row],[Column8]]="x","1",(IF(OR(AWS[[#This Row],[Column25]]=2,AWS[[#This Row],[Column26]]=2,AWS[[#This Row],[Column27]]=2),"1",(IF(AWS[[#This Row],[Column9]]="x","2",(IF(AWS[[#This Row],[Column10]]="x","3","")))))))</f>
        <v>1</v>
      </c>
      <c r="AC52" s="158" t="str">
        <f>IF(AWS[[#This Row],[Column14]] = "-", AWS[[#This Row],[Column14]], LEFT(AWS[[#This Row],[Column14]], SEARCH(" ", AWS[[#This Row],[Column14]] &amp; " ") - 1))</f>
        <v>-</v>
      </c>
    </row>
    <row r="53" spans="1:29" ht="45">
      <c r="A5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3" s="137" t="str">
        <f>AWS[[#This Row],[Column30]]</f>
        <v>-</v>
      </c>
      <c r="C53" s="137">
        <v>4.5</v>
      </c>
      <c r="D53" s="237" t="s">
        <v>352</v>
      </c>
      <c r="E53" s="162" t="s">
        <v>156</v>
      </c>
      <c r="F53" s="138" t="s">
        <v>404</v>
      </c>
      <c r="G53" s="241" t="s">
        <v>405</v>
      </c>
      <c r="H53" s="163" t="s">
        <v>185</v>
      </c>
      <c r="I53" s="164" t="s">
        <v>185</v>
      </c>
      <c r="J53" s="200" t="s">
        <v>185</v>
      </c>
      <c r="K53" s="176" t="s">
        <v>185</v>
      </c>
      <c r="L53" s="176" t="s">
        <v>185</v>
      </c>
      <c r="M53" s="176"/>
      <c r="N53" s="165" t="s">
        <v>162</v>
      </c>
      <c r="O53" s="165" t="s">
        <v>162</v>
      </c>
      <c r="P53" s="165" t="s">
        <v>162</v>
      </c>
      <c r="Q53" s="165" t="s">
        <v>162</v>
      </c>
      <c r="R53" s="167"/>
      <c r="S53" s="165" t="s">
        <v>162</v>
      </c>
      <c r="T53" s="165" t="s">
        <v>162</v>
      </c>
      <c r="U53" s="158" t="s">
        <v>162</v>
      </c>
      <c r="V53" s="168"/>
      <c r="W53" s="158" t="s">
        <v>967</v>
      </c>
      <c r="X53" s="158" t="s">
        <v>185</v>
      </c>
      <c r="Y53" s="158" t="s">
        <v>185</v>
      </c>
      <c r="Z53" s="158" t="s">
        <v>185</v>
      </c>
      <c r="AA53" s="158" t="str">
        <f>IF(AWS[[#This Row],[Column14]]="-","", "v")</f>
        <v/>
      </c>
      <c r="AB53" s="158" t="str">
        <f>IF(AWS[[#This Row],[Column8]]="x","1",(IF(OR(AWS[[#This Row],[Column25]]=2,AWS[[#This Row],[Column26]]=2,AWS[[#This Row],[Column27]]=2),"1",(IF(AWS[[#This Row],[Column9]]="x","2",(IF(AWS[[#This Row],[Column10]]="x","3","")))))))</f>
        <v>1</v>
      </c>
      <c r="AC53" s="158" t="str">
        <f>IF(AWS[[#This Row],[Column14]] = "-", AWS[[#This Row],[Column14]], LEFT(AWS[[#This Row],[Column14]], SEARCH(" ", AWS[[#This Row],[Column14]] &amp; " ") - 1))</f>
        <v>-</v>
      </c>
    </row>
    <row r="54" spans="1:29" ht="90" hidden="1">
      <c r="A5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4" s="137" t="str">
        <f>AWS[[#This Row],[Column30]]</f>
        <v>-</v>
      </c>
      <c r="C54" s="137">
        <v>4.5999999999999996</v>
      </c>
      <c r="D54" s="237" t="s">
        <v>390</v>
      </c>
      <c r="E54" s="162" t="s">
        <v>156</v>
      </c>
      <c r="F54" s="138" t="s">
        <v>406</v>
      </c>
      <c r="G54" s="243" t="s">
        <v>407</v>
      </c>
      <c r="H54" s="163" t="s">
        <v>185</v>
      </c>
      <c r="I54" s="164" t="s">
        <v>185</v>
      </c>
      <c r="J54" s="200" t="s">
        <v>185</v>
      </c>
      <c r="K54" s="176" t="s">
        <v>185</v>
      </c>
      <c r="L54" s="176" t="s">
        <v>185</v>
      </c>
      <c r="M54" s="176" t="s">
        <v>185</v>
      </c>
      <c r="N54" s="165" t="s">
        <v>162</v>
      </c>
      <c r="O54" s="165" t="s">
        <v>162</v>
      </c>
      <c r="P54" s="165" t="s">
        <v>162</v>
      </c>
      <c r="Q54" s="165" t="s">
        <v>162</v>
      </c>
      <c r="R54" s="167"/>
      <c r="S54" s="165" t="s">
        <v>162</v>
      </c>
      <c r="T54" s="165" t="s">
        <v>162</v>
      </c>
      <c r="U54" s="158" t="s">
        <v>162</v>
      </c>
      <c r="V54" s="168"/>
      <c r="W54" s="158" t="s">
        <v>967</v>
      </c>
      <c r="X54" s="158" t="s">
        <v>185</v>
      </c>
      <c r="Y54" s="158" t="s">
        <v>185</v>
      </c>
      <c r="Z54" s="158" t="s">
        <v>185</v>
      </c>
      <c r="AA54" s="158" t="str">
        <f>IF(AWS[[#This Row],[Column14]]="-","", "v")</f>
        <v/>
      </c>
      <c r="AB54" s="158" t="str">
        <f>IF(AWS[[#This Row],[Column8]]="x","1",(IF(OR(AWS[[#This Row],[Column25]]=2,AWS[[#This Row],[Column26]]=2,AWS[[#This Row],[Column27]]=2),"1",(IF(AWS[[#This Row],[Column9]]="x","2",(IF(AWS[[#This Row],[Column10]]="x","3","")))))))</f>
        <v>1</v>
      </c>
      <c r="AC54" s="158" t="str">
        <f>IF(AWS[[#This Row],[Column14]] = "-", AWS[[#This Row],[Column14]], LEFT(AWS[[#This Row],[Column14]], SEARCH(" ", AWS[[#This Row],[Column14]] &amp; " ") - 1))</f>
        <v>-</v>
      </c>
    </row>
    <row r="55" spans="1:29" ht="45" hidden="1">
      <c r="A5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5" s="137" t="str">
        <f>AWS[[#This Row],[Column30]]</f>
        <v>-</v>
      </c>
      <c r="C55" s="137">
        <v>4.7</v>
      </c>
      <c r="D55" s="237" t="s">
        <v>399</v>
      </c>
      <c r="E55" s="162" t="s">
        <v>156</v>
      </c>
      <c r="F55" s="138" t="s">
        <v>408</v>
      </c>
      <c r="G55" s="243" t="s">
        <v>409</v>
      </c>
      <c r="H55" s="163" t="s">
        <v>185</v>
      </c>
      <c r="I55" s="164" t="s">
        <v>185</v>
      </c>
      <c r="J55" s="200" t="s">
        <v>185</v>
      </c>
      <c r="K55" s="176" t="s">
        <v>185</v>
      </c>
      <c r="L55" s="176" t="s">
        <v>185</v>
      </c>
      <c r="M55" s="176" t="s">
        <v>185</v>
      </c>
      <c r="N55" s="165" t="s">
        <v>162</v>
      </c>
      <c r="O55" s="165" t="s">
        <v>162</v>
      </c>
      <c r="P55" s="165" t="s">
        <v>162</v>
      </c>
      <c r="Q55" s="165" t="s">
        <v>162</v>
      </c>
      <c r="R55" s="167"/>
      <c r="S55" s="165" t="s">
        <v>162</v>
      </c>
      <c r="T55" s="165" t="s">
        <v>162</v>
      </c>
      <c r="U55" s="158" t="s">
        <v>162</v>
      </c>
      <c r="V55" s="168"/>
      <c r="W55" s="158" t="s">
        <v>967</v>
      </c>
      <c r="X55" s="158" t="s">
        <v>185</v>
      </c>
      <c r="Y55" s="158" t="s">
        <v>185</v>
      </c>
      <c r="Z55" s="158" t="s">
        <v>185</v>
      </c>
      <c r="AA55" s="158" t="str">
        <f>IF(AWS[[#This Row],[Column14]]="-","", "v")</f>
        <v/>
      </c>
      <c r="AB55" s="158" t="str">
        <f>IF(AWS[[#This Row],[Column8]]="x","1",(IF(OR(AWS[[#This Row],[Column25]]=2,AWS[[#This Row],[Column26]]=2,AWS[[#This Row],[Column27]]=2),"1",(IF(AWS[[#This Row],[Column9]]="x","2",(IF(AWS[[#This Row],[Column10]]="x","3","")))))))</f>
        <v>1</v>
      </c>
      <c r="AC55" s="158" t="str">
        <f>IF(AWS[[#This Row],[Column14]] = "-", AWS[[#This Row],[Column14]], LEFT(AWS[[#This Row],[Column14]], SEARCH(" ", AWS[[#This Row],[Column14]] &amp; " ") - 1))</f>
        <v>-</v>
      </c>
    </row>
    <row r="56" spans="1:29" ht="60">
      <c r="A5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6" s="137" t="str">
        <f>AWS[[#This Row],[Column30]]</f>
        <v>-</v>
      </c>
      <c r="C56" s="137">
        <v>4.8</v>
      </c>
      <c r="D56" s="237" t="s">
        <v>352</v>
      </c>
      <c r="E56" s="162" t="s">
        <v>156</v>
      </c>
      <c r="F56" s="139" t="s">
        <v>410</v>
      </c>
      <c r="G56" s="243" t="s">
        <v>411</v>
      </c>
      <c r="H56" s="137"/>
      <c r="I56" s="164" t="s">
        <v>185</v>
      </c>
      <c r="J56" s="200" t="s">
        <v>185</v>
      </c>
      <c r="K56" s="176" t="s">
        <v>185</v>
      </c>
      <c r="L56" s="176" t="s">
        <v>185</v>
      </c>
      <c r="M56" s="176"/>
      <c r="N56" s="165" t="s">
        <v>162</v>
      </c>
      <c r="O56" s="165" t="s">
        <v>162</v>
      </c>
      <c r="P56" s="165" t="s">
        <v>162</v>
      </c>
      <c r="Q56" s="165" t="s">
        <v>162</v>
      </c>
      <c r="R56" s="167"/>
      <c r="S56" s="165" t="s">
        <v>162</v>
      </c>
      <c r="T56" s="165" t="s">
        <v>162</v>
      </c>
      <c r="U56" s="158" t="s">
        <v>162</v>
      </c>
      <c r="V56" s="168"/>
      <c r="W56" s="158" t="s">
        <v>967</v>
      </c>
      <c r="X56" s="158" t="s">
        <v>185</v>
      </c>
      <c r="Y56" s="158" t="s">
        <v>185</v>
      </c>
      <c r="Z56" s="158" t="s">
        <v>185</v>
      </c>
      <c r="AA56" s="158" t="str">
        <f>IF(AWS[[#This Row],[Column14]]="-","", "v")</f>
        <v/>
      </c>
      <c r="AB56" s="158" t="str">
        <f>IF(AWS[[#This Row],[Column8]]="x","1",(IF(OR(AWS[[#This Row],[Column25]]=2,AWS[[#This Row],[Column26]]=2,AWS[[#This Row],[Column27]]=2),"1",(IF(AWS[[#This Row],[Column9]]="x","2",(IF(AWS[[#This Row],[Column10]]="x","3","")))))))</f>
        <v>2</v>
      </c>
      <c r="AC56" s="158" t="str">
        <f>IF(AWS[[#This Row],[Column14]] = "-", AWS[[#This Row],[Column14]], LEFT(AWS[[#This Row],[Column14]], SEARCH(" ", AWS[[#This Row],[Column14]] &amp; " ") - 1))</f>
        <v>-</v>
      </c>
    </row>
    <row r="57" spans="1:29" ht="45">
      <c r="A5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7" s="137" t="str">
        <f>AWS[[#This Row],[Column30]]</f>
        <v>-</v>
      </c>
      <c r="C57" s="137">
        <v>4.9000000000000004</v>
      </c>
      <c r="D57" s="237" t="s">
        <v>352</v>
      </c>
      <c r="E57" s="162" t="s">
        <v>156</v>
      </c>
      <c r="F57" s="138" t="s">
        <v>412</v>
      </c>
      <c r="G57" s="243" t="s">
        <v>413</v>
      </c>
      <c r="H57" s="204"/>
      <c r="I57" s="164" t="s">
        <v>185</v>
      </c>
      <c r="J57" s="200" t="s">
        <v>185</v>
      </c>
      <c r="K57" s="176" t="s">
        <v>185</v>
      </c>
      <c r="L57" s="176" t="s">
        <v>185</v>
      </c>
      <c r="M57" s="176"/>
      <c r="N57" s="165" t="s">
        <v>162</v>
      </c>
      <c r="O57" s="165" t="s">
        <v>162</v>
      </c>
      <c r="P57" s="165" t="s">
        <v>162</v>
      </c>
      <c r="Q57" s="165" t="s">
        <v>162</v>
      </c>
      <c r="R57" s="167"/>
      <c r="S57" s="165" t="s">
        <v>162</v>
      </c>
      <c r="T57" s="165" t="s">
        <v>162</v>
      </c>
      <c r="U57" s="158" t="s">
        <v>162</v>
      </c>
      <c r="V57" s="168"/>
      <c r="W57" s="158" t="s">
        <v>967</v>
      </c>
      <c r="X57" s="158" t="s">
        <v>185</v>
      </c>
      <c r="Y57" s="158" t="s">
        <v>185</v>
      </c>
      <c r="Z57" s="158" t="s">
        <v>185</v>
      </c>
      <c r="AA57" s="158" t="str">
        <f>IF(AWS[[#This Row],[Column14]]="-","", "v")</f>
        <v/>
      </c>
      <c r="AB57" s="158" t="str">
        <f>IF(AWS[[#This Row],[Column8]]="x","1",(IF(OR(AWS[[#This Row],[Column25]]=2,AWS[[#This Row],[Column26]]=2,AWS[[#This Row],[Column27]]=2),"1",(IF(AWS[[#This Row],[Column9]]="x","2",(IF(AWS[[#This Row],[Column10]]="x","3","")))))))</f>
        <v>2</v>
      </c>
      <c r="AC57" s="158" t="str">
        <f>IF(AWS[[#This Row],[Column14]] = "-", AWS[[#This Row],[Column14]], LEFT(AWS[[#This Row],[Column14]], SEARCH(" ", AWS[[#This Row],[Column14]] &amp; " ") - 1))</f>
        <v>-</v>
      </c>
    </row>
    <row r="58" spans="1:29" ht="90">
      <c r="A5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8" s="137" t="str">
        <f>AWS[[#This Row],[Column30]]</f>
        <v>-</v>
      </c>
      <c r="C58" s="141">
        <v>4.0999999999999996</v>
      </c>
      <c r="D58" s="237" t="s">
        <v>352</v>
      </c>
      <c r="E58" s="162" t="s">
        <v>157</v>
      </c>
      <c r="F58" s="138" t="s">
        <v>414</v>
      </c>
      <c r="G58" s="243" t="s">
        <v>415</v>
      </c>
      <c r="H58" s="137"/>
      <c r="I58" s="164" t="s">
        <v>185</v>
      </c>
      <c r="J58" s="200" t="s">
        <v>185</v>
      </c>
      <c r="K58" s="176" t="s">
        <v>185</v>
      </c>
      <c r="L58" s="176" t="s">
        <v>185</v>
      </c>
      <c r="M58" s="176"/>
      <c r="N58" s="165" t="s">
        <v>162</v>
      </c>
      <c r="O58" s="165" t="s">
        <v>162</v>
      </c>
      <c r="P58" s="165" t="s">
        <v>162</v>
      </c>
      <c r="Q58" s="165" t="s">
        <v>162</v>
      </c>
      <c r="R58" s="167"/>
      <c r="S58" s="165" t="s">
        <v>162</v>
      </c>
      <c r="T58" s="165" t="s">
        <v>162</v>
      </c>
      <c r="U58" s="158" t="s">
        <v>162</v>
      </c>
      <c r="V58" s="168"/>
      <c r="W58" s="158" t="s">
        <v>967</v>
      </c>
      <c r="X58" s="158" t="s">
        <v>185</v>
      </c>
      <c r="Y58" s="158" t="s">
        <v>185</v>
      </c>
      <c r="Z58" s="158" t="s">
        <v>185</v>
      </c>
      <c r="AA58" s="158" t="str">
        <f>IF(AWS[[#This Row],[Column14]]="-","", "v")</f>
        <v/>
      </c>
      <c r="AB58" s="158" t="str">
        <f>IF(AWS[[#This Row],[Column8]]="x","1",(IF(OR(AWS[[#This Row],[Column25]]=2,AWS[[#This Row],[Column26]]=2,AWS[[#This Row],[Column27]]=2),"1",(IF(AWS[[#This Row],[Column9]]="x","2",(IF(AWS[[#This Row],[Column10]]="x","3","")))))))</f>
        <v>2</v>
      </c>
      <c r="AC58" s="158" t="str">
        <f>IF(AWS[[#This Row],[Column14]] = "-", AWS[[#This Row],[Column14]], LEFT(AWS[[#This Row],[Column14]], SEARCH(" ", AWS[[#This Row],[Column14]] &amp; " ") - 1))</f>
        <v>-</v>
      </c>
    </row>
    <row r="59" spans="1:29" ht="45">
      <c r="A5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NOT(ISBLANK(K59)),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NOT(ISBLANK(L59)),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NOT(ISBLANK(M59)),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59" s="137" t="str">
        <f>AWS[[#This Row],[Column30]]</f>
        <v>-</v>
      </c>
      <c r="C59" s="137">
        <v>4.1100000000000003</v>
      </c>
      <c r="D59" s="237" t="s">
        <v>352</v>
      </c>
      <c r="E59" s="162" t="s">
        <v>156</v>
      </c>
      <c r="F59" s="138" t="s">
        <v>416</v>
      </c>
      <c r="G59" s="243" t="s">
        <v>417</v>
      </c>
      <c r="H59" s="204"/>
      <c r="I59" s="164" t="s">
        <v>185</v>
      </c>
      <c r="J59" s="200" t="s">
        <v>185</v>
      </c>
      <c r="K59" s="176" t="s">
        <v>185</v>
      </c>
      <c r="L59" s="176" t="s">
        <v>185</v>
      </c>
      <c r="M59" s="176"/>
      <c r="N59" s="165" t="s">
        <v>162</v>
      </c>
      <c r="O59" s="165" t="s">
        <v>162</v>
      </c>
      <c r="P59" s="165" t="s">
        <v>162</v>
      </c>
      <c r="Q59" s="165" t="s">
        <v>162</v>
      </c>
      <c r="R59" s="167"/>
      <c r="S59" s="165" t="s">
        <v>162</v>
      </c>
      <c r="T59" s="165" t="s">
        <v>162</v>
      </c>
      <c r="U59" s="158" t="s">
        <v>162</v>
      </c>
      <c r="V59" s="168"/>
      <c r="W59" s="158" t="s">
        <v>967</v>
      </c>
      <c r="X59" s="158" t="s">
        <v>185</v>
      </c>
      <c r="Y59" s="158" t="s">
        <v>185</v>
      </c>
      <c r="Z59" s="158" t="s">
        <v>185</v>
      </c>
      <c r="AA59" s="158" t="str">
        <f>IF(AWS[[#This Row],[Column14]]="-","", "v")</f>
        <v/>
      </c>
      <c r="AB59" s="158" t="str">
        <f>IF(AWS[[#This Row],[Column8]]="x","1",(IF(OR(AWS[[#This Row],[Column25]]=2,AWS[[#This Row],[Column26]]=2,AWS[[#This Row],[Column27]]=2),"1",(IF(AWS[[#This Row],[Column9]]="x","2",(IF(AWS[[#This Row],[Column10]]="x","3","")))))))</f>
        <v>2</v>
      </c>
      <c r="AC59" s="158" t="str">
        <f>IF(AWS[[#This Row],[Column14]] = "-", AWS[[#This Row],[Column14]], LEFT(AWS[[#This Row],[Column14]], SEARCH(" ", AWS[[#This Row],[Column14]] &amp; " ") - 1))</f>
        <v>-</v>
      </c>
    </row>
    <row r="60" spans="1:29" ht="60">
      <c r="A6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0" s="137" t="str">
        <f>AWS[[#This Row],[Column30]]</f>
        <v>-</v>
      </c>
      <c r="C60" s="137">
        <v>4.12</v>
      </c>
      <c r="D60" s="237" t="s">
        <v>352</v>
      </c>
      <c r="E60" s="162" t="s">
        <v>156</v>
      </c>
      <c r="F60" s="138" t="s">
        <v>418</v>
      </c>
      <c r="G60" s="243" t="s">
        <v>419</v>
      </c>
      <c r="H60" s="137"/>
      <c r="I60" s="137"/>
      <c r="J60" s="200" t="s">
        <v>185</v>
      </c>
      <c r="K60" s="176" t="s">
        <v>185</v>
      </c>
      <c r="L60" s="176" t="s">
        <v>185</v>
      </c>
      <c r="M60" s="176"/>
      <c r="N60" s="165" t="s">
        <v>162</v>
      </c>
      <c r="O60" s="165" t="s">
        <v>162</v>
      </c>
      <c r="P60" s="165" t="s">
        <v>162</v>
      </c>
      <c r="Q60" s="165" t="s">
        <v>162</v>
      </c>
      <c r="R60" s="167"/>
      <c r="S60" s="165" t="s">
        <v>162</v>
      </c>
      <c r="T60" s="165" t="s">
        <v>162</v>
      </c>
      <c r="U60" s="158" t="s">
        <v>162</v>
      </c>
      <c r="V60" s="168"/>
      <c r="W60" s="158" t="s">
        <v>967</v>
      </c>
      <c r="X60" s="158" t="s">
        <v>185</v>
      </c>
      <c r="Y60" s="158" t="s">
        <v>185</v>
      </c>
      <c r="Z60" s="158" t="s">
        <v>185</v>
      </c>
      <c r="AA60" s="158" t="str">
        <f>IF(AWS[[#This Row],[Column14]]="-","", "v")</f>
        <v/>
      </c>
      <c r="AB60" s="158" t="str">
        <f>IF(AWS[[#This Row],[Column8]]="x","1",(IF(OR(AWS[[#This Row],[Column25]]=2,AWS[[#This Row],[Column26]]=2,AWS[[#This Row],[Column27]]=2),"1",(IF(AWS[[#This Row],[Column9]]="x","2",(IF(AWS[[#This Row],[Column10]]="x","3","")))))))</f>
        <v>3</v>
      </c>
      <c r="AC60" s="158" t="str">
        <f>IF(AWS[[#This Row],[Column14]] = "-", AWS[[#This Row],[Column14]], LEFT(AWS[[#This Row],[Column14]], SEARCH(" ", AWS[[#This Row],[Column14]] &amp; " ") - 1))</f>
        <v>-</v>
      </c>
    </row>
    <row r="61" spans="1:29" ht="45" hidden="1">
      <c r="A61" s="178" t="s">
        <v>942</v>
      </c>
      <c r="B61" s="154" t="s">
        <v>162</v>
      </c>
      <c r="C61" s="154" t="s">
        <v>162</v>
      </c>
      <c r="D61" s="245" t="s">
        <v>162</v>
      </c>
      <c r="E61" s="178"/>
      <c r="F61" s="156" t="s">
        <v>420</v>
      </c>
      <c r="G61" s="242" t="s">
        <v>421</v>
      </c>
      <c r="H61" s="245" t="s">
        <v>162</v>
      </c>
      <c r="I61" s="245" t="s">
        <v>162</v>
      </c>
      <c r="J61" s="245" t="s">
        <v>162</v>
      </c>
      <c r="K61" s="245" t="s">
        <v>162</v>
      </c>
      <c r="L61" s="245" t="s">
        <v>162</v>
      </c>
      <c r="M61" s="245" t="s">
        <v>162</v>
      </c>
      <c r="N61" s="245" t="s">
        <v>162</v>
      </c>
      <c r="O61" s="245" t="s">
        <v>162</v>
      </c>
      <c r="P61" s="245" t="s">
        <v>162</v>
      </c>
      <c r="Q61" s="245" t="s">
        <v>162</v>
      </c>
      <c r="R61" s="167"/>
      <c r="S61" s="245" t="s">
        <v>162</v>
      </c>
      <c r="T61" s="245" t="s">
        <v>162</v>
      </c>
      <c r="U61" s="245" t="s">
        <v>162</v>
      </c>
      <c r="V61" s="245" t="s">
        <v>162</v>
      </c>
      <c r="W61" s="245" t="s">
        <v>162</v>
      </c>
      <c r="X61" s="245" t="s">
        <v>162</v>
      </c>
      <c r="Y61" s="245" t="s">
        <v>162</v>
      </c>
      <c r="Z61" s="245" t="s">
        <v>162</v>
      </c>
      <c r="AA61" s="245" t="s">
        <v>162</v>
      </c>
      <c r="AB61" s="245" t="s">
        <v>162</v>
      </c>
      <c r="AC61" s="158" t="str">
        <f>IF(AWS[[#This Row],[Column14]] = "-", AWS[[#This Row],[Column14]], LEFT(AWS[[#This Row],[Column14]], SEARCH(" ", AWS[[#This Row],[Column14]] &amp; " ") - 1))</f>
        <v>-</v>
      </c>
    </row>
    <row r="62" spans="1:29" ht="75" hidden="1">
      <c r="A6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2" s="137" t="str">
        <f>AWS[[#This Row],[Column30]]</f>
        <v>-</v>
      </c>
      <c r="C62" s="137">
        <v>5.0999999999999996</v>
      </c>
      <c r="D62" s="237" t="s">
        <v>399</v>
      </c>
      <c r="E62" s="162" t="s">
        <v>154</v>
      </c>
      <c r="F62" s="138" t="s">
        <v>446</v>
      </c>
      <c r="G62" s="241" t="s">
        <v>447</v>
      </c>
      <c r="H62" s="163" t="s">
        <v>185</v>
      </c>
      <c r="I62" s="164" t="s">
        <v>185</v>
      </c>
      <c r="J62" s="200" t="s">
        <v>185</v>
      </c>
      <c r="K62" s="176" t="s">
        <v>185</v>
      </c>
      <c r="L62" s="176" t="s">
        <v>185</v>
      </c>
      <c r="M62" s="176" t="s">
        <v>185</v>
      </c>
      <c r="N62" s="165" t="s">
        <v>162</v>
      </c>
      <c r="O62" s="165" t="s">
        <v>162</v>
      </c>
      <c r="P62" s="165" t="s">
        <v>162</v>
      </c>
      <c r="Q62" s="165" t="s">
        <v>162</v>
      </c>
      <c r="R62" s="167"/>
      <c r="S62" s="165" t="s">
        <v>162</v>
      </c>
      <c r="T62" s="165" t="s">
        <v>162</v>
      </c>
      <c r="U62" s="158" t="s">
        <v>162</v>
      </c>
      <c r="V62" s="168"/>
      <c r="W62" s="158" t="s">
        <v>966</v>
      </c>
      <c r="X62" s="158" t="s">
        <v>185</v>
      </c>
      <c r="Y62" s="158"/>
      <c r="Z62" s="158" t="s">
        <v>185</v>
      </c>
      <c r="AA62" s="158" t="str">
        <f>IF(AWS[[#This Row],[Column14]]="-","", "v")</f>
        <v/>
      </c>
      <c r="AB62" s="158" t="str">
        <f>IF(AWS[[#This Row],[Column8]]="x","1",(IF(OR(AWS[[#This Row],[Column25]]=2,AWS[[#This Row],[Column26]]=2,AWS[[#This Row],[Column27]]=2),"1",(IF(AWS[[#This Row],[Column9]]="x","2",(IF(AWS[[#This Row],[Column10]]="x","3","")))))))</f>
        <v>1</v>
      </c>
      <c r="AC62" s="158" t="str">
        <f>IF(AWS[[#This Row],[Column14]] = "-", AWS[[#This Row],[Column14]], LEFT(AWS[[#This Row],[Column14]], SEARCH(" ", AWS[[#This Row],[Column14]] &amp; " ") - 1))</f>
        <v>-</v>
      </c>
    </row>
    <row r="63" spans="1:29" ht="228" hidden="1">
      <c r="A6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3" s="137" t="str">
        <f>AWS[[#This Row],[Column30]]</f>
        <v>1.8</v>
      </c>
      <c r="C63" s="137">
        <v>5.2</v>
      </c>
      <c r="D63" s="237" t="s">
        <v>399</v>
      </c>
      <c r="E63" s="162" t="s">
        <v>156</v>
      </c>
      <c r="F63" s="138" t="s">
        <v>448</v>
      </c>
      <c r="G63" s="241" t="s">
        <v>449</v>
      </c>
      <c r="H63" s="163" t="s">
        <v>185</v>
      </c>
      <c r="I63" s="164" t="s">
        <v>185</v>
      </c>
      <c r="J63" s="200" t="s">
        <v>185</v>
      </c>
      <c r="K63" s="176" t="s">
        <v>185</v>
      </c>
      <c r="L63" s="176" t="s">
        <v>185</v>
      </c>
      <c r="M63" s="176" t="s">
        <v>185</v>
      </c>
      <c r="N63" s="165" t="s">
        <v>422</v>
      </c>
      <c r="O63" s="197" t="s">
        <v>198</v>
      </c>
      <c r="P63" s="166" t="s">
        <v>423</v>
      </c>
      <c r="Q63" s="166" t="s">
        <v>424</v>
      </c>
      <c r="R63" s="167" t="s">
        <v>425</v>
      </c>
      <c r="S63" s="166" t="s">
        <v>426</v>
      </c>
      <c r="T63" s="166" t="s">
        <v>427</v>
      </c>
      <c r="U63" s="158" t="s">
        <v>162</v>
      </c>
      <c r="V63" s="168" t="s">
        <v>906</v>
      </c>
      <c r="W63" s="158" t="s">
        <v>966</v>
      </c>
      <c r="X63" s="158" t="s">
        <v>185</v>
      </c>
      <c r="Y63" s="158"/>
      <c r="Z63" s="158" t="s">
        <v>185</v>
      </c>
      <c r="AA63" s="158" t="str">
        <f>IF(AWS[[#This Row],[Column14]]="-","", "v")</f>
        <v>v</v>
      </c>
      <c r="AB63" s="158" t="str">
        <f>IF(AWS[[#This Row],[Column8]]="x","1",(IF(OR(AWS[[#This Row],[Column25]]=2,AWS[[#This Row],[Column26]]=2,AWS[[#This Row],[Column27]]=2),"1",(IF(AWS[[#This Row],[Column9]]="x","2",(IF(AWS[[#This Row],[Column10]]="x","3","")))))))</f>
        <v>1</v>
      </c>
      <c r="AC63" s="158" t="str">
        <f>IF(AWS[[#This Row],[Column14]] = "-", AWS[[#This Row],[Column14]], LEFT(AWS[[#This Row],[Column14]], SEARCH(" ", AWS[[#This Row],[Column14]] &amp; " ") - 1))</f>
        <v>1.8</v>
      </c>
    </row>
    <row r="64" spans="1:29" ht="228" hidden="1">
      <c r="A6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4" s="137" t="str">
        <f>AWS[[#This Row],[Column30]]</f>
        <v>1.9</v>
      </c>
      <c r="C64" s="137">
        <v>5.2</v>
      </c>
      <c r="D64" s="237" t="s">
        <v>399</v>
      </c>
      <c r="E64" s="162" t="s">
        <v>156</v>
      </c>
      <c r="F64" s="138" t="s">
        <v>448</v>
      </c>
      <c r="G64" s="241" t="s">
        <v>449</v>
      </c>
      <c r="H64" s="163" t="s">
        <v>185</v>
      </c>
      <c r="I64" s="164" t="s">
        <v>185</v>
      </c>
      <c r="J64" s="200" t="s">
        <v>185</v>
      </c>
      <c r="K64" s="176" t="s">
        <v>185</v>
      </c>
      <c r="L64" s="176" t="s">
        <v>185</v>
      </c>
      <c r="M64" s="176" t="s">
        <v>185</v>
      </c>
      <c r="N64" s="165" t="s">
        <v>450</v>
      </c>
      <c r="O64" s="197" t="s">
        <v>198</v>
      </c>
      <c r="P64" s="166" t="s">
        <v>451</v>
      </c>
      <c r="Q64" s="166" t="s">
        <v>452</v>
      </c>
      <c r="R64" s="167" t="s">
        <v>453</v>
      </c>
      <c r="S64" s="166" t="s">
        <v>454</v>
      </c>
      <c r="T64" s="166" t="s">
        <v>455</v>
      </c>
      <c r="U64" s="158" t="s">
        <v>975</v>
      </c>
      <c r="V64" s="168" t="s">
        <v>907</v>
      </c>
      <c r="W64" s="158" t="s">
        <v>966</v>
      </c>
      <c r="X64" s="158" t="s">
        <v>185</v>
      </c>
      <c r="Y64" s="158" t="s">
        <v>185</v>
      </c>
      <c r="Z64" s="158" t="s">
        <v>185</v>
      </c>
      <c r="AA64" s="158" t="str">
        <f>IF(AWS[[#This Row],[Column14]]="-","", "v")</f>
        <v>v</v>
      </c>
      <c r="AB64" s="158" t="str">
        <f>IF(AWS[[#This Row],[Column8]]="x","1",(IF(OR(AWS[[#This Row],[Column25]]=2,AWS[[#This Row],[Column26]]=2,AWS[[#This Row],[Column27]]=2),"1",(IF(AWS[[#This Row],[Column9]]="x","2",(IF(AWS[[#This Row],[Column10]]="x","3","")))))))</f>
        <v>1</v>
      </c>
      <c r="AC64" s="158" t="str">
        <f>IF(AWS[[#This Row],[Column14]] = "-", AWS[[#This Row],[Column14]], LEFT(AWS[[#This Row],[Column14]], SEARCH(" ", AWS[[#This Row],[Column14]] &amp; " ") - 1))</f>
        <v>1.9</v>
      </c>
    </row>
    <row r="65" spans="1:29" ht="228" hidden="1">
      <c r="A6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5" s="137" t="str">
        <f>AWS[[#This Row],[Column30]]</f>
        <v>1.8</v>
      </c>
      <c r="C65" s="137">
        <v>5.2</v>
      </c>
      <c r="D65" s="237" t="s">
        <v>399</v>
      </c>
      <c r="E65" s="162" t="s">
        <v>156</v>
      </c>
      <c r="F65" s="138" t="s">
        <v>448</v>
      </c>
      <c r="G65" s="241" t="s">
        <v>449</v>
      </c>
      <c r="H65" s="163" t="s">
        <v>185</v>
      </c>
      <c r="I65" s="164" t="s">
        <v>185</v>
      </c>
      <c r="J65" s="200" t="s">
        <v>185</v>
      </c>
      <c r="K65" s="176" t="s">
        <v>185</v>
      </c>
      <c r="L65" s="176" t="s">
        <v>185</v>
      </c>
      <c r="M65" s="176" t="s">
        <v>185</v>
      </c>
      <c r="N65" s="165" t="s">
        <v>422</v>
      </c>
      <c r="O65" s="197" t="s">
        <v>198</v>
      </c>
      <c r="P65" s="165" t="s">
        <v>423</v>
      </c>
      <c r="Q65" s="165" t="s">
        <v>424</v>
      </c>
      <c r="R65" s="165" t="s">
        <v>425</v>
      </c>
      <c r="S65" s="165" t="s">
        <v>426</v>
      </c>
      <c r="T65" s="165" t="s">
        <v>427</v>
      </c>
      <c r="U65" s="158" t="s">
        <v>162</v>
      </c>
      <c r="V65" s="444" t="s">
        <v>906</v>
      </c>
      <c r="W65" s="445" t="s">
        <v>966</v>
      </c>
      <c r="X65" s="158" t="s">
        <v>185</v>
      </c>
      <c r="Y65" s="158" t="s">
        <v>185</v>
      </c>
      <c r="Z65" s="445" t="s">
        <v>185</v>
      </c>
      <c r="AA65" s="158" t="str">
        <f>IF(AWS[[#This Row],[Column14]]="-","", "v")</f>
        <v>v</v>
      </c>
      <c r="AB65" s="158" t="str">
        <f>IF(AWS[[#This Row],[Column8]]="x","1",(IF(OR(AWS[[#This Row],[Column25]]=2,AWS[[#This Row],[Column26]]=2,AWS[[#This Row],[Column27]]=2),"1",(IF(AWS[[#This Row],[Column9]]="x","2",(IF(AWS[[#This Row],[Column10]]="x","3","")))))))</f>
        <v>1</v>
      </c>
      <c r="AC65" s="158" t="str">
        <f>IF(AWS[[#This Row],[Column14]] = "-", AWS[[#This Row],[Column14]], LEFT(AWS[[#This Row],[Column14]], SEARCH(" ", AWS[[#This Row],[Column14]] &amp; " ") - 1))</f>
        <v>1.8</v>
      </c>
    </row>
    <row r="66" spans="1:29" ht="409.5" hidden="1">
      <c r="A6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6" s="137" t="str">
        <f>AWS[[#This Row],[Column30]]</f>
        <v>1.13</v>
      </c>
      <c r="C66" s="137">
        <v>5.2</v>
      </c>
      <c r="D66" s="237" t="s">
        <v>399</v>
      </c>
      <c r="E66" s="162" t="s">
        <v>156</v>
      </c>
      <c r="F66" s="138" t="s">
        <v>448</v>
      </c>
      <c r="G66" s="241" t="s">
        <v>449</v>
      </c>
      <c r="H66" s="163" t="s">
        <v>185</v>
      </c>
      <c r="I66" s="164" t="s">
        <v>185</v>
      </c>
      <c r="J66" s="200" t="s">
        <v>185</v>
      </c>
      <c r="K66" s="176" t="s">
        <v>185</v>
      </c>
      <c r="L66" s="176" t="s">
        <v>185</v>
      </c>
      <c r="M66" s="176" t="s">
        <v>185</v>
      </c>
      <c r="N66" s="165" t="s">
        <v>428</v>
      </c>
      <c r="O66" s="197" t="s">
        <v>198</v>
      </c>
      <c r="P66" s="165" t="s">
        <v>429</v>
      </c>
      <c r="Q66" s="165" t="s">
        <v>430</v>
      </c>
      <c r="R66" s="165" t="s">
        <v>431</v>
      </c>
      <c r="S66" s="165" t="s">
        <v>432</v>
      </c>
      <c r="T66" s="165" t="s">
        <v>433</v>
      </c>
      <c r="U66" s="158" t="s">
        <v>975</v>
      </c>
      <c r="V66" s="444" t="s">
        <v>969</v>
      </c>
      <c r="W66" s="445" t="s">
        <v>967</v>
      </c>
      <c r="X66" s="158" t="s">
        <v>185</v>
      </c>
      <c r="Y66" s="158" t="s">
        <v>185</v>
      </c>
      <c r="Z66" s="445" t="s">
        <v>185</v>
      </c>
      <c r="AA66" s="158" t="str">
        <f>IF(AWS[[#This Row],[Column14]]="-","", "v")</f>
        <v>v</v>
      </c>
      <c r="AB66" s="158" t="str">
        <f>IF(AWS[[#This Row],[Column8]]="x","1",(IF(OR(AWS[[#This Row],[Column25]]=2,AWS[[#This Row],[Column26]]=2,AWS[[#This Row],[Column27]]=2),"1",(IF(AWS[[#This Row],[Column9]]="x","2",(IF(AWS[[#This Row],[Column10]]="x","3","")))))))</f>
        <v>1</v>
      </c>
      <c r="AC66" s="158" t="str">
        <f>IF(AWS[[#This Row],[Column14]] = "-", AWS[[#This Row],[Column14]], LEFT(AWS[[#This Row],[Column14]], SEARCH(" ", AWS[[#This Row],[Column14]] &amp; " ") - 1))</f>
        <v>1.13</v>
      </c>
    </row>
    <row r="67" spans="1:29" ht="409.5" hidden="1">
      <c r="A6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7" s="137" t="str">
        <f>AWS[[#This Row],[Column30]]</f>
        <v>1.14</v>
      </c>
      <c r="C67" s="137">
        <v>5.2</v>
      </c>
      <c r="D67" s="237" t="s">
        <v>399</v>
      </c>
      <c r="E67" s="162" t="s">
        <v>156</v>
      </c>
      <c r="F67" s="138" t="s">
        <v>448</v>
      </c>
      <c r="G67" s="241" t="s">
        <v>449</v>
      </c>
      <c r="H67" s="163" t="s">
        <v>185</v>
      </c>
      <c r="I67" s="164" t="s">
        <v>185</v>
      </c>
      <c r="J67" s="200" t="s">
        <v>185</v>
      </c>
      <c r="K67" s="176" t="s">
        <v>185</v>
      </c>
      <c r="L67" s="176" t="s">
        <v>185</v>
      </c>
      <c r="M67" s="176" t="s">
        <v>185</v>
      </c>
      <c r="N67" s="165" t="s">
        <v>434</v>
      </c>
      <c r="O67" s="197" t="s">
        <v>198</v>
      </c>
      <c r="P67" s="165" t="s">
        <v>435</v>
      </c>
      <c r="Q67" s="165" t="s">
        <v>436</v>
      </c>
      <c r="R67" s="165" t="s">
        <v>437</v>
      </c>
      <c r="S67" s="165" t="s">
        <v>438</v>
      </c>
      <c r="T67" s="165" t="s">
        <v>439</v>
      </c>
      <c r="U67" s="158" t="s">
        <v>975</v>
      </c>
      <c r="V67" s="444" t="s">
        <v>969</v>
      </c>
      <c r="W67" s="445" t="s">
        <v>967</v>
      </c>
      <c r="X67" s="158" t="s">
        <v>185</v>
      </c>
      <c r="Y67" s="158" t="s">
        <v>185</v>
      </c>
      <c r="Z67" s="445" t="s">
        <v>185</v>
      </c>
      <c r="AA67" s="158" t="str">
        <f>IF(AWS[[#This Row],[Column14]]="-","", "v")</f>
        <v>v</v>
      </c>
      <c r="AB67" s="158" t="str">
        <f>IF(AWS[[#This Row],[Column8]]="x","1",(IF(OR(AWS[[#This Row],[Column25]]=2,AWS[[#This Row],[Column26]]=2,AWS[[#This Row],[Column27]]=2),"1",(IF(AWS[[#This Row],[Column9]]="x","2",(IF(AWS[[#This Row],[Column10]]="x","3","")))))))</f>
        <v>1</v>
      </c>
      <c r="AC67" s="158" t="str">
        <f>IF(AWS[[#This Row],[Column14]] = "-", AWS[[#This Row],[Column14]], LEFT(AWS[[#This Row],[Column14]], SEARCH(" ", AWS[[#This Row],[Column14]] &amp; " ") - 1))</f>
        <v>1.14</v>
      </c>
    </row>
    <row r="68" spans="1:29" ht="342" hidden="1">
      <c r="A6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8" s="137" t="str">
        <f>AWS[[#This Row],[Column30]]</f>
        <v>1.22</v>
      </c>
      <c r="C68" s="137">
        <v>5.2</v>
      </c>
      <c r="D68" s="237" t="s">
        <v>399</v>
      </c>
      <c r="E68" s="162" t="s">
        <v>156</v>
      </c>
      <c r="F68" s="138" t="s">
        <v>448</v>
      </c>
      <c r="G68" s="241" t="s">
        <v>449</v>
      </c>
      <c r="H68" s="163" t="s">
        <v>185</v>
      </c>
      <c r="I68" s="164" t="s">
        <v>185</v>
      </c>
      <c r="J68" s="200" t="s">
        <v>185</v>
      </c>
      <c r="K68" s="176" t="s">
        <v>185</v>
      </c>
      <c r="L68" s="176" t="s">
        <v>185</v>
      </c>
      <c r="M68" s="176" t="s">
        <v>185</v>
      </c>
      <c r="N68" s="165" t="s">
        <v>440</v>
      </c>
      <c r="O68" s="197" t="s">
        <v>198</v>
      </c>
      <c r="P68" s="165" t="s">
        <v>441</v>
      </c>
      <c r="Q68" s="165" t="s">
        <v>442</v>
      </c>
      <c r="R68" s="165" t="s">
        <v>443</v>
      </c>
      <c r="S68" s="165" t="s">
        <v>444</v>
      </c>
      <c r="T68" s="165" t="s">
        <v>445</v>
      </c>
      <c r="U68" s="158" t="s">
        <v>162</v>
      </c>
      <c r="V68" s="444" t="s">
        <v>899</v>
      </c>
      <c r="W68" s="445" t="s">
        <v>966</v>
      </c>
      <c r="X68" s="158" t="s">
        <v>185</v>
      </c>
      <c r="Y68" s="158" t="s">
        <v>185</v>
      </c>
      <c r="Z68" s="445" t="s">
        <v>185</v>
      </c>
      <c r="AA68" s="158" t="str">
        <f>IF(AWS[[#This Row],[Column14]]="-","", "v")</f>
        <v>v</v>
      </c>
      <c r="AB68" s="158" t="str">
        <f>IF(AWS[[#This Row],[Column8]]="x","1",(IF(OR(AWS[[#This Row],[Column25]]=2,AWS[[#This Row],[Column26]]=2,AWS[[#This Row],[Column27]]=2),"1",(IF(AWS[[#This Row],[Column9]]="x","2",(IF(AWS[[#This Row],[Column10]]="x","3","")))))))</f>
        <v>1</v>
      </c>
      <c r="AC68" s="158" t="str">
        <f>IF(AWS[[#This Row],[Column14]] = "-", AWS[[#This Row],[Column14]], LEFT(AWS[[#This Row],[Column14]], SEARCH(" ", AWS[[#This Row],[Column14]] &amp; " ") - 1))</f>
        <v>1.22</v>
      </c>
    </row>
    <row r="69" spans="1:29" ht="409.5" hidden="1">
      <c r="A6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NOT(ISBLANK(K69)),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NOT(ISBLANK(L69)),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NOT(ISBLANK(M69)),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69" s="137" t="str">
        <f>AWS[[#This Row],[Column30]]</f>
        <v>1.12</v>
      </c>
      <c r="C69" s="137">
        <v>5.3</v>
      </c>
      <c r="D69" s="237" t="s">
        <v>399</v>
      </c>
      <c r="E69" s="162" t="s">
        <v>157</v>
      </c>
      <c r="F69" s="138" t="s">
        <v>456</v>
      </c>
      <c r="G69" s="241" t="s">
        <v>457</v>
      </c>
      <c r="H69" s="163" t="s">
        <v>185</v>
      </c>
      <c r="I69" s="164" t="s">
        <v>185</v>
      </c>
      <c r="J69" s="200" t="s">
        <v>185</v>
      </c>
      <c r="K69" s="176" t="s">
        <v>185</v>
      </c>
      <c r="L69" s="176" t="s">
        <v>185</v>
      </c>
      <c r="M69" s="176" t="s">
        <v>185</v>
      </c>
      <c r="N69" s="165" t="s">
        <v>458</v>
      </c>
      <c r="O69" s="197" t="s">
        <v>198</v>
      </c>
      <c r="P69" s="165" t="s">
        <v>459</v>
      </c>
      <c r="Q69" s="165" t="s">
        <v>460</v>
      </c>
      <c r="R69" s="165" t="s">
        <v>461</v>
      </c>
      <c r="S69" s="165" t="s">
        <v>462</v>
      </c>
      <c r="T69" s="165" t="s">
        <v>463</v>
      </c>
      <c r="U69" s="158" t="s">
        <v>162</v>
      </c>
      <c r="V69" s="168" t="s">
        <v>899</v>
      </c>
      <c r="W69" s="158" t="s">
        <v>966</v>
      </c>
      <c r="X69" s="158" t="s">
        <v>185</v>
      </c>
      <c r="Y69" s="158"/>
      <c r="Z69" s="158" t="s">
        <v>185</v>
      </c>
      <c r="AA69" s="158" t="str">
        <f>IF(AWS[[#This Row],[Column14]]="-","", "v")</f>
        <v>v</v>
      </c>
      <c r="AB69" s="158" t="str">
        <f>IF(AWS[[#This Row],[Column8]]="x","1",(IF(OR(AWS[[#This Row],[Column25]]=2,AWS[[#This Row],[Column26]]=2,AWS[[#This Row],[Column27]]=2),"1",(IF(AWS[[#This Row],[Column9]]="x","2",(IF(AWS[[#This Row],[Column10]]="x","3","")))))))</f>
        <v>1</v>
      </c>
      <c r="AC69" s="158" t="str">
        <f>IF(AWS[[#This Row],[Column14]] = "-", AWS[[#This Row],[Column14]], LEFT(AWS[[#This Row],[Column14]], SEARCH(" ", AWS[[#This Row],[Column14]] &amp; " ") - 1))</f>
        <v>1.12</v>
      </c>
    </row>
    <row r="70" spans="1:29" ht="299.25" hidden="1">
      <c r="A7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0" s="137" t="str">
        <f>AWS[[#This Row],[Column30]]</f>
        <v>1.4</v>
      </c>
      <c r="C70" s="137">
        <v>5.4</v>
      </c>
      <c r="D70" s="237" t="s">
        <v>399</v>
      </c>
      <c r="E70" s="162" t="s">
        <v>156</v>
      </c>
      <c r="F70" s="138" t="s">
        <v>464</v>
      </c>
      <c r="G70" s="243" t="s">
        <v>465</v>
      </c>
      <c r="H70" s="163" t="s">
        <v>185</v>
      </c>
      <c r="I70" s="164" t="s">
        <v>185</v>
      </c>
      <c r="J70" s="200" t="s">
        <v>185</v>
      </c>
      <c r="K70" s="176" t="s">
        <v>185</v>
      </c>
      <c r="L70" s="176" t="s">
        <v>185</v>
      </c>
      <c r="M70" s="176" t="s">
        <v>185</v>
      </c>
      <c r="N70" s="165" t="s">
        <v>197</v>
      </c>
      <c r="O70" s="197" t="s">
        <v>198</v>
      </c>
      <c r="P70" s="166" t="s">
        <v>199</v>
      </c>
      <c r="Q70" s="166" t="s">
        <v>200</v>
      </c>
      <c r="R70" s="167" t="s">
        <v>201</v>
      </c>
      <c r="S70" s="166" t="s">
        <v>202</v>
      </c>
      <c r="T70" s="166" t="s">
        <v>203</v>
      </c>
      <c r="U70" s="158" t="s">
        <v>975</v>
      </c>
      <c r="V70" s="168" t="s">
        <v>893</v>
      </c>
      <c r="W70" s="158" t="s">
        <v>966</v>
      </c>
      <c r="X70" s="158" t="s">
        <v>185</v>
      </c>
      <c r="Y70" s="158"/>
      <c r="Z70" s="158" t="s">
        <v>185</v>
      </c>
      <c r="AA70" s="158" t="str">
        <f>IF(AWS[[#This Row],[Column14]]="-","", "v")</f>
        <v>v</v>
      </c>
      <c r="AB70" s="158" t="str">
        <f>IF(AWS[[#This Row],[Column8]]="x","1",(IF(OR(AWS[[#This Row],[Column25]]=2,AWS[[#This Row],[Column26]]=2,AWS[[#This Row],[Column27]]=2),"1",(IF(AWS[[#This Row],[Column9]]="x","2",(IF(AWS[[#This Row],[Column10]]="x","3","")))))))</f>
        <v>1</v>
      </c>
      <c r="AC70" s="158" t="str">
        <f>IF(AWS[[#This Row],[Column14]] = "-", AWS[[#This Row],[Column14]], LEFT(AWS[[#This Row],[Column14]], SEARCH(" ", AWS[[#This Row],[Column14]] &amp; " ") - 1))</f>
        <v>1.4</v>
      </c>
    </row>
    <row r="71" spans="1:29" ht="370.5" hidden="1">
      <c r="A7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1" s="137" t="str">
        <f>AWS[[#This Row],[Column30]]</f>
        <v>1.7</v>
      </c>
      <c r="C71" s="137">
        <v>5.4</v>
      </c>
      <c r="D71" s="237" t="s">
        <v>399</v>
      </c>
      <c r="E71" s="162" t="s">
        <v>156</v>
      </c>
      <c r="F71" s="138" t="s">
        <v>464</v>
      </c>
      <c r="G71" s="243" t="s">
        <v>465</v>
      </c>
      <c r="H71" s="163" t="s">
        <v>185</v>
      </c>
      <c r="I71" s="164" t="s">
        <v>185</v>
      </c>
      <c r="J71" s="200" t="s">
        <v>185</v>
      </c>
      <c r="K71" s="176" t="s">
        <v>185</v>
      </c>
      <c r="L71" s="176" t="s">
        <v>185</v>
      </c>
      <c r="M71" s="176" t="s">
        <v>185</v>
      </c>
      <c r="N71" s="165" t="s">
        <v>466</v>
      </c>
      <c r="O71" s="197" t="s">
        <v>198</v>
      </c>
      <c r="P71" s="166" t="s">
        <v>467</v>
      </c>
      <c r="Q71" s="166" t="s">
        <v>468</v>
      </c>
      <c r="R71" s="167" t="s">
        <v>469</v>
      </c>
      <c r="S71" s="166" t="s">
        <v>470</v>
      </c>
      <c r="T71" s="166" t="s">
        <v>471</v>
      </c>
      <c r="U71" s="158" t="s">
        <v>975</v>
      </c>
      <c r="V71" s="168" t="s">
        <v>907</v>
      </c>
      <c r="W71" s="158" t="s">
        <v>966</v>
      </c>
      <c r="X71" s="158" t="s">
        <v>185</v>
      </c>
      <c r="Y71" s="158"/>
      <c r="Z71" s="158" t="s">
        <v>185</v>
      </c>
      <c r="AA71" s="158" t="str">
        <f>IF(AWS[[#This Row],[Column14]]="-","", "v")</f>
        <v>v</v>
      </c>
      <c r="AB71" s="158" t="str">
        <f>IF(AWS[[#This Row],[Column8]]="x","1",(IF(OR(AWS[[#This Row],[Column25]]=2,AWS[[#This Row],[Column26]]=2,AWS[[#This Row],[Column27]]=2),"1",(IF(AWS[[#This Row],[Column9]]="x","2",(IF(AWS[[#This Row],[Column10]]="x","3","")))))))</f>
        <v>1</v>
      </c>
      <c r="AC71" s="158" t="str">
        <f>IF(AWS[[#This Row],[Column14]] = "-", AWS[[#This Row],[Column14]], LEFT(AWS[[#This Row],[Column14]], SEARCH(" ", AWS[[#This Row],[Column14]] &amp; " ") - 1))</f>
        <v>1.7</v>
      </c>
    </row>
    <row r="72" spans="1:29" ht="409.5" hidden="1">
      <c r="A7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2" s="137" t="str">
        <f>AWS[[#This Row],[Column30]]</f>
        <v>1.11</v>
      </c>
      <c r="C72" s="137">
        <v>5.4</v>
      </c>
      <c r="D72" s="237" t="s">
        <v>399</v>
      </c>
      <c r="E72" s="162" t="s">
        <v>156</v>
      </c>
      <c r="F72" s="138" t="s">
        <v>464</v>
      </c>
      <c r="G72" s="243" t="s">
        <v>465</v>
      </c>
      <c r="H72" s="163" t="s">
        <v>185</v>
      </c>
      <c r="I72" s="164" t="s">
        <v>185</v>
      </c>
      <c r="J72" s="200" t="s">
        <v>185</v>
      </c>
      <c r="K72" s="176" t="s">
        <v>185</v>
      </c>
      <c r="L72" s="176" t="s">
        <v>185</v>
      </c>
      <c r="M72" s="176" t="s">
        <v>185</v>
      </c>
      <c r="N72" s="165" t="s">
        <v>204</v>
      </c>
      <c r="O72" s="197" t="s">
        <v>198</v>
      </c>
      <c r="P72" s="166" t="s">
        <v>205</v>
      </c>
      <c r="Q72" s="166" t="s">
        <v>206</v>
      </c>
      <c r="R72" s="167" t="s">
        <v>207</v>
      </c>
      <c r="S72" s="166" t="s">
        <v>208</v>
      </c>
      <c r="T72" s="166" t="s">
        <v>209</v>
      </c>
      <c r="U72" s="158" t="s">
        <v>975</v>
      </c>
      <c r="V72" s="168" t="s">
        <v>894</v>
      </c>
      <c r="W72" s="158" t="s">
        <v>966</v>
      </c>
      <c r="X72" s="158" t="s">
        <v>185</v>
      </c>
      <c r="Y72" s="158"/>
      <c r="Z72" s="158" t="s">
        <v>185</v>
      </c>
      <c r="AA72" s="158" t="str">
        <f>IF(AWS[[#This Row],[Column14]]="-","", "v")</f>
        <v>v</v>
      </c>
      <c r="AB72" s="158" t="str">
        <f>IF(AWS[[#This Row],[Column8]]="x","1",(IF(OR(AWS[[#This Row],[Column25]]=2,AWS[[#This Row],[Column26]]=2,AWS[[#This Row],[Column27]]=2),"1",(IF(AWS[[#This Row],[Column9]]="x","2",(IF(AWS[[#This Row],[Column10]]="x","3","")))))))</f>
        <v>1</v>
      </c>
      <c r="AC72" s="158" t="str">
        <f>IF(AWS[[#This Row],[Column14]] = "-", AWS[[#This Row],[Column14]], LEFT(AWS[[#This Row],[Column14]], SEARCH(" ", AWS[[#This Row],[Column14]] &amp; " ") - 1))</f>
        <v>1.11</v>
      </c>
    </row>
    <row r="73" spans="1:29" ht="60" hidden="1">
      <c r="A7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3" s="137" t="str">
        <f>AWS[[#This Row],[Column30]]</f>
        <v>-</v>
      </c>
      <c r="C73" s="137">
        <v>5.5</v>
      </c>
      <c r="D73" s="237" t="s">
        <v>399</v>
      </c>
      <c r="E73" s="162" t="s">
        <v>154</v>
      </c>
      <c r="F73" s="138" t="s">
        <v>472</v>
      </c>
      <c r="G73" s="243" t="s">
        <v>473</v>
      </c>
      <c r="H73" s="137"/>
      <c r="I73" s="164" t="s">
        <v>185</v>
      </c>
      <c r="J73" s="200" t="s">
        <v>185</v>
      </c>
      <c r="K73" s="176" t="s">
        <v>185</v>
      </c>
      <c r="L73" s="176" t="s">
        <v>185</v>
      </c>
      <c r="M73" s="176" t="s">
        <v>185</v>
      </c>
      <c r="N73" s="165" t="s">
        <v>162</v>
      </c>
      <c r="O73" s="165" t="s">
        <v>162</v>
      </c>
      <c r="P73" s="165" t="s">
        <v>162</v>
      </c>
      <c r="Q73" s="165" t="s">
        <v>162</v>
      </c>
      <c r="R73" s="167"/>
      <c r="S73" s="165" t="s">
        <v>162</v>
      </c>
      <c r="T73" s="165" t="s">
        <v>162</v>
      </c>
      <c r="U73" s="158" t="s">
        <v>162</v>
      </c>
      <c r="V73" s="168"/>
      <c r="W73" s="158" t="s">
        <v>966</v>
      </c>
      <c r="X73" s="158" t="s">
        <v>185</v>
      </c>
      <c r="Y73" s="158"/>
      <c r="Z73" s="158" t="s">
        <v>185</v>
      </c>
      <c r="AA73" s="158" t="str">
        <f>IF(AWS[[#This Row],[Column14]]="-","", "v")</f>
        <v/>
      </c>
      <c r="AB73" s="158" t="str">
        <f>IF(AWS[[#This Row],[Column8]]="x","1",(IF(OR(AWS[[#This Row],[Column25]]=2,AWS[[#This Row],[Column26]]=2,AWS[[#This Row],[Column27]]=2),"1",(IF(AWS[[#This Row],[Column9]]="x","2",(IF(AWS[[#This Row],[Column10]]="x","3","")))))))</f>
        <v>2</v>
      </c>
      <c r="AC73" s="158" t="str">
        <f>IF(AWS[[#This Row],[Column14]] = "-", AWS[[#This Row],[Column14]], LEFT(AWS[[#This Row],[Column14]], SEARCH(" ", AWS[[#This Row],[Column14]] &amp; " ") - 1))</f>
        <v>-</v>
      </c>
    </row>
    <row r="74" spans="1:29" ht="409.5" hidden="1">
      <c r="A7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4" s="137" t="str">
        <f>AWS[[#This Row],[Column30]]</f>
        <v>1.21</v>
      </c>
      <c r="C74" s="137">
        <v>5.6</v>
      </c>
      <c r="D74" s="237" t="s">
        <v>399</v>
      </c>
      <c r="E74" s="162" t="s">
        <v>156</v>
      </c>
      <c r="F74" s="138" t="s">
        <v>474</v>
      </c>
      <c r="G74" s="241" t="s">
        <v>475</v>
      </c>
      <c r="H74" s="204"/>
      <c r="I74" s="164" t="s">
        <v>185</v>
      </c>
      <c r="J74" s="200" t="s">
        <v>185</v>
      </c>
      <c r="K74" s="176" t="s">
        <v>185</v>
      </c>
      <c r="L74" s="176" t="s">
        <v>185</v>
      </c>
      <c r="M74" s="176" t="s">
        <v>185</v>
      </c>
      <c r="N74" s="165" t="s">
        <v>476</v>
      </c>
      <c r="O74" s="197" t="s">
        <v>187</v>
      </c>
      <c r="P74" s="166" t="s">
        <v>477</v>
      </c>
      <c r="Q74" s="166" t="s">
        <v>478</v>
      </c>
      <c r="R74" s="167" t="s">
        <v>479</v>
      </c>
      <c r="S74" s="166" t="s">
        <v>480</v>
      </c>
      <c r="T74" s="166"/>
      <c r="U74" s="158" t="s">
        <v>975</v>
      </c>
      <c r="V74" s="168" t="s">
        <v>909</v>
      </c>
      <c r="W74" s="158" t="s">
        <v>966</v>
      </c>
      <c r="X74" s="158" t="s">
        <v>185</v>
      </c>
      <c r="Y74" s="158"/>
      <c r="Z74" s="158" t="s">
        <v>185</v>
      </c>
      <c r="AA74" s="158" t="str">
        <f>IF(AWS[[#This Row],[Column14]]="-","", "v")</f>
        <v>v</v>
      </c>
      <c r="AB74" s="168" t="str">
        <f>IF(AWS[[#This Row],[Column8]]="x","1",(IF(OR(AWS[[#This Row],[Column25]]=2,AWS[[#This Row],[Column26]]=2,AWS[[#This Row],[Column27]]=2),"1",(IF(AWS[[#This Row],[Column9]]="x","2",(IF(AWS[[#This Row],[Column10]]="x","3","")))))))</f>
        <v>2</v>
      </c>
      <c r="AC74" s="158" t="str">
        <f>IF(AWS[[#This Row],[Column14]] = "-", AWS[[#This Row],[Column14]], LEFT(AWS[[#This Row],[Column14]], SEARCH(" ", AWS[[#This Row],[Column14]] &amp; " ") - 1))</f>
        <v>1.21</v>
      </c>
    </row>
    <row r="75" spans="1:29" ht="45" hidden="1">
      <c r="A75" s="178" t="s">
        <v>942</v>
      </c>
      <c r="B75" s="154" t="s">
        <v>162</v>
      </c>
      <c r="C75" s="154" t="s">
        <v>162</v>
      </c>
      <c r="D75" s="245" t="s">
        <v>162</v>
      </c>
      <c r="E75" s="178"/>
      <c r="F75" s="156" t="s">
        <v>481</v>
      </c>
      <c r="G75" s="242" t="s">
        <v>482</v>
      </c>
      <c r="H75" s="245" t="s">
        <v>162</v>
      </c>
      <c r="I75" s="245" t="s">
        <v>162</v>
      </c>
      <c r="J75" s="245" t="s">
        <v>162</v>
      </c>
      <c r="K75" s="245" t="s">
        <v>162</v>
      </c>
      <c r="L75" s="245" t="s">
        <v>162</v>
      </c>
      <c r="M75" s="245" t="s">
        <v>162</v>
      </c>
      <c r="N75" s="245" t="s">
        <v>162</v>
      </c>
      <c r="O75" s="245" t="s">
        <v>162</v>
      </c>
      <c r="P75" s="245" t="s">
        <v>162</v>
      </c>
      <c r="Q75" s="245" t="s">
        <v>162</v>
      </c>
      <c r="R75" s="167"/>
      <c r="S75" s="245" t="s">
        <v>162</v>
      </c>
      <c r="T75" s="245" t="s">
        <v>162</v>
      </c>
      <c r="U75" s="245" t="s">
        <v>162</v>
      </c>
      <c r="V75" s="245" t="s">
        <v>162</v>
      </c>
      <c r="W75" s="245" t="s">
        <v>162</v>
      </c>
      <c r="X75" s="245" t="s">
        <v>162</v>
      </c>
      <c r="Y75" s="245" t="s">
        <v>162</v>
      </c>
      <c r="Z75" s="245" t="s">
        <v>162</v>
      </c>
      <c r="AA75" s="245" t="s">
        <v>162</v>
      </c>
      <c r="AB75" s="245" t="s">
        <v>162</v>
      </c>
      <c r="AC75" s="158" t="str">
        <f>IF(AWS[[#This Row],[Column14]] = "-", AWS[[#This Row],[Column14]], LEFT(AWS[[#This Row],[Column14]], SEARCH(" ", AWS[[#This Row],[Column14]] &amp; " ") - 1))</f>
        <v>-</v>
      </c>
    </row>
    <row r="76" spans="1:29" ht="30" hidden="1">
      <c r="A7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6" s="137" t="str">
        <f>AWS[[#This Row],[Column30]]</f>
        <v>-</v>
      </c>
      <c r="C76" s="137">
        <v>6.1</v>
      </c>
      <c r="D76" s="237" t="s">
        <v>399</v>
      </c>
      <c r="E76" s="162" t="s">
        <v>156</v>
      </c>
      <c r="F76" s="138" t="s">
        <v>483</v>
      </c>
      <c r="G76" s="241" t="s">
        <v>484</v>
      </c>
      <c r="H76" s="163" t="s">
        <v>185</v>
      </c>
      <c r="I76" s="164" t="s">
        <v>185</v>
      </c>
      <c r="J76" s="200" t="s">
        <v>185</v>
      </c>
      <c r="K76" s="176" t="s">
        <v>185</v>
      </c>
      <c r="L76" s="176" t="s">
        <v>185</v>
      </c>
      <c r="M76" s="176" t="s">
        <v>185</v>
      </c>
      <c r="N76" s="165" t="s">
        <v>162</v>
      </c>
      <c r="O76" s="165" t="s">
        <v>162</v>
      </c>
      <c r="P76" s="165" t="s">
        <v>162</v>
      </c>
      <c r="Q76" s="165" t="s">
        <v>162</v>
      </c>
      <c r="R76" s="167"/>
      <c r="S76" s="165" t="s">
        <v>162</v>
      </c>
      <c r="T76" s="165" t="s">
        <v>162</v>
      </c>
      <c r="U76" s="158" t="s">
        <v>162</v>
      </c>
      <c r="V76" s="168"/>
      <c r="W76" s="158" t="s">
        <v>966</v>
      </c>
      <c r="X76" s="158" t="s">
        <v>185</v>
      </c>
      <c r="Y76" s="158" t="s">
        <v>185</v>
      </c>
      <c r="Z76" s="158" t="s">
        <v>185</v>
      </c>
      <c r="AA76" s="158" t="str">
        <f>IF(AWS[[#This Row],[Column14]]="-","", "v")</f>
        <v/>
      </c>
      <c r="AB76" s="158" t="str">
        <f>IF(AWS[[#This Row],[Column8]]="x","1",(IF(OR(AWS[[#This Row],[Column25]]=2,AWS[[#This Row],[Column26]]=2,AWS[[#This Row],[Column27]]=2),"1",(IF(AWS[[#This Row],[Column9]]="x","2",(IF(AWS[[#This Row],[Column10]]="x","3","")))))))</f>
        <v>1</v>
      </c>
      <c r="AC76" s="158" t="str">
        <f>IF(AWS[[#This Row],[Column14]] = "-", AWS[[#This Row],[Column14]], LEFT(AWS[[#This Row],[Column14]], SEARCH(" ", AWS[[#This Row],[Column14]] &amp; " ") - 1))</f>
        <v>-</v>
      </c>
    </row>
    <row r="77" spans="1:29" ht="60" hidden="1">
      <c r="A7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7" s="137" t="str">
        <f>AWS[[#This Row],[Column30]]</f>
        <v>-</v>
      </c>
      <c r="C77" s="137">
        <v>6.2</v>
      </c>
      <c r="D77" s="237" t="s">
        <v>399</v>
      </c>
      <c r="E77" s="162" t="s">
        <v>156</v>
      </c>
      <c r="F77" s="138" t="s">
        <v>485</v>
      </c>
      <c r="G77" s="241" t="s">
        <v>486</v>
      </c>
      <c r="H77" s="163" t="s">
        <v>185</v>
      </c>
      <c r="I77" s="164" t="s">
        <v>185</v>
      </c>
      <c r="J77" s="200" t="s">
        <v>185</v>
      </c>
      <c r="K77" s="176" t="s">
        <v>185</v>
      </c>
      <c r="L77" s="176" t="s">
        <v>185</v>
      </c>
      <c r="M77" s="176" t="s">
        <v>185</v>
      </c>
      <c r="N77" s="165" t="s">
        <v>162</v>
      </c>
      <c r="O77" s="165" t="s">
        <v>162</v>
      </c>
      <c r="P77" s="165" t="s">
        <v>162</v>
      </c>
      <c r="Q77" s="165" t="s">
        <v>162</v>
      </c>
      <c r="R77" s="167"/>
      <c r="S77" s="165" t="s">
        <v>162</v>
      </c>
      <c r="T77" s="165" t="s">
        <v>162</v>
      </c>
      <c r="U77" s="158" t="s">
        <v>162</v>
      </c>
      <c r="V77" s="168"/>
      <c r="W77" s="158" t="s">
        <v>966</v>
      </c>
      <c r="X77" s="158" t="s">
        <v>185</v>
      </c>
      <c r="Y77" s="158" t="s">
        <v>185</v>
      </c>
      <c r="Z77" s="158" t="s">
        <v>185</v>
      </c>
      <c r="AA77" s="158" t="str">
        <f>IF(AWS[[#This Row],[Column14]]="-","", "v")</f>
        <v/>
      </c>
      <c r="AB77" s="158" t="str">
        <f>IF(AWS[[#This Row],[Column8]]="x","1",(IF(OR(AWS[[#This Row],[Column25]]=2,AWS[[#This Row],[Column26]]=2,AWS[[#This Row],[Column27]]=2),"1",(IF(AWS[[#This Row],[Column9]]="x","2",(IF(AWS[[#This Row],[Column10]]="x","3","")))))))</f>
        <v>1</v>
      </c>
      <c r="AC77" s="158" t="str">
        <f>IF(AWS[[#This Row],[Column14]] = "-", AWS[[#This Row],[Column14]], LEFT(AWS[[#This Row],[Column14]], SEARCH(" ", AWS[[#This Row],[Column14]] &amp; " ") - 1))</f>
        <v>-</v>
      </c>
    </row>
    <row r="78" spans="1:29" ht="45" hidden="1">
      <c r="A7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8" s="137" t="str">
        <f>AWS[[#This Row],[Column30]]</f>
        <v>-</v>
      </c>
      <c r="C78" s="137">
        <v>6.3</v>
      </c>
      <c r="D78" s="237" t="s">
        <v>399</v>
      </c>
      <c r="E78" s="162" t="s">
        <v>156</v>
      </c>
      <c r="F78" s="138" t="s">
        <v>487</v>
      </c>
      <c r="G78" s="241" t="s">
        <v>488</v>
      </c>
      <c r="H78" s="163" t="s">
        <v>185</v>
      </c>
      <c r="I78" s="164" t="s">
        <v>185</v>
      </c>
      <c r="J78" s="200" t="s">
        <v>185</v>
      </c>
      <c r="K78" s="176" t="s">
        <v>185</v>
      </c>
      <c r="L78" s="176" t="s">
        <v>185</v>
      </c>
      <c r="M78" s="176" t="s">
        <v>185</v>
      </c>
      <c r="N78" s="165" t="s">
        <v>162</v>
      </c>
      <c r="O78" s="165" t="s">
        <v>162</v>
      </c>
      <c r="P78" s="165" t="s">
        <v>162</v>
      </c>
      <c r="Q78" s="165" t="s">
        <v>162</v>
      </c>
      <c r="R78" s="167"/>
      <c r="S78" s="165" t="s">
        <v>162</v>
      </c>
      <c r="T78" s="165" t="s">
        <v>162</v>
      </c>
      <c r="U78" s="158" t="s">
        <v>162</v>
      </c>
      <c r="V78" s="168"/>
      <c r="W78" s="158" t="s">
        <v>966</v>
      </c>
      <c r="X78" s="158" t="s">
        <v>185</v>
      </c>
      <c r="Y78" s="158" t="s">
        <v>185</v>
      </c>
      <c r="Z78" s="158" t="s">
        <v>185</v>
      </c>
      <c r="AA78" s="158" t="str">
        <f>IF(AWS[[#This Row],[Column14]]="-","", "v")</f>
        <v/>
      </c>
      <c r="AB78" s="158" t="str">
        <f>IF(AWS[[#This Row],[Column8]]="x","1",(IF(OR(AWS[[#This Row],[Column25]]=2,AWS[[#This Row],[Column26]]=2,AWS[[#This Row],[Column27]]=2),"1",(IF(AWS[[#This Row],[Column9]]="x","2",(IF(AWS[[#This Row],[Column10]]="x","3","")))))))</f>
        <v>1</v>
      </c>
      <c r="AC78" s="158" t="str">
        <f>IF(AWS[[#This Row],[Column14]] = "-", AWS[[#This Row],[Column14]], LEFT(AWS[[#This Row],[Column14]], SEARCH(" ", AWS[[#This Row],[Column14]] &amp; " ") - 1))</f>
        <v>-</v>
      </c>
    </row>
    <row r="79" spans="1:29" ht="30">
      <c r="A7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NOT(ISBLANK(K79)),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NOT(ISBLANK(L79)),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NOT(ISBLANK(M79)),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79" s="137" t="str">
        <f>AWS[[#This Row],[Column30]]</f>
        <v>-</v>
      </c>
      <c r="C79" s="137">
        <v>6.4</v>
      </c>
      <c r="D79" s="237" t="s">
        <v>399</v>
      </c>
      <c r="E79" s="162" t="s">
        <v>156</v>
      </c>
      <c r="F79" s="138" t="s">
        <v>489</v>
      </c>
      <c r="G79" s="241" t="s">
        <v>490</v>
      </c>
      <c r="H79" s="163" t="s">
        <v>185</v>
      </c>
      <c r="I79" s="164" t="s">
        <v>185</v>
      </c>
      <c r="J79" s="200" t="s">
        <v>185</v>
      </c>
      <c r="K79" s="176" t="s">
        <v>185</v>
      </c>
      <c r="L79" s="176"/>
      <c r="M79" s="176"/>
      <c r="N79" s="165" t="s">
        <v>162</v>
      </c>
      <c r="O79" s="165" t="s">
        <v>162</v>
      </c>
      <c r="P79" s="165" t="s">
        <v>162</v>
      </c>
      <c r="Q79" s="165" t="s">
        <v>162</v>
      </c>
      <c r="R79" s="167"/>
      <c r="S79" s="165" t="s">
        <v>162</v>
      </c>
      <c r="T79" s="165" t="s">
        <v>162</v>
      </c>
      <c r="U79" s="158" t="s">
        <v>162</v>
      </c>
      <c r="V79" s="168"/>
      <c r="W79" s="158" t="s">
        <v>966</v>
      </c>
      <c r="X79" s="158" t="s">
        <v>185</v>
      </c>
      <c r="Y79" s="158" t="s">
        <v>185</v>
      </c>
      <c r="Z79" s="158" t="s">
        <v>185</v>
      </c>
      <c r="AA79" s="158" t="str">
        <f>IF(AWS[[#This Row],[Column14]]="-","", "v")</f>
        <v/>
      </c>
      <c r="AB79" s="158" t="str">
        <f>IF(AWS[[#This Row],[Column8]]="x","1",(IF(OR(AWS[[#This Row],[Column25]]=2,AWS[[#This Row],[Column26]]=2,AWS[[#This Row],[Column27]]=2),"1",(IF(AWS[[#This Row],[Column9]]="x","2",(IF(AWS[[#This Row],[Column10]]="x","3","")))))))</f>
        <v>1</v>
      </c>
      <c r="AC79" s="158" t="str">
        <f>IF(AWS[[#This Row],[Column14]] = "-", AWS[[#This Row],[Column14]], LEFT(AWS[[#This Row],[Column14]], SEARCH(" ", AWS[[#This Row],[Column14]] &amp; " ") - 1))</f>
        <v>-</v>
      </c>
    </row>
    <row r="80" spans="1:29" ht="409.5" hidden="1">
      <c r="A8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0" s="137" t="str">
        <f>AWS[[#This Row],[Column30]]</f>
        <v>1.5</v>
      </c>
      <c r="C80" s="137">
        <v>6.5</v>
      </c>
      <c r="D80" s="237" t="s">
        <v>399</v>
      </c>
      <c r="E80" s="162" t="s">
        <v>156</v>
      </c>
      <c r="F80" s="138" t="s">
        <v>491</v>
      </c>
      <c r="G80" s="241" t="s">
        <v>492</v>
      </c>
      <c r="H80" s="163" t="s">
        <v>185</v>
      </c>
      <c r="I80" s="164" t="s">
        <v>185</v>
      </c>
      <c r="J80" s="200" t="s">
        <v>185</v>
      </c>
      <c r="K80" s="176" t="s">
        <v>185</v>
      </c>
      <c r="L80" s="176" t="s">
        <v>185</v>
      </c>
      <c r="M80" s="176" t="s">
        <v>185</v>
      </c>
      <c r="N80" s="165" t="s">
        <v>493</v>
      </c>
      <c r="O80" s="197" t="s">
        <v>198</v>
      </c>
      <c r="P80" s="166" t="s">
        <v>494</v>
      </c>
      <c r="Q80" s="166" t="s">
        <v>495</v>
      </c>
      <c r="R80" s="167" t="s">
        <v>496</v>
      </c>
      <c r="S80" s="166" t="s">
        <v>497</v>
      </c>
      <c r="T80" s="166" t="s">
        <v>498</v>
      </c>
      <c r="U80" s="158" t="s">
        <v>162</v>
      </c>
      <c r="V80" s="168" t="s">
        <v>910</v>
      </c>
      <c r="W80" s="158" t="s">
        <v>966</v>
      </c>
      <c r="X80" s="158" t="s">
        <v>185</v>
      </c>
      <c r="Y80" s="158" t="s">
        <v>185</v>
      </c>
      <c r="Z80" s="158" t="s">
        <v>185</v>
      </c>
      <c r="AA80" s="158" t="str">
        <f>IF(AWS[[#This Row],[Column14]]="-","", "v")</f>
        <v>v</v>
      </c>
      <c r="AB80" s="158" t="str">
        <f>IF(AWS[[#This Row],[Column8]]="x","1",(IF(OR(AWS[[#This Row],[Column25]]=2,AWS[[#This Row],[Column26]]=2,AWS[[#This Row],[Column27]]=2),"1",(IF(AWS[[#This Row],[Column9]]="x","2",(IF(AWS[[#This Row],[Column10]]="x","3","")))))))</f>
        <v>1</v>
      </c>
      <c r="AC80" s="158" t="str">
        <f>IF(AWS[[#This Row],[Column14]] = "-", AWS[[#This Row],[Column14]], LEFT(AWS[[#This Row],[Column14]], SEARCH(" ", AWS[[#This Row],[Column14]] &amp; " ") - 1))</f>
        <v>1.5</v>
      </c>
    </row>
    <row r="81" spans="1:29" ht="409.5" hidden="1">
      <c r="A8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1" s="137" t="str">
        <f>AWS[[#This Row],[Column30]]</f>
        <v>1.6</v>
      </c>
      <c r="C81" s="137">
        <v>6.5</v>
      </c>
      <c r="D81" s="237" t="s">
        <v>399</v>
      </c>
      <c r="E81" s="162" t="s">
        <v>156</v>
      </c>
      <c r="F81" s="138" t="s">
        <v>491</v>
      </c>
      <c r="G81" s="241" t="s">
        <v>492</v>
      </c>
      <c r="H81" s="163" t="s">
        <v>185</v>
      </c>
      <c r="I81" s="164" t="s">
        <v>185</v>
      </c>
      <c r="J81" s="200" t="s">
        <v>185</v>
      </c>
      <c r="K81" s="176" t="s">
        <v>185</v>
      </c>
      <c r="L81" s="176" t="s">
        <v>185</v>
      </c>
      <c r="M81" s="176" t="s">
        <v>185</v>
      </c>
      <c r="N81" s="165" t="s">
        <v>499</v>
      </c>
      <c r="O81" s="197" t="s">
        <v>187</v>
      </c>
      <c r="P81" s="166" t="s">
        <v>500</v>
      </c>
      <c r="Q81" s="166" t="s">
        <v>501</v>
      </c>
      <c r="R81" s="167" t="s">
        <v>502</v>
      </c>
      <c r="S81" s="166" t="s">
        <v>503</v>
      </c>
      <c r="T81" s="166" t="s">
        <v>504</v>
      </c>
      <c r="U81" s="158" t="s">
        <v>162</v>
      </c>
      <c r="V81" s="168" t="s">
        <v>910</v>
      </c>
      <c r="W81" s="158" t="s">
        <v>966</v>
      </c>
      <c r="X81" s="158" t="s">
        <v>185</v>
      </c>
      <c r="Y81" s="158" t="s">
        <v>185</v>
      </c>
      <c r="Z81" s="158" t="s">
        <v>185</v>
      </c>
      <c r="AA81" s="158" t="str">
        <f>IF(AWS[[#This Row],[Column14]]="-","", "v")</f>
        <v>v</v>
      </c>
      <c r="AB81" s="158" t="str">
        <f>IF(AWS[[#This Row],[Column8]]="x","1",(IF(OR(AWS[[#This Row],[Column25]]=2,AWS[[#This Row],[Column26]]=2,AWS[[#This Row],[Column27]]=2),"1",(IF(AWS[[#This Row],[Column9]]="x","2",(IF(AWS[[#This Row],[Column10]]="x","3","")))))))</f>
        <v>1</v>
      </c>
      <c r="AC81" s="158" t="str">
        <f>IF(AWS[[#This Row],[Column14]] = "-", AWS[[#This Row],[Column14]], LEFT(AWS[[#This Row],[Column14]], SEARCH(" ", AWS[[#This Row],[Column14]] &amp; " ") - 1))</f>
        <v>1.6</v>
      </c>
    </row>
    <row r="82" spans="1:29" ht="409.5" hidden="1">
      <c r="A8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2" s="137" t="str">
        <f>AWS[[#This Row],[Column30]]</f>
        <v>1.10</v>
      </c>
      <c r="C82" s="137">
        <v>6.5</v>
      </c>
      <c r="D82" s="237" t="s">
        <v>399</v>
      </c>
      <c r="E82" s="162" t="s">
        <v>156</v>
      </c>
      <c r="F82" s="138" t="s">
        <v>491</v>
      </c>
      <c r="G82" s="241" t="s">
        <v>492</v>
      </c>
      <c r="H82" s="163" t="s">
        <v>185</v>
      </c>
      <c r="I82" s="164" t="s">
        <v>185</v>
      </c>
      <c r="J82" s="200" t="s">
        <v>185</v>
      </c>
      <c r="K82" s="176" t="s">
        <v>185</v>
      </c>
      <c r="L82" s="176" t="s">
        <v>185</v>
      </c>
      <c r="M82" s="176" t="s">
        <v>185</v>
      </c>
      <c r="N82" s="165" t="s">
        <v>505</v>
      </c>
      <c r="O82" s="197" t="s">
        <v>198</v>
      </c>
      <c r="P82" s="166" t="s">
        <v>506</v>
      </c>
      <c r="Q82" s="166" t="s">
        <v>507</v>
      </c>
      <c r="R82" s="167" t="s">
        <v>508</v>
      </c>
      <c r="S82" s="166" t="s">
        <v>509</v>
      </c>
      <c r="T82" s="166" t="s">
        <v>510</v>
      </c>
      <c r="U82" s="158" t="s">
        <v>162</v>
      </c>
      <c r="V82" s="168" t="s">
        <v>908</v>
      </c>
      <c r="W82" s="158" t="s">
        <v>966</v>
      </c>
      <c r="X82" s="158" t="s">
        <v>185</v>
      </c>
      <c r="Y82" s="158" t="s">
        <v>185</v>
      </c>
      <c r="Z82" s="158" t="s">
        <v>185</v>
      </c>
      <c r="AA82" s="158" t="str">
        <f>IF(AWS[[#This Row],[Column14]]="-","", "v")</f>
        <v>v</v>
      </c>
      <c r="AB82" s="158" t="str">
        <f>IF(AWS[[#This Row],[Column8]]="x","1",(IF(OR(AWS[[#This Row],[Column25]]=2,AWS[[#This Row],[Column26]]=2,AWS[[#This Row],[Column27]]=2),"1",(IF(AWS[[#This Row],[Column9]]="x","2",(IF(AWS[[#This Row],[Column10]]="x","3","")))))))</f>
        <v>1</v>
      </c>
      <c r="AC82" s="158" t="str">
        <f>IF(AWS[[#This Row],[Column14]] = "-", AWS[[#This Row],[Column14]], LEFT(AWS[[#This Row],[Column14]], SEARCH(" ", AWS[[#This Row],[Column14]] &amp; " ") - 1))</f>
        <v>1.10</v>
      </c>
    </row>
    <row r="83" spans="1:29" ht="409.5" hidden="1">
      <c r="A8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3" s="137" t="str">
        <f>AWS[[#This Row],[Column30]]</f>
        <v>2.1.2</v>
      </c>
      <c r="C83" s="137">
        <v>6.5</v>
      </c>
      <c r="D83" s="237" t="s">
        <v>399</v>
      </c>
      <c r="E83" s="162" t="s">
        <v>156</v>
      </c>
      <c r="F83" s="138" t="s">
        <v>491</v>
      </c>
      <c r="G83" s="241" t="s">
        <v>492</v>
      </c>
      <c r="H83" s="163" t="s">
        <v>185</v>
      </c>
      <c r="I83" s="164" t="s">
        <v>185</v>
      </c>
      <c r="J83" s="200" t="s">
        <v>185</v>
      </c>
      <c r="K83" s="176" t="s">
        <v>185</v>
      </c>
      <c r="L83" s="176" t="s">
        <v>185</v>
      </c>
      <c r="M83" s="176" t="s">
        <v>185</v>
      </c>
      <c r="N83" s="165" t="s">
        <v>222</v>
      </c>
      <c r="O83" s="197" t="s">
        <v>187</v>
      </c>
      <c r="P83" s="166" t="s">
        <v>223</v>
      </c>
      <c r="Q83" s="166" t="s">
        <v>511</v>
      </c>
      <c r="R83" s="167" t="s">
        <v>226</v>
      </c>
      <c r="S83" s="166" t="s">
        <v>512</v>
      </c>
      <c r="T83" s="166" t="s">
        <v>227</v>
      </c>
      <c r="U83" s="158" t="s">
        <v>162</v>
      </c>
      <c r="V83" s="168" t="s">
        <v>897</v>
      </c>
      <c r="W83" s="158" t="s">
        <v>967</v>
      </c>
      <c r="X83" s="158" t="s">
        <v>185</v>
      </c>
      <c r="Y83" s="158" t="s">
        <v>185</v>
      </c>
      <c r="Z83" s="158" t="s">
        <v>185</v>
      </c>
      <c r="AA83" s="158" t="str">
        <f>IF(AWS[[#This Row],[Column14]]="-","", "v")</f>
        <v>v</v>
      </c>
      <c r="AB83" s="158" t="str">
        <f>IF(AWS[[#This Row],[Column8]]="x","1",(IF(OR(AWS[[#This Row],[Column25]]=2,AWS[[#This Row],[Column26]]=2,AWS[[#This Row],[Column27]]=2),"1",(IF(AWS[[#This Row],[Column9]]="x","2",(IF(AWS[[#This Row],[Column10]]="x","3","")))))))</f>
        <v>1</v>
      </c>
      <c r="AC83" s="158" t="str">
        <f>IF(AWS[[#This Row],[Column14]] = "-", AWS[[#This Row],[Column14]], LEFT(AWS[[#This Row],[Column14]], SEARCH(" ", AWS[[#This Row],[Column14]] &amp; " ") - 1))</f>
        <v>2.1.2</v>
      </c>
    </row>
    <row r="84" spans="1:29" ht="60" hidden="1">
      <c r="A8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4" s="137" t="str">
        <f>AWS[[#This Row],[Column30]]</f>
        <v>-</v>
      </c>
      <c r="C84" s="137">
        <v>6.6</v>
      </c>
      <c r="D84" s="237" t="s">
        <v>399</v>
      </c>
      <c r="E84" s="162" t="s">
        <v>154</v>
      </c>
      <c r="F84" s="138" t="s">
        <v>513</v>
      </c>
      <c r="G84" s="241" t="s">
        <v>514</v>
      </c>
      <c r="H84" s="137"/>
      <c r="I84" s="164" t="s">
        <v>185</v>
      </c>
      <c r="J84" s="200" t="s">
        <v>185</v>
      </c>
      <c r="K84" s="176" t="s">
        <v>185</v>
      </c>
      <c r="L84" s="176" t="s">
        <v>185</v>
      </c>
      <c r="M84" s="176" t="s">
        <v>185</v>
      </c>
      <c r="N84" s="165" t="s">
        <v>162</v>
      </c>
      <c r="O84" s="165" t="s">
        <v>162</v>
      </c>
      <c r="P84" s="165" t="s">
        <v>162</v>
      </c>
      <c r="Q84" s="165" t="s">
        <v>162</v>
      </c>
      <c r="R84" s="167"/>
      <c r="S84" s="165" t="s">
        <v>162</v>
      </c>
      <c r="T84" s="165" t="s">
        <v>162</v>
      </c>
      <c r="U84" s="158" t="s">
        <v>162</v>
      </c>
      <c r="V84" s="168"/>
      <c r="W84" s="158" t="s">
        <v>966</v>
      </c>
      <c r="X84" s="158" t="s">
        <v>185</v>
      </c>
      <c r="Y84" s="158" t="s">
        <v>185</v>
      </c>
      <c r="Z84" s="158" t="s">
        <v>185</v>
      </c>
      <c r="AA84" s="158" t="str">
        <f>IF(AWS[[#This Row],[Column14]]="-","", "v")</f>
        <v/>
      </c>
      <c r="AB84" s="158" t="str">
        <f>IF(AWS[[#This Row],[Column8]]="x","1",(IF(OR(AWS[[#This Row],[Column25]]=2,AWS[[#This Row],[Column26]]=2,AWS[[#This Row],[Column27]]=2),"1",(IF(AWS[[#This Row],[Column9]]="x","2",(IF(AWS[[#This Row],[Column10]]="x","3","")))))))</f>
        <v>2</v>
      </c>
      <c r="AC84" s="158" t="str">
        <f>IF(AWS[[#This Row],[Column14]] = "-", AWS[[#This Row],[Column14]], LEFT(AWS[[#This Row],[Column14]], SEARCH(" ", AWS[[#This Row],[Column14]] &amp; " ") - 1))</f>
        <v>-</v>
      </c>
    </row>
    <row r="85" spans="1:29" ht="30" hidden="1">
      <c r="A8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5" s="137" t="str">
        <f>AWS[[#This Row],[Column30]]</f>
        <v>-</v>
      </c>
      <c r="C85" s="137">
        <v>6.7</v>
      </c>
      <c r="D85" s="237" t="s">
        <v>399</v>
      </c>
      <c r="E85" s="162" t="s">
        <v>156</v>
      </c>
      <c r="F85" s="138" t="s">
        <v>515</v>
      </c>
      <c r="G85" s="241" t="s">
        <v>516</v>
      </c>
      <c r="H85" s="204"/>
      <c r="I85" s="164" t="s">
        <v>185</v>
      </c>
      <c r="J85" s="200" t="s">
        <v>185</v>
      </c>
      <c r="K85" s="176" t="s">
        <v>185</v>
      </c>
      <c r="L85" s="176" t="s">
        <v>185</v>
      </c>
      <c r="M85" s="176" t="s">
        <v>185</v>
      </c>
      <c r="N85" s="165" t="s">
        <v>162</v>
      </c>
      <c r="O85" s="165" t="s">
        <v>162</v>
      </c>
      <c r="P85" s="165" t="s">
        <v>162</v>
      </c>
      <c r="Q85" s="165" t="s">
        <v>162</v>
      </c>
      <c r="R85" s="167"/>
      <c r="S85" s="165" t="s">
        <v>162</v>
      </c>
      <c r="T85" s="165" t="s">
        <v>162</v>
      </c>
      <c r="U85" s="158" t="s">
        <v>162</v>
      </c>
      <c r="V85" s="168"/>
      <c r="W85" s="158" t="s">
        <v>967</v>
      </c>
      <c r="X85" s="158" t="s">
        <v>185</v>
      </c>
      <c r="Y85" s="158" t="s">
        <v>185</v>
      </c>
      <c r="Z85" s="158" t="s">
        <v>185</v>
      </c>
      <c r="AA85" s="158" t="str">
        <f>IF(AWS[[#This Row],[Column14]]="-","", "v")</f>
        <v/>
      </c>
      <c r="AB85" s="158" t="str">
        <f>IF(AWS[[#This Row],[Column8]]="x","1",(IF(OR(AWS[[#This Row],[Column25]]=2,AWS[[#This Row],[Column26]]=2,AWS[[#This Row],[Column27]]=2),"1",(IF(AWS[[#This Row],[Column9]]="x","2",(IF(AWS[[#This Row],[Column10]]="x","3","")))))))</f>
        <v>2</v>
      </c>
      <c r="AC85" s="158" t="str">
        <f>IF(AWS[[#This Row],[Column14]] = "-", AWS[[#This Row],[Column14]], LEFT(AWS[[#This Row],[Column14]], SEARCH(" ", AWS[[#This Row],[Column14]] &amp; " ") - 1))</f>
        <v>-</v>
      </c>
    </row>
    <row r="86" spans="1:29" ht="75" hidden="1">
      <c r="A8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6" s="137" t="str">
        <f>AWS[[#This Row],[Column30]]</f>
        <v>-</v>
      </c>
      <c r="C86" s="137">
        <v>6.8</v>
      </c>
      <c r="D86" s="237" t="s">
        <v>182</v>
      </c>
      <c r="E86" s="162" t="s">
        <v>156</v>
      </c>
      <c r="F86" s="138" t="s">
        <v>332</v>
      </c>
      <c r="G86" s="243" t="s">
        <v>333</v>
      </c>
      <c r="H86" s="204"/>
      <c r="I86" s="204"/>
      <c r="J86" s="200" t="s">
        <v>185</v>
      </c>
      <c r="K86" s="176" t="s">
        <v>185</v>
      </c>
      <c r="L86" s="176" t="s">
        <v>185</v>
      </c>
      <c r="M86" s="176" t="s">
        <v>185</v>
      </c>
      <c r="N86" s="165" t="s">
        <v>162</v>
      </c>
      <c r="O86" s="165" t="s">
        <v>162</v>
      </c>
      <c r="P86" s="165" t="s">
        <v>162</v>
      </c>
      <c r="Q86" s="165" t="s">
        <v>162</v>
      </c>
      <c r="R86" s="167"/>
      <c r="S86" s="165" t="s">
        <v>162</v>
      </c>
      <c r="T86" s="165" t="s">
        <v>162</v>
      </c>
      <c r="U86" s="158" t="s">
        <v>162</v>
      </c>
      <c r="V86" s="168"/>
      <c r="W86" s="158" t="s">
        <v>966</v>
      </c>
      <c r="X86" s="158" t="s">
        <v>185</v>
      </c>
      <c r="Y86" s="158" t="s">
        <v>185</v>
      </c>
      <c r="Z86" s="158" t="s">
        <v>185</v>
      </c>
      <c r="AA86" s="158" t="str">
        <f>IF(AWS[[#This Row],[Column14]]="-","", "v")</f>
        <v/>
      </c>
      <c r="AB86" s="158" t="str">
        <f>IF(AWS[[#This Row],[Column8]]="x","1",(IF(OR(AWS[[#This Row],[Column25]]=2,AWS[[#This Row],[Column26]]=2,AWS[[#This Row],[Column27]]=2),"1",(IF(AWS[[#This Row],[Column9]]="x","2",(IF(AWS[[#This Row],[Column10]]="x","3","")))))))</f>
        <v>3</v>
      </c>
      <c r="AC86" s="158" t="str">
        <f>IF(AWS[[#This Row],[Column14]] = "-", AWS[[#This Row],[Column14]], LEFT(AWS[[#This Row],[Column14]], SEARCH(" ", AWS[[#This Row],[Column14]] &amp; " ") - 1))</f>
        <v>-</v>
      </c>
    </row>
    <row r="87" spans="1:29" ht="75" hidden="1">
      <c r="A87" s="178" t="s">
        <v>942</v>
      </c>
      <c r="B87" s="154" t="s">
        <v>162</v>
      </c>
      <c r="C87" s="154" t="s">
        <v>162</v>
      </c>
      <c r="D87" s="245" t="s">
        <v>162</v>
      </c>
      <c r="E87" s="178"/>
      <c r="F87" s="156" t="s">
        <v>517</v>
      </c>
      <c r="G87" s="242" t="s">
        <v>518</v>
      </c>
      <c r="H87" s="245" t="s">
        <v>162</v>
      </c>
      <c r="I87" s="245" t="s">
        <v>162</v>
      </c>
      <c r="J87" s="245" t="s">
        <v>162</v>
      </c>
      <c r="K87" s="245" t="s">
        <v>162</v>
      </c>
      <c r="L87" s="245" t="s">
        <v>162</v>
      </c>
      <c r="M87" s="245" t="s">
        <v>162</v>
      </c>
      <c r="N87" s="245" t="s">
        <v>162</v>
      </c>
      <c r="O87" s="245" t="s">
        <v>162</v>
      </c>
      <c r="P87" s="245" t="s">
        <v>162</v>
      </c>
      <c r="Q87" s="245" t="s">
        <v>162</v>
      </c>
      <c r="R87" s="154" t="s">
        <v>162</v>
      </c>
      <c r="S87" s="245" t="s">
        <v>162</v>
      </c>
      <c r="T87" s="245" t="s">
        <v>162</v>
      </c>
      <c r="U87" s="245" t="s">
        <v>162</v>
      </c>
      <c r="V87" s="245" t="s">
        <v>162</v>
      </c>
      <c r="W87" s="245" t="s">
        <v>162</v>
      </c>
      <c r="X87" s="245" t="s">
        <v>162</v>
      </c>
      <c r="Y87" s="245" t="s">
        <v>162</v>
      </c>
      <c r="Z87" s="245" t="s">
        <v>162</v>
      </c>
      <c r="AA87" s="245" t="s">
        <v>162</v>
      </c>
      <c r="AB87" s="245" t="s">
        <v>162</v>
      </c>
      <c r="AC87" s="158" t="str">
        <f>IF(AWS[[#This Row],[Column14]] = "-", AWS[[#This Row],[Column14]], LEFT(AWS[[#This Row],[Column14]], SEARCH(" ", AWS[[#This Row],[Column14]] &amp; " ") - 1))</f>
        <v>-</v>
      </c>
    </row>
    <row r="88" spans="1:29" ht="45" hidden="1">
      <c r="A8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8" s="137" t="str">
        <f>AWS[[#This Row],[Column30]]</f>
        <v>-</v>
      </c>
      <c r="C88" s="137">
        <v>7.1</v>
      </c>
      <c r="D88" s="237" t="s">
        <v>371</v>
      </c>
      <c r="E88" s="162" t="s">
        <v>156</v>
      </c>
      <c r="F88" s="138" t="s">
        <v>519</v>
      </c>
      <c r="G88" s="241" t="s">
        <v>520</v>
      </c>
      <c r="H88" s="163" t="s">
        <v>185</v>
      </c>
      <c r="I88" s="164" t="s">
        <v>185</v>
      </c>
      <c r="J88" s="200" t="s">
        <v>185</v>
      </c>
      <c r="K88" s="176" t="s">
        <v>185</v>
      </c>
      <c r="L88" s="176" t="s">
        <v>185</v>
      </c>
      <c r="M88" s="176" t="s">
        <v>185</v>
      </c>
      <c r="N88" s="165" t="s">
        <v>162</v>
      </c>
      <c r="O88" s="165" t="s">
        <v>162</v>
      </c>
      <c r="P88" s="165" t="s">
        <v>162</v>
      </c>
      <c r="Q88" s="165" t="s">
        <v>162</v>
      </c>
      <c r="R88" s="167"/>
      <c r="S88" s="165" t="s">
        <v>162</v>
      </c>
      <c r="T88" s="165" t="s">
        <v>162</v>
      </c>
      <c r="U88" s="158" t="s">
        <v>162</v>
      </c>
      <c r="V88" s="168"/>
      <c r="W88" s="158" t="s">
        <v>966</v>
      </c>
      <c r="X88" s="158" t="s">
        <v>185</v>
      </c>
      <c r="Y88" s="158" t="s">
        <v>185</v>
      </c>
      <c r="Z88" s="158" t="s">
        <v>185</v>
      </c>
      <c r="AA88" s="158" t="str">
        <f>IF(AWS[[#This Row],[Column14]]="-","", "v")</f>
        <v/>
      </c>
      <c r="AB88" s="158" t="str">
        <f>IF(AWS[[#This Row],[Column8]]="x","1",(IF(OR(AWS[[#This Row],[Column25]]=2,AWS[[#This Row],[Column26]]=2,AWS[[#This Row],[Column27]]=2),"1",(IF(AWS[[#This Row],[Column9]]="x","2",(IF(AWS[[#This Row],[Column10]]="x","3","")))))))</f>
        <v>1</v>
      </c>
      <c r="AC88" s="158" t="str">
        <f>IF(AWS[[#This Row],[Column14]] = "-", AWS[[#This Row],[Column14]], LEFT(AWS[[#This Row],[Column14]], SEARCH(" ", AWS[[#This Row],[Column14]] &amp; " ") - 1))</f>
        <v>-</v>
      </c>
    </row>
    <row r="89" spans="1:29" ht="30" hidden="1">
      <c r="A8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NOT(ISBLANK(K89)),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NOT(ISBLANK(L89)),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NOT(ISBLANK(M89)),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89" s="137" t="str">
        <f>AWS[[#This Row],[Column30]]</f>
        <v>-</v>
      </c>
      <c r="C89" s="137">
        <v>7.2</v>
      </c>
      <c r="D89" s="237" t="s">
        <v>371</v>
      </c>
      <c r="E89" s="162" t="s">
        <v>157</v>
      </c>
      <c r="F89" s="138" t="s">
        <v>521</v>
      </c>
      <c r="G89" s="241" t="s">
        <v>522</v>
      </c>
      <c r="H89" s="163" t="s">
        <v>185</v>
      </c>
      <c r="I89" s="164" t="s">
        <v>185</v>
      </c>
      <c r="J89" s="200" t="s">
        <v>185</v>
      </c>
      <c r="K89" s="176" t="s">
        <v>185</v>
      </c>
      <c r="L89" s="176" t="s">
        <v>185</v>
      </c>
      <c r="M89" s="176" t="s">
        <v>185</v>
      </c>
      <c r="N89" s="165" t="s">
        <v>162</v>
      </c>
      <c r="O89" s="165" t="s">
        <v>162</v>
      </c>
      <c r="P89" s="165" t="s">
        <v>162</v>
      </c>
      <c r="Q89" s="165" t="s">
        <v>162</v>
      </c>
      <c r="R89" s="167"/>
      <c r="S89" s="165" t="s">
        <v>162</v>
      </c>
      <c r="T89" s="165" t="s">
        <v>162</v>
      </c>
      <c r="U89" s="158" t="s">
        <v>162</v>
      </c>
      <c r="V89" s="168"/>
      <c r="W89" s="158" t="s">
        <v>966</v>
      </c>
      <c r="X89" s="158" t="s">
        <v>185</v>
      </c>
      <c r="Y89" s="158" t="s">
        <v>185</v>
      </c>
      <c r="Z89" s="158" t="s">
        <v>185</v>
      </c>
      <c r="AA89" s="158" t="str">
        <f>IF(AWS[[#This Row],[Column14]]="-","", "v")</f>
        <v/>
      </c>
      <c r="AB89" s="158" t="str">
        <f>IF(AWS[[#This Row],[Column8]]="x","1",(IF(OR(AWS[[#This Row],[Column25]]=2,AWS[[#This Row],[Column26]]=2,AWS[[#This Row],[Column27]]=2),"1",(IF(AWS[[#This Row],[Column9]]="x","2",(IF(AWS[[#This Row],[Column10]]="x","3","")))))))</f>
        <v>1</v>
      </c>
      <c r="AC89" s="158" t="str">
        <f>IF(AWS[[#This Row],[Column14]] = "-", AWS[[#This Row],[Column14]], LEFT(AWS[[#This Row],[Column14]], SEARCH(" ", AWS[[#This Row],[Column14]] &amp; " ") - 1))</f>
        <v>-</v>
      </c>
    </row>
    <row r="90" spans="1:29" ht="45">
      <c r="A9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0" s="137" t="str">
        <f>AWS[[#This Row],[Column30]]</f>
        <v>-</v>
      </c>
      <c r="C90" s="137">
        <v>7.3</v>
      </c>
      <c r="D90" s="237" t="s">
        <v>371</v>
      </c>
      <c r="E90" s="162" t="s">
        <v>156</v>
      </c>
      <c r="F90" s="138" t="s">
        <v>523</v>
      </c>
      <c r="G90" s="241" t="s">
        <v>524</v>
      </c>
      <c r="H90" s="163" t="s">
        <v>185</v>
      </c>
      <c r="I90" s="164" t="s">
        <v>185</v>
      </c>
      <c r="J90" s="200" t="s">
        <v>185</v>
      </c>
      <c r="K90" s="176" t="s">
        <v>185</v>
      </c>
      <c r="L90" s="176" t="s">
        <v>185</v>
      </c>
      <c r="M90" s="176"/>
      <c r="N90" s="165" t="s">
        <v>162</v>
      </c>
      <c r="O90" s="165" t="s">
        <v>162</v>
      </c>
      <c r="P90" s="165" t="s">
        <v>162</v>
      </c>
      <c r="Q90" s="165" t="s">
        <v>162</v>
      </c>
      <c r="R90" s="167"/>
      <c r="S90" s="165" t="s">
        <v>162</v>
      </c>
      <c r="T90" s="165" t="s">
        <v>162</v>
      </c>
      <c r="U90" s="158" t="s">
        <v>162</v>
      </c>
      <c r="V90" s="168"/>
      <c r="W90" s="158" t="s">
        <v>966</v>
      </c>
      <c r="X90" s="158" t="s">
        <v>185</v>
      </c>
      <c r="Y90" s="158" t="s">
        <v>185</v>
      </c>
      <c r="Z90" s="158" t="s">
        <v>185</v>
      </c>
      <c r="AA90" s="158" t="str">
        <f>IF(AWS[[#This Row],[Column14]]="-","", "v")</f>
        <v/>
      </c>
      <c r="AB90" s="158" t="str">
        <f>IF(AWS[[#This Row],[Column8]]="x","1",(IF(OR(AWS[[#This Row],[Column25]]=2,AWS[[#This Row],[Column26]]=2,AWS[[#This Row],[Column27]]=2),"1",(IF(AWS[[#This Row],[Column9]]="x","2",(IF(AWS[[#This Row],[Column10]]="x","3","")))))))</f>
        <v>1</v>
      </c>
      <c r="AC90" s="158" t="str">
        <f>IF(AWS[[#This Row],[Column14]] = "-", AWS[[#This Row],[Column14]], LEFT(AWS[[#This Row],[Column14]], SEARCH(" ", AWS[[#This Row],[Column14]] &amp; " ") - 1))</f>
        <v>-</v>
      </c>
    </row>
    <row r="91" spans="1:29" ht="409.5">
      <c r="A9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1" s="137" t="str">
        <f>AWS[[#This Row],[Column30]]</f>
        <v>2.3.2</v>
      </c>
      <c r="C91" s="137">
        <v>7.4</v>
      </c>
      <c r="D91" s="237" t="s">
        <v>371</v>
      </c>
      <c r="E91" s="162" t="s">
        <v>156</v>
      </c>
      <c r="F91" s="138" t="s">
        <v>525</v>
      </c>
      <c r="G91" s="241" t="s">
        <v>526</v>
      </c>
      <c r="H91" s="163" t="s">
        <v>185</v>
      </c>
      <c r="I91" s="164" t="s">
        <v>185</v>
      </c>
      <c r="J91" s="200" t="s">
        <v>185</v>
      </c>
      <c r="K91" s="176" t="s">
        <v>185</v>
      </c>
      <c r="L91" s="176" t="s">
        <v>185</v>
      </c>
      <c r="M91" s="176"/>
      <c r="N91" s="165" t="s">
        <v>527</v>
      </c>
      <c r="O91" s="197" t="s">
        <v>198</v>
      </c>
      <c r="P91" s="166" t="s">
        <v>528</v>
      </c>
      <c r="Q91" s="166" t="s">
        <v>529</v>
      </c>
      <c r="R91" s="167" t="s">
        <v>530</v>
      </c>
      <c r="S91" s="166" t="s">
        <v>531</v>
      </c>
      <c r="T91" s="166" t="s">
        <v>532</v>
      </c>
      <c r="U91" s="158" t="s">
        <v>162</v>
      </c>
      <c r="V91" s="168" t="s">
        <v>899</v>
      </c>
      <c r="W91" s="158" t="s">
        <v>967</v>
      </c>
      <c r="X91" s="158" t="s">
        <v>185</v>
      </c>
      <c r="Y91" s="158" t="s">
        <v>185</v>
      </c>
      <c r="Z91" s="158" t="s">
        <v>185</v>
      </c>
      <c r="AA91" s="158" t="str">
        <f>IF(AWS[[#This Row],[Column14]]="-","", "v")</f>
        <v>v</v>
      </c>
      <c r="AB91" s="158" t="str">
        <f>IF(AWS[[#This Row],[Column8]]="x","1",(IF(OR(AWS[[#This Row],[Column25]]=2,AWS[[#This Row],[Column26]]=2,AWS[[#This Row],[Column27]]=2),"1",(IF(AWS[[#This Row],[Column9]]="x","2",(IF(AWS[[#This Row],[Column10]]="x","3","")))))))</f>
        <v>1</v>
      </c>
      <c r="AC91" s="158" t="str">
        <f>IF(AWS[[#This Row],[Column14]] = "-", AWS[[#This Row],[Column14]], LEFT(AWS[[#This Row],[Column14]], SEARCH(" ", AWS[[#This Row],[Column14]] &amp; " ") - 1))</f>
        <v>2.3.2</v>
      </c>
    </row>
    <row r="92" spans="1:29" ht="45.75">
      <c r="A9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2" s="137" t="str">
        <f>AWS[[#This Row],[Column30]]</f>
        <v>-</v>
      </c>
      <c r="C92" s="137">
        <v>7.5</v>
      </c>
      <c r="D92" s="237" t="s">
        <v>371</v>
      </c>
      <c r="E92" s="162" t="s">
        <v>154</v>
      </c>
      <c r="F92" s="138" t="s">
        <v>533</v>
      </c>
      <c r="G92" s="241" t="s">
        <v>534</v>
      </c>
      <c r="H92" s="204"/>
      <c r="I92" s="164" t="s">
        <v>185</v>
      </c>
      <c r="J92" s="200" t="s">
        <v>185</v>
      </c>
      <c r="K92" s="176" t="s">
        <v>185</v>
      </c>
      <c r="L92" s="176" t="s">
        <v>185</v>
      </c>
      <c r="M92" s="176"/>
      <c r="N92" s="165" t="s">
        <v>162</v>
      </c>
      <c r="O92" s="165" t="s">
        <v>162</v>
      </c>
      <c r="P92" s="165" t="s">
        <v>162</v>
      </c>
      <c r="Q92" s="165" t="s">
        <v>162</v>
      </c>
      <c r="R92" s="167"/>
      <c r="S92" s="165" t="s">
        <v>162</v>
      </c>
      <c r="T92" s="165" t="s">
        <v>162</v>
      </c>
      <c r="U92" s="158" t="s">
        <v>162</v>
      </c>
      <c r="V92" s="168"/>
      <c r="W92" s="158" t="s">
        <v>966</v>
      </c>
      <c r="X92" s="158" t="s">
        <v>185</v>
      </c>
      <c r="Y92" s="158" t="s">
        <v>185</v>
      </c>
      <c r="Z92" s="158" t="s">
        <v>185</v>
      </c>
      <c r="AA92" s="158" t="str">
        <f>IF(AWS[[#This Row],[Column14]]="-","", "v")</f>
        <v/>
      </c>
      <c r="AB92" s="158" t="str">
        <f>IF(AWS[[#This Row],[Column8]]="x","1",(IF(OR(AWS[[#This Row],[Column25]]=2,AWS[[#This Row],[Column26]]=2,AWS[[#This Row],[Column27]]=2),"1",(IF(AWS[[#This Row],[Column9]]="x","2",(IF(AWS[[#This Row],[Column10]]="x","3","")))))))</f>
        <v>2</v>
      </c>
      <c r="AC92" s="158" t="str">
        <f>IF(AWS[[#This Row],[Column14]] = "-", AWS[[#This Row],[Column14]], LEFT(AWS[[#This Row],[Column14]], SEARCH(" ", AWS[[#This Row],[Column14]] &amp; " ") - 1))</f>
        <v>-</v>
      </c>
    </row>
    <row r="93" spans="1:29" ht="60">
      <c r="A9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3" s="137" t="str">
        <f>AWS[[#This Row],[Column30]]</f>
        <v>-</v>
      </c>
      <c r="C93" s="137">
        <v>7.6</v>
      </c>
      <c r="D93" s="237" t="s">
        <v>371</v>
      </c>
      <c r="E93" s="162" t="s">
        <v>154</v>
      </c>
      <c r="F93" s="138" t="s">
        <v>535</v>
      </c>
      <c r="G93" s="241" t="s">
        <v>536</v>
      </c>
      <c r="H93" s="204"/>
      <c r="I93" s="164" t="s">
        <v>185</v>
      </c>
      <c r="J93" s="200" t="s">
        <v>185</v>
      </c>
      <c r="K93" s="176" t="s">
        <v>185</v>
      </c>
      <c r="L93" s="176" t="s">
        <v>185</v>
      </c>
      <c r="M93" s="176"/>
      <c r="N93" s="165" t="s">
        <v>162</v>
      </c>
      <c r="O93" s="165" t="s">
        <v>162</v>
      </c>
      <c r="P93" s="165" t="s">
        <v>162</v>
      </c>
      <c r="Q93" s="165" t="s">
        <v>162</v>
      </c>
      <c r="R93" s="167"/>
      <c r="S93" s="165" t="s">
        <v>162</v>
      </c>
      <c r="T93" s="165" t="s">
        <v>162</v>
      </c>
      <c r="U93" s="158" t="s">
        <v>162</v>
      </c>
      <c r="V93" s="168"/>
      <c r="W93" s="158" t="s">
        <v>966</v>
      </c>
      <c r="X93" s="158" t="s">
        <v>185</v>
      </c>
      <c r="Y93" s="158" t="s">
        <v>185</v>
      </c>
      <c r="Z93" s="158" t="s">
        <v>185</v>
      </c>
      <c r="AA93" s="158" t="str">
        <f>IF(AWS[[#This Row],[Column14]]="-","", "v")</f>
        <v/>
      </c>
      <c r="AB93" s="158" t="str">
        <f>IF(AWS[[#This Row],[Column8]]="x","1",(IF(OR(AWS[[#This Row],[Column25]]=2,AWS[[#This Row],[Column26]]=2,AWS[[#This Row],[Column27]]=2),"1",(IF(AWS[[#This Row],[Column9]]="x","2",(IF(AWS[[#This Row],[Column10]]="x","3","")))))))</f>
        <v>2</v>
      </c>
      <c r="AC93" s="158" t="str">
        <f>IF(AWS[[#This Row],[Column14]] = "-", AWS[[#This Row],[Column14]], LEFT(AWS[[#This Row],[Column14]], SEARCH(" ", AWS[[#This Row],[Column14]] &amp; " ") - 1))</f>
        <v>-</v>
      </c>
    </row>
    <row r="94" spans="1:29" ht="30">
      <c r="A9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4" s="137" t="str">
        <f>AWS[[#This Row],[Column30]]</f>
        <v>-</v>
      </c>
      <c r="C94" s="137">
        <v>7.7</v>
      </c>
      <c r="D94" s="237" t="s">
        <v>371</v>
      </c>
      <c r="E94" s="162" t="s">
        <v>157</v>
      </c>
      <c r="F94" s="138" t="s">
        <v>537</v>
      </c>
      <c r="G94" s="241" t="s">
        <v>538</v>
      </c>
      <c r="H94" s="204"/>
      <c r="I94" s="164" t="s">
        <v>185</v>
      </c>
      <c r="J94" s="200" t="s">
        <v>185</v>
      </c>
      <c r="K94" s="176" t="s">
        <v>185</v>
      </c>
      <c r="L94" s="176" t="s">
        <v>185</v>
      </c>
      <c r="M94" s="176"/>
      <c r="N94" s="165" t="s">
        <v>162</v>
      </c>
      <c r="O94" s="165" t="s">
        <v>162</v>
      </c>
      <c r="P94" s="165" t="s">
        <v>162</v>
      </c>
      <c r="Q94" s="165" t="s">
        <v>162</v>
      </c>
      <c r="R94" s="167"/>
      <c r="S94" s="165" t="s">
        <v>162</v>
      </c>
      <c r="T94" s="165" t="s">
        <v>162</v>
      </c>
      <c r="U94" s="158" t="s">
        <v>162</v>
      </c>
      <c r="V94" s="168"/>
      <c r="W94" s="158" t="s">
        <v>966</v>
      </c>
      <c r="X94" s="158" t="s">
        <v>185</v>
      </c>
      <c r="Y94" s="158" t="s">
        <v>185</v>
      </c>
      <c r="Z94" s="158" t="s">
        <v>185</v>
      </c>
      <c r="AA94" s="158" t="str">
        <f>IF(AWS[[#This Row],[Column14]]="-","", "v")</f>
        <v/>
      </c>
      <c r="AB94" s="158" t="str">
        <f>IF(AWS[[#This Row],[Column8]]="x","1",(IF(OR(AWS[[#This Row],[Column25]]=2,AWS[[#This Row],[Column26]]=2,AWS[[#This Row],[Column27]]=2),"1",(IF(AWS[[#This Row],[Column9]]="x","2",(IF(AWS[[#This Row],[Column10]]="x","3","")))))))</f>
        <v>2</v>
      </c>
      <c r="AC94" s="158" t="str">
        <f>IF(AWS[[#This Row],[Column14]] = "-", AWS[[#This Row],[Column14]], LEFT(AWS[[#This Row],[Column14]], SEARCH(" ", AWS[[#This Row],[Column14]] &amp; " ") - 1))</f>
        <v>-</v>
      </c>
    </row>
    <row r="95" spans="1:29" ht="30" hidden="1">
      <c r="A95" s="178" t="s">
        <v>942</v>
      </c>
      <c r="B95" s="154" t="s">
        <v>162</v>
      </c>
      <c r="C95" s="154" t="s">
        <v>162</v>
      </c>
      <c r="D95" s="245" t="s">
        <v>162</v>
      </c>
      <c r="E95" s="178"/>
      <c r="F95" s="156" t="s">
        <v>539</v>
      </c>
      <c r="G95" s="242" t="s">
        <v>540</v>
      </c>
      <c r="H95" s="245" t="s">
        <v>162</v>
      </c>
      <c r="I95" s="245" t="s">
        <v>162</v>
      </c>
      <c r="J95" s="245" t="s">
        <v>162</v>
      </c>
      <c r="K95" s="245" t="s">
        <v>162</v>
      </c>
      <c r="L95" s="245" t="s">
        <v>162</v>
      </c>
      <c r="M95" s="245" t="s">
        <v>162</v>
      </c>
      <c r="N95" s="245" t="s">
        <v>162</v>
      </c>
      <c r="O95" s="245" t="s">
        <v>162</v>
      </c>
      <c r="P95" s="245" t="s">
        <v>162</v>
      </c>
      <c r="Q95" s="245" t="s">
        <v>162</v>
      </c>
      <c r="R95" s="167"/>
      <c r="S95" s="245" t="s">
        <v>162</v>
      </c>
      <c r="T95" s="245" t="s">
        <v>162</v>
      </c>
      <c r="U95" s="245" t="s">
        <v>162</v>
      </c>
      <c r="V95" s="245" t="s">
        <v>162</v>
      </c>
      <c r="W95" s="245" t="s">
        <v>162</v>
      </c>
      <c r="X95" s="245" t="s">
        <v>162</v>
      </c>
      <c r="Y95" s="245" t="s">
        <v>162</v>
      </c>
      <c r="Z95" s="245" t="s">
        <v>162</v>
      </c>
      <c r="AA95" s="245" t="s">
        <v>162</v>
      </c>
      <c r="AB95" s="245" t="s">
        <v>162</v>
      </c>
      <c r="AC95" s="158" t="str">
        <f>IF(AWS[[#This Row],[Column14]] = "-", AWS[[#This Row],[Column14]], LEFT(AWS[[#This Row],[Column14]], SEARCH(" ", AWS[[#This Row],[Column14]] &amp; " ") - 1))</f>
        <v>-</v>
      </c>
    </row>
    <row r="96" spans="1:29" ht="75.75" hidden="1">
      <c r="A9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6" s="137" t="str">
        <f>AWS[[#This Row],[Column30]]</f>
        <v>-</v>
      </c>
      <c r="C96" s="137">
        <v>8.1</v>
      </c>
      <c r="D96" s="237" t="s">
        <v>390</v>
      </c>
      <c r="E96" s="162" t="s">
        <v>156</v>
      </c>
      <c r="F96" s="138" t="s">
        <v>541</v>
      </c>
      <c r="G96" s="241" t="s">
        <v>542</v>
      </c>
      <c r="H96" s="163" t="s">
        <v>185</v>
      </c>
      <c r="I96" s="164" t="s">
        <v>185</v>
      </c>
      <c r="J96" s="200" t="s">
        <v>185</v>
      </c>
      <c r="K96" s="176" t="s">
        <v>185</v>
      </c>
      <c r="L96" s="176" t="s">
        <v>185</v>
      </c>
      <c r="M96" s="176" t="s">
        <v>185</v>
      </c>
      <c r="N96" s="165" t="s">
        <v>162</v>
      </c>
      <c r="O96" s="165" t="s">
        <v>162</v>
      </c>
      <c r="P96" s="165" t="s">
        <v>162</v>
      </c>
      <c r="Q96" s="165" t="s">
        <v>162</v>
      </c>
      <c r="R96" s="167"/>
      <c r="S96" s="165" t="s">
        <v>162</v>
      </c>
      <c r="T96" s="165" t="s">
        <v>162</v>
      </c>
      <c r="U96" s="158" t="s">
        <v>162</v>
      </c>
      <c r="V96" s="168"/>
      <c r="W96" s="158" t="s">
        <v>966</v>
      </c>
      <c r="X96" s="158" t="s">
        <v>185</v>
      </c>
      <c r="Y96" s="158" t="s">
        <v>185</v>
      </c>
      <c r="Z96" s="158"/>
      <c r="AA96" s="158" t="str">
        <f>IF(AWS[[#This Row],[Column14]]="-","", "v")</f>
        <v/>
      </c>
      <c r="AB96" s="158" t="str">
        <f>IF(AWS[[#This Row],[Column8]]="x","1",(IF(OR(AWS[[#This Row],[Column25]]=2,AWS[[#This Row],[Column26]]=2,AWS[[#This Row],[Column27]]=2),"1",(IF(AWS[[#This Row],[Column9]]="x","2",(IF(AWS[[#This Row],[Column10]]="x","3","")))))))</f>
        <v>1</v>
      </c>
      <c r="AC96" s="158" t="str">
        <f>IF(AWS[[#This Row],[Column14]] = "-", AWS[[#This Row],[Column14]], LEFT(AWS[[#This Row],[Column14]], SEARCH(" ", AWS[[#This Row],[Column14]] &amp; " ") - 1))</f>
        <v>-</v>
      </c>
    </row>
    <row r="97" spans="1:29" ht="409.5" hidden="1">
      <c r="A9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7" s="137" t="str">
        <f>AWS[[#This Row],[Column30]]</f>
        <v>3.6</v>
      </c>
      <c r="C97" s="137">
        <v>8.1999999999999993</v>
      </c>
      <c r="D97" s="237" t="s">
        <v>390</v>
      </c>
      <c r="E97" s="162" t="s">
        <v>155</v>
      </c>
      <c r="F97" s="138" t="s">
        <v>543</v>
      </c>
      <c r="G97" s="241" t="s">
        <v>544</v>
      </c>
      <c r="H97" s="163" t="s">
        <v>185</v>
      </c>
      <c r="I97" s="164" t="s">
        <v>185</v>
      </c>
      <c r="J97" s="200" t="s">
        <v>185</v>
      </c>
      <c r="K97" s="176" t="s">
        <v>185</v>
      </c>
      <c r="L97" s="176" t="s">
        <v>185</v>
      </c>
      <c r="M97" s="176" t="s">
        <v>185</v>
      </c>
      <c r="N97" s="165" t="s">
        <v>326</v>
      </c>
      <c r="O97" s="197" t="s">
        <v>198</v>
      </c>
      <c r="P97" s="166" t="s">
        <v>327</v>
      </c>
      <c r="Q97" s="166" t="s">
        <v>328</v>
      </c>
      <c r="R97" s="167" t="s">
        <v>329</v>
      </c>
      <c r="S97" s="166" t="s">
        <v>330</v>
      </c>
      <c r="T97" s="166" t="s">
        <v>545</v>
      </c>
      <c r="U97" s="158" t="s">
        <v>162</v>
      </c>
      <c r="V97" s="168" t="s">
        <v>905</v>
      </c>
      <c r="W97" s="158" t="s">
        <v>967</v>
      </c>
      <c r="X97" s="158" t="s">
        <v>185</v>
      </c>
      <c r="Y97" s="158" t="s">
        <v>185</v>
      </c>
      <c r="Z97" s="158"/>
      <c r="AA97" s="158" t="str">
        <f>IF(AWS[[#This Row],[Column14]]="-","", "v")</f>
        <v>v</v>
      </c>
      <c r="AB97" s="158" t="str">
        <f>IF(AWS[[#This Row],[Column8]]="x","1",(IF(OR(AWS[[#This Row],[Column25]]=2,AWS[[#This Row],[Column26]]=2,AWS[[#This Row],[Column27]]=2),"1",(IF(AWS[[#This Row],[Column9]]="x","2",(IF(AWS[[#This Row],[Column10]]="x","3","")))))))</f>
        <v>1</v>
      </c>
      <c r="AC97" s="158" t="str">
        <f>IF(AWS[[#This Row],[Column14]] = "-", AWS[[#This Row],[Column14]], LEFT(AWS[[#This Row],[Column14]], SEARCH(" ", AWS[[#This Row],[Column14]] &amp; " ") - 1))</f>
        <v>3.6</v>
      </c>
    </row>
    <row r="98" spans="1:29" ht="409.5" hidden="1">
      <c r="A9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8" s="137" t="str">
        <f>AWS[[#This Row],[Column30]]</f>
        <v>3.9</v>
      </c>
      <c r="C98" s="137">
        <v>8.1999999999999993</v>
      </c>
      <c r="D98" s="237" t="s">
        <v>390</v>
      </c>
      <c r="E98" s="162" t="s">
        <v>155</v>
      </c>
      <c r="F98" s="138" t="s">
        <v>543</v>
      </c>
      <c r="G98" s="241" t="s">
        <v>544</v>
      </c>
      <c r="H98" s="163" t="s">
        <v>185</v>
      </c>
      <c r="I98" s="164" t="s">
        <v>185</v>
      </c>
      <c r="J98" s="200" t="s">
        <v>185</v>
      </c>
      <c r="K98" s="176" t="s">
        <v>185</v>
      </c>
      <c r="L98" s="176" t="s">
        <v>185</v>
      </c>
      <c r="M98" s="176" t="s">
        <v>185</v>
      </c>
      <c r="N98" s="165" t="s">
        <v>546</v>
      </c>
      <c r="O98" s="197" t="s">
        <v>187</v>
      </c>
      <c r="P98" s="166" t="s">
        <v>547</v>
      </c>
      <c r="Q98" s="166" t="s">
        <v>548</v>
      </c>
      <c r="R98" s="167" t="s">
        <v>549</v>
      </c>
      <c r="S98" s="166" t="s">
        <v>550</v>
      </c>
      <c r="T98" s="166" t="s">
        <v>551</v>
      </c>
      <c r="U98" s="158" t="s">
        <v>162</v>
      </c>
      <c r="V98" s="168" t="s">
        <v>912</v>
      </c>
      <c r="W98" s="158" t="s">
        <v>967</v>
      </c>
      <c r="X98" s="158" t="s">
        <v>185</v>
      </c>
      <c r="Y98" s="158" t="s">
        <v>185</v>
      </c>
      <c r="Z98" s="158"/>
      <c r="AA98" s="158" t="str">
        <f>IF(AWS[[#This Row],[Column14]]="-","", "v")</f>
        <v>v</v>
      </c>
      <c r="AB98" s="158" t="str">
        <f>IF(AWS[[#This Row],[Column8]]="x","1",(IF(OR(AWS[[#This Row],[Column25]]=2,AWS[[#This Row],[Column26]]=2,AWS[[#This Row],[Column27]]=2),"1",(IF(AWS[[#This Row],[Column9]]="x","2",(IF(AWS[[#This Row],[Column10]]="x","3","")))))))</f>
        <v>1</v>
      </c>
      <c r="AC98" s="158" t="str">
        <f>IF(AWS[[#This Row],[Column14]] = "-", AWS[[#This Row],[Column14]], LEFT(AWS[[#This Row],[Column14]], SEARCH(" ", AWS[[#This Row],[Column14]] &amp; " ") - 1))</f>
        <v>3.9</v>
      </c>
    </row>
    <row r="99" spans="1:29" ht="30" hidden="1">
      <c r="A9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NOT(ISBLANK(K99)),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NOT(ISBLANK(L99)),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NOT(ISBLANK(M99)),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99" s="137" t="str">
        <f>AWS[[#This Row],[Column30]]</f>
        <v>-</v>
      </c>
      <c r="C99" s="137">
        <v>8.3000000000000007</v>
      </c>
      <c r="D99" s="237" t="s">
        <v>390</v>
      </c>
      <c r="E99" s="162" t="s">
        <v>156</v>
      </c>
      <c r="F99" s="138" t="s">
        <v>552</v>
      </c>
      <c r="G99" s="241" t="s">
        <v>553</v>
      </c>
      <c r="H99" s="163" t="s">
        <v>185</v>
      </c>
      <c r="I99" s="164" t="s">
        <v>185</v>
      </c>
      <c r="J99" s="200" t="s">
        <v>185</v>
      </c>
      <c r="K99" s="176" t="s">
        <v>185</v>
      </c>
      <c r="L99" s="176" t="s">
        <v>185</v>
      </c>
      <c r="M99" s="176" t="s">
        <v>185</v>
      </c>
      <c r="N99" s="165" t="s">
        <v>162</v>
      </c>
      <c r="O99" s="165" t="s">
        <v>162</v>
      </c>
      <c r="P99" s="165" t="s">
        <v>162</v>
      </c>
      <c r="Q99" s="165" t="s">
        <v>162</v>
      </c>
      <c r="R99" s="167"/>
      <c r="S99" s="165" t="s">
        <v>162</v>
      </c>
      <c r="T99" s="165" t="s">
        <v>162</v>
      </c>
      <c r="U99" s="158" t="s">
        <v>162</v>
      </c>
      <c r="V99" s="168"/>
      <c r="W99" s="158" t="s">
        <v>966</v>
      </c>
      <c r="X99" s="158" t="s">
        <v>185</v>
      </c>
      <c r="Y99" s="158" t="s">
        <v>185</v>
      </c>
      <c r="Z99" s="158"/>
      <c r="AA99" s="158" t="str">
        <f>IF(AWS[[#This Row],[Column14]]="-","", "v")</f>
        <v/>
      </c>
      <c r="AB99" s="158" t="str">
        <f>IF(AWS[[#This Row],[Column8]]="x","1",(IF(OR(AWS[[#This Row],[Column25]]=2,AWS[[#This Row],[Column26]]=2,AWS[[#This Row],[Column27]]=2),"1",(IF(AWS[[#This Row],[Column9]]="x","2",(IF(AWS[[#This Row],[Column10]]="x","3","")))))))</f>
        <v>1</v>
      </c>
      <c r="AC99" s="158" t="str">
        <f>IF(AWS[[#This Row],[Column14]] = "-", AWS[[#This Row],[Column14]], LEFT(AWS[[#This Row],[Column14]], SEARCH(" ", AWS[[#This Row],[Column14]] &amp; " ") - 1))</f>
        <v>-</v>
      </c>
    </row>
    <row r="100" spans="1:29" ht="30">
      <c r="A10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0" s="137" t="str">
        <f>AWS[[#This Row],[Column30]]</f>
        <v>-</v>
      </c>
      <c r="C100" s="137">
        <v>8.4</v>
      </c>
      <c r="D100" s="237" t="s">
        <v>390</v>
      </c>
      <c r="E100" s="162" t="s">
        <v>156</v>
      </c>
      <c r="F100" s="138" t="s">
        <v>554</v>
      </c>
      <c r="G100" s="241" t="s">
        <v>555</v>
      </c>
      <c r="H100" s="137"/>
      <c r="I100" s="164" t="s">
        <v>185</v>
      </c>
      <c r="J100" s="200" t="s">
        <v>185</v>
      </c>
      <c r="K100" s="176" t="s">
        <v>185</v>
      </c>
      <c r="L100" s="158"/>
      <c r="M100" s="158"/>
      <c r="N100" s="165" t="s">
        <v>162</v>
      </c>
      <c r="O100" s="165" t="s">
        <v>162</v>
      </c>
      <c r="P100" s="165" t="s">
        <v>162</v>
      </c>
      <c r="Q100" s="165" t="s">
        <v>162</v>
      </c>
      <c r="R100" s="167"/>
      <c r="S100" s="165" t="s">
        <v>162</v>
      </c>
      <c r="T100" s="165" t="s">
        <v>162</v>
      </c>
      <c r="U100" s="158" t="s">
        <v>162</v>
      </c>
      <c r="V100" s="168"/>
      <c r="W100" s="158" t="s">
        <v>966</v>
      </c>
      <c r="X100" s="158" t="s">
        <v>185</v>
      </c>
      <c r="Y100" s="158" t="s">
        <v>185</v>
      </c>
      <c r="Z100" s="158"/>
      <c r="AA100" s="158" t="str">
        <f>IF(AWS[[#This Row],[Column14]]="-","", "v")</f>
        <v/>
      </c>
      <c r="AB100" s="158" t="str">
        <f>IF(AWS[[#This Row],[Column8]]="x","1",(IF(OR(AWS[[#This Row],[Column25]]=2,AWS[[#This Row],[Column26]]=2,AWS[[#This Row],[Column27]]=2),"1",(IF(AWS[[#This Row],[Column9]]="x","2",(IF(AWS[[#This Row],[Column10]]="x","3","")))))))</f>
        <v>2</v>
      </c>
      <c r="AC100" s="158" t="str">
        <f>IF(AWS[[#This Row],[Column14]] = "-", AWS[[#This Row],[Column14]], LEFT(AWS[[#This Row],[Column14]], SEARCH(" ", AWS[[#This Row],[Column14]] &amp; " ") - 1))</f>
        <v>-</v>
      </c>
    </row>
    <row r="101" spans="1:29" ht="409.5" hidden="1">
      <c r="A10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1" s="137" t="str">
        <f>AWS[[#This Row],[Column30]]</f>
        <v>3.1</v>
      </c>
      <c r="C101" s="137">
        <v>8.5</v>
      </c>
      <c r="D101" s="237" t="s">
        <v>390</v>
      </c>
      <c r="E101" s="162" t="s">
        <v>155</v>
      </c>
      <c r="F101" s="138" t="s">
        <v>556</v>
      </c>
      <c r="G101" s="241" t="s">
        <v>557</v>
      </c>
      <c r="H101" s="204"/>
      <c r="I101" s="164" t="s">
        <v>185</v>
      </c>
      <c r="J101" s="200" t="s">
        <v>185</v>
      </c>
      <c r="K101" s="176" t="s">
        <v>185</v>
      </c>
      <c r="L101" s="176" t="s">
        <v>185</v>
      </c>
      <c r="M101" s="176" t="s">
        <v>185</v>
      </c>
      <c r="N101" s="165" t="s">
        <v>558</v>
      </c>
      <c r="O101" s="197" t="s">
        <v>198</v>
      </c>
      <c r="P101" s="166" t="s">
        <v>559</v>
      </c>
      <c r="Q101" s="166" t="s">
        <v>560</v>
      </c>
      <c r="R101" s="167" t="s">
        <v>561</v>
      </c>
      <c r="S101" s="166" t="s">
        <v>562</v>
      </c>
      <c r="T101" s="166" t="s">
        <v>563</v>
      </c>
      <c r="U101" s="158" t="s">
        <v>162</v>
      </c>
      <c r="V101" s="168" t="s">
        <v>911</v>
      </c>
      <c r="W101" s="158" t="s">
        <v>967</v>
      </c>
      <c r="X101" s="158" t="s">
        <v>185</v>
      </c>
      <c r="Y101" s="158" t="s">
        <v>185</v>
      </c>
      <c r="Z101" s="158"/>
      <c r="AA101" s="158" t="str">
        <f>IF(AWS[[#This Row],[Column14]]="-","", "v")</f>
        <v>v</v>
      </c>
      <c r="AB101" s="158" t="str">
        <f>IF(AWS[[#This Row],[Column8]]="x","1",(IF(OR(AWS[[#This Row],[Column25]]=2,AWS[[#This Row],[Column26]]=2,AWS[[#This Row],[Column27]]=2),"1",(IF(AWS[[#This Row],[Column9]]="x","2",(IF(AWS[[#This Row],[Column10]]="x","3","")))))))</f>
        <v>2</v>
      </c>
      <c r="AC101" s="158" t="str">
        <f>IF(AWS[[#This Row],[Column14]] = "-", AWS[[#This Row],[Column14]], LEFT(AWS[[#This Row],[Column14]], SEARCH(" ", AWS[[#This Row],[Column14]] &amp; " ") - 1))</f>
        <v>3.1</v>
      </c>
    </row>
    <row r="102" spans="1:29" ht="409.5" hidden="1">
      <c r="A10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2" s="137" t="str">
        <f>AWS[[#This Row],[Column30]]</f>
        <v>3.4</v>
      </c>
      <c r="C102" s="137">
        <v>8.5</v>
      </c>
      <c r="D102" s="237" t="s">
        <v>390</v>
      </c>
      <c r="E102" s="162" t="s">
        <v>155</v>
      </c>
      <c r="F102" s="138" t="s">
        <v>556</v>
      </c>
      <c r="G102" s="241" t="s">
        <v>557</v>
      </c>
      <c r="H102" s="204"/>
      <c r="I102" s="164" t="s">
        <v>185</v>
      </c>
      <c r="J102" s="200" t="s">
        <v>185</v>
      </c>
      <c r="K102" s="176" t="s">
        <v>185</v>
      </c>
      <c r="L102" s="176" t="s">
        <v>185</v>
      </c>
      <c r="M102" s="176" t="s">
        <v>185</v>
      </c>
      <c r="N102" s="165" t="s">
        <v>564</v>
      </c>
      <c r="O102" s="197" t="s">
        <v>198</v>
      </c>
      <c r="P102" s="166" t="s">
        <v>565</v>
      </c>
      <c r="Q102" s="166" t="s">
        <v>566</v>
      </c>
      <c r="R102" s="167" t="s">
        <v>567</v>
      </c>
      <c r="S102" s="166" t="s">
        <v>568</v>
      </c>
      <c r="T102" s="166" t="s">
        <v>569</v>
      </c>
      <c r="U102" s="158" t="s">
        <v>975</v>
      </c>
      <c r="V102" s="168" t="s">
        <v>913</v>
      </c>
      <c r="W102" s="158" t="s">
        <v>967</v>
      </c>
      <c r="X102" s="158" t="s">
        <v>185</v>
      </c>
      <c r="Y102" s="158" t="s">
        <v>185</v>
      </c>
      <c r="Z102" s="158"/>
      <c r="AA102" s="158" t="str">
        <f>IF(AWS[[#This Row],[Column14]]="-","", "v")</f>
        <v>v</v>
      </c>
      <c r="AB102" s="158" t="str">
        <f>IF(AWS[[#This Row],[Column8]]="x","1",(IF(OR(AWS[[#This Row],[Column25]]=2,AWS[[#This Row],[Column26]]=2,AWS[[#This Row],[Column27]]=2),"1",(IF(AWS[[#This Row],[Column9]]="x","2",(IF(AWS[[#This Row],[Column10]]="x","3","")))))))</f>
        <v>2</v>
      </c>
      <c r="AC102" s="158" t="str">
        <f>IF(AWS[[#This Row],[Column14]] = "-", AWS[[#This Row],[Column14]], LEFT(AWS[[#This Row],[Column14]], SEARCH(" ", AWS[[#This Row],[Column14]] &amp; " ") - 1))</f>
        <v>3.4</v>
      </c>
    </row>
    <row r="103" spans="1:29" ht="409.5" hidden="1">
      <c r="A10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3" s="137" t="str">
        <f>AWS[[#This Row],[Column30]]</f>
        <v>3.10</v>
      </c>
      <c r="C103" s="137">
        <v>8.5</v>
      </c>
      <c r="D103" s="237" t="s">
        <v>390</v>
      </c>
      <c r="E103" s="162" t="s">
        <v>155</v>
      </c>
      <c r="F103" s="138" t="s">
        <v>556</v>
      </c>
      <c r="G103" s="241" t="s">
        <v>557</v>
      </c>
      <c r="H103" s="204"/>
      <c r="I103" s="164" t="s">
        <v>185</v>
      </c>
      <c r="J103" s="200" t="s">
        <v>185</v>
      </c>
      <c r="K103" s="176" t="s">
        <v>185</v>
      </c>
      <c r="L103" s="176" t="s">
        <v>185</v>
      </c>
      <c r="M103" s="176" t="s">
        <v>185</v>
      </c>
      <c r="N103" s="165" t="s">
        <v>570</v>
      </c>
      <c r="O103" s="197" t="s">
        <v>187</v>
      </c>
      <c r="P103" s="166" t="s">
        <v>571</v>
      </c>
      <c r="Q103" s="166" t="s">
        <v>572</v>
      </c>
      <c r="R103" s="167" t="s">
        <v>573</v>
      </c>
      <c r="S103" s="166" t="s">
        <v>574</v>
      </c>
      <c r="T103" s="166" t="s">
        <v>575</v>
      </c>
      <c r="U103" s="158" t="s">
        <v>162</v>
      </c>
      <c r="V103" s="168" t="s">
        <v>914</v>
      </c>
      <c r="W103" s="158" t="s">
        <v>967</v>
      </c>
      <c r="X103" s="158" t="s">
        <v>185</v>
      </c>
      <c r="Y103" s="158" t="s">
        <v>185</v>
      </c>
      <c r="Z103" s="158"/>
      <c r="AA103" s="158" t="str">
        <f>IF(AWS[[#This Row],[Column14]]="-","", "v")</f>
        <v>v</v>
      </c>
      <c r="AB103" s="158" t="str">
        <f>IF(AWS[[#This Row],[Column8]]="x","1",(IF(OR(AWS[[#This Row],[Column25]]=2,AWS[[#This Row],[Column26]]=2,AWS[[#This Row],[Column27]]=2),"1",(IF(AWS[[#This Row],[Column9]]="x","2",(IF(AWS[[#This Row],[Column10]]="x","3","")))))))</f>
        <v>2</v>
      </c>
      <c r="AC103" s="158" t="str">
        <f>IF(AWS[[#This Row],[Column14]] = "-", AWS[[#This Row],[Column14]], LEFT(AWS[[#This Row],[Column14]], SEARCH(" ", AWS[[#This Row],[Column14]] &amp; " ") - 1))</f>
        <v>3.10</v>
      </c>
    </row>
    <row r="104" spans="1:29" ht="409.5" hidden="1">
      <c r="A10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4" s="137" t="str">
        <f>AWS[[#This Row],[Column30]]</f>
        <v>3.11</v>
      </c>
      <c r="C104" s="137">
        <v>8.5</v>
      </c>
      <c r="D104" s="237" t="s">
        <v>390</v>
      </c>
      <c r="E104" s="162" t="s">
        <v>155</v>
      </c>
      <c r="F104" s="138" t="s">
        <v>556</v>
      </c>
      <c r="G104" s="241" t="s">
        <v>557</v>
      </c>
      <c r="H104" s="204"/>
      <c r="I104" s="164" t="s">
        <v>185</v>
      </c>
      <c r="J104" s="200" t="s">
        <v>185</v>
      </c>
      <c r="K104" s="176" t="s">
        <v>185</v>
      </c>
      <c r="L104" s="176" t="s">
        <v>185</v>
      </c>
      <c r="M104" s="176" t="s">
        <v>185</v>
      </c>
      <c r="N104" s="165" t="s">
        <v>576</v>
      </c>
      <c r="O104" s="197" t="s">
        <v>187</v>
      </c>
      <c r="P104" s="166" t="s">
        <v>577</v>
      </c>
      <c r="Q104" s="166" t="s">
        <v>578</v>
      </c>
      <c r="R104" s="167" t="s">
        <v>579</v>
      </c>
      <c r="S104" s="166" t="s">
        <v>580</v>
      </c>
      <c r="T104" s="166" t="s">
        <v>575</v>
      </c>
      <c r="U104" s="158" t="s">
        <v>162</v>
      </c>
      <c r="V104" s="168" t="s">
        <v>914</v>
      </c>
      <c r="W104" s="158" t="s">
        <v>967</v>
      </c>
      <c r="X104" s="158" t="s">
        <v>185</v>
      </c>
      <c r="Y104" s="158" t="s">
        <v>185</v>
      </c>
      <c r="Z104" s="158"/>
      <c r="AA104" s="158" t="str">
        <f>IF(AWS[[#This Row],[Column14]]="-","", "v")</f>
        <v>v</v>
      </c>
      <c r="AB104" s="158" t="str">
        <f>IF(AWS[[#This Row],[Column8]]="x","1",(IF(OR(AWS[[#This Row],[Column25]]=2,AWS[[#This Row],[Column26]]=2,AWS[[#This Row],[Column27]]=2),"1",(IF(AWS[[#This Row],[Column9]]="x","2",(IF(AWS[[#This Row],[Column10]]="x","3","")))))))</f>
        <v>2</v>
      </c>
      <c r="AC104" s="158" t="str">
        <f>IF(AWS[[#This Row],[Column14]] = "-", AWS[[#This Row],[Column14]], LEFT(AWS[[#This Row],[Column14]], SEARCH(" ", AWS[[#This Row],[Column14]] &amp; " ") - 1))</f>
        <v>3.11</v>
      </c>
    </row>
    <row r="105" spans="1:29" ht="30">
      <c r="A10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5" s="137" t="str">
        <f>AWS[[#This Row],[Column30]]</f>
        <v>-</v>
      </c>
      <c r="C105" s="137">
        <v>8.6</v>
      </c>
      <c r="D105" s="237" t="s">
        <v>390</v>
      </c>
      <c r="E105" s="162" t="s">
        <v>155</v>
      </c>
      <c r="F105" s="138" t="s">
        <v>581</v>
      </c>
      <c r="G105" s="241" t="s">
        <v>582</v>
      </c>
      <c r="H105" s="137"/>
      <c r="I105" s="164" t="s">
        <v>185</v>
      </c>
      <c r="J105" s="200" t="s">
        <v>185</v>
      </c>
      <c r="K105" s="158" t="s">
        <v>185</v>
      </c>
      <c r="L105" s="158" t="s">
        <v>185</v>
      </c>
      <c r="M105" s="158"/>
      <c r="N105" s="165" t="s">
        <v>162</v>
      </c>
      <c r="O105" s="165" t="s">
        <v>162</v>
      </c>
      <c r="P105" s="165" t="s">
        <v>162</v>
      </c>
      <c r="Q105" s="165" t="s">
        <v>162</v>
      </c>
      <c r="R105" s="167"/>
      <c r="S105" s="165" t="s">
        <v>162</v>
      </c>
      <c r="T105" s="165" t="s">
        <v>162</v>
      </c>
      <c r="U105" s="158" t="s">
        <v>162</v>
      </c>
      <c r="V105" s="168"/>
      <c r="W105" s="158" t="s">
        <v>966</v>
      </c>
      <c r="X105" s="158" t="s">
        <v>185</v>
      </c>
      <c r="Y105" s="158" t="s">
        <v>185</v>
      </c>
      <c r="Z105" s="158"/>
      <c r="AA105" s="158" t="str">
        <f>IF(AWS[[#This Row],[Column14]]="-","", "v")</f>
        <v/>
      </c>
      <c r="AB105" s="158" t="str">
        <f>IF(AWS[[#This Row],[Column8]]="x","1",(IF(OR(AWS[[#This Row],[Column25]]=2,AWS[[#This Row],[Column26]]=2,AWS[[#This Row],[Column27]]=2),"1",(IF(AWS[[#This Row],[Column9]]="x","2",(IF(AWS[[#This Row],[Column10]]="x","3","")))))))</f>
        <v>2</v>
      </c>
      <c r="AC105" s="158" t="str">
        <f>IF(AWS[[#This Row],[Column14]] = "-", AWS[[#This Row],[Column14]], LEFT(AWS[[#This Row],[Column14]], SEARCH(" ", AWS[[#This Row],[Column14]] &amp; " ") - 1))</f>
        <v>-</v>
      </c>
    </row>
    <row r="106" spans="1:29" ht="30">
      <c r="A10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6" s="137" t="str">
        <f>AWS[[#This Row],[Column30]]</f>
        <v>-</v>
      </c>
      <c r="C106" s="137">
        <v>8.6999999999999993</v>
      </c>
      <c r="D106" s="237" t="s">
        <v>390</v>
      </c>
      <c r="E106" s="162" t="s">
        <v>155</v>
      </c>
      <c r="F106" s="138" t="s">
        <v>583</v>
      </c>
      <c r="G106" s="241" t="s">
        <v>584</v>
      </c>
      <c r="H106" s="137"/>
      <c r="I106" s="164" t="s">
        <v>185</v>
      </c>
      <c r="J106" s="200" t="s">
        <v>185</v>
      </c>
      <c r="K106" s="158" t="s">
        <v>185</v>
      </c>
      <c r="L106" s="158" t="s">
        <v>185</v>
      </c>
      <c r="M106" s="158"/>
      <c r="N106" s="165" t="s">
        <v>162</v>
      </c>
      <c r="O106" s="165" t="s">
        <v>162</v>
      </c>
      <c r="P106" s="165" t="s">
        <v>162</v>
      </c>
      <c r="Q106" s="165" t="s">
        <v>162</v>
      </c>
      <c r="R106" s="167"/>
      <c r="S106" s="165" t="s">
        <v>162</v>
      </c>
      <c r="T106" s="165" t="s">
        <v>162</v>
      </c>
      <c r="U106" s="158" t="s">
        <v>162</v>
      </c>
      <c r="V106" s="168"/>
      <c r="W106" s="158" t="s">
        <v>966</v>
      </c>
      <c r="X106" s="158" t="s">
        <v>185</v>
      </c>
      <c r="Y106" s="158" t="s">
        <v>185</v>
      </c>
      <c r="Z106" s="158"/>
      <c r="AA106" s="158" t="str">
        <f>IF(AWS[[#This Row],[Column14]]="-","", "v")</f>
        <v/>
      </c>
      <c r="AB106" s="158" t="str">
        <f>IF(AWS[[#This Row],[Column8]]="x","1",(IF(OR(AWS[[#This Row],[Column25]]=2,AWS[[#This Row],[Column26]]=2,AWS[[#This Row],[Column27]]=2),"1",(IF(AWS[[#This Row],[Column9]]="x","2",(IF(AWS[[#This Row],[Column10]]="x","3","")))))))</f>
        <v>2</v>
      </c>
      <c r="AC106" s="158" t="str">
        <f>IF(AWS[[#This Row],[Column14]] = "-", AWS[[#This Row],[Column14]], LEFT(AWS[[#This Row],[Column14]], SEARCH(" ", AWS[[#This Row],[Column14]] &amp; " ") - 1))</f>
        <v>-</v>
      </c>
    </row>
    <row r="107" spans="1:29" ht="33">
      <c r="A10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7" s="137" t="str">
        <f>AWS[[#This Row],[Column30]]</f>
        <v>-</v>
      </c>
      <c r="C107" s="137">
        <v>8.8000000000000007</v>
      </c>
      <c r="D107" s="237" t="s">
        <v>352</v>
      </c>
      <c r="E107" s="162" t="s">
        <v>155</v>
      </c>
      <c r="F107" s="138" t="s">
        <v>585</v>
      </c>
      <c r="G107" s="243" t="s">
        <v>586</v>
      </c>
      <c r="H107" s="137"/>
      <c r="I107" s="164" t="s">
        <v>185</v>
      </c>
      <c r="J107" s="200" t="s">
        <v>185</v>
      </c>
      <c r="K107" s="158" t="s">
        <v>185</v>
      </c>
      <c r="L107" s="158" t="s">
        <v>185</v>
      </c>
      <c r="M107" s="158"/>
      <c r="N107" s="165" t="s">
        <v>162</v>
      </c>
      <c r="O107" s="165" t="s">
        <v>162</v>
      </c>
      <c r="P107" s="165" t="s">
        <v>162</v>
      </c>
      <c r="Q107" s="165" t="s">
        <v>162</v>
      </c>
      <c r="R107" s="167"/>
      <c r="S107" s="165" t="s">
        <v>162</v>
      </c>
      <c r="T107" s="165" t="s">
        <v>162</v>
      </c>
      <c r="U107" s="158" t="s">
        <v>162</v>
      </c>
      <c r="V107" s="168"/>
      <c r="W107" s="158" t="s">
        <v>966</v>
      </c>
      <c r="X107" s="158" t="s">
        <v>185</v>
      </c>
      <c r="Y107" s="158" t="s">
        <v>185</v>
      </c>
      <c r="Z107" s="158"/>
      <c r="AA107" s="158" t="str">
        <f>IF(AWS[[#This Row],[Column14]]="-","", "v")</f>
        <v/>
      </c>
      <c r="AB107" s="158" t="str">
        <f>IF(AWS[[#This Row],[Column8]]="x","1",(IF(OR(AWS[[#This Row],[Column25]]=2,AWS[[#This Row],[Column26]]=2,AWS[[#This Row],[Column27]]=2),"1",(IF(AWS[[#This Row],[Column9]]="x","2",(IF(AWS[[#This Row],[Column10]]="x","3","")))))))</f>
        <v>2</v>
      </c>
      <c r="AC107" s="158" t="str">
        <f>IF(AWS[[#This Row],[Column14]] = "-", AWS[[#This Row],[Column14]], LEFT(AWS[[#This Row],[Column14]], SEARCH(" ", AWS[[#This Row],[Column14]] &amp; " ") - 1))</f>
        <v>-</v>
      </c>
    </row>
    <row r="108" spans="1:29" ht="409.5" hidden="1">
      <c r="A10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8" s="137" t="str">
        <f>AWS[[#This Row],[Column30]]</f>
        <v>3.4</v>
      </c>
      <c r="C108" s="137">
        <v>8.9</v>
      </c>
      <c r="D108" s="237" t="s">
        <v>390</v>
      </c>
      <c r="E108" s="162" t="s">
        <v>155</v>
      </c>
      <c r="F108" s="138" t="s">
        <v>587</v>
      </c>
      <c r="G108" s="243" t="s">
        <v>588</v>
      </c>
      <c r="H108" s="137"/>
      <c r="I108" s="164" t="s">
        <v>185</v>
      </c>
      <c r="J108" s="200" t="s">
        <v>185</v>
      </c>
      <c r="K108" s="176" t="s">
        <v>185</v>
      </c>
      <c r="L108" s="176" t="s">
        <v>185</v>
      </c>
      <c r="M108" s="176" t="s">
        <v>185</v>
      </c>
      <c r="N108" s="165" t="s">
        <v>564</v>
      </c>
      <c r="O108" s="197" t="s">
        <v>198</v>
      </c>
      <c r="P108" s="166" t="s">
        <v>565</v>
      </c>
      <c r="Q108" s="166" t="s">
        <v>566</v>
      </c>
      <c r="R108" s="167" t="s">
        <v>567</v>
      </c>
      <c r="S108" s="166" t="s">
        <v>568</v>
      </c>
      <c r="T108" s="166" t="s">
        <v>569</v>
      </c>
      <c r="U108" s="158" t="s">
        <v>975</v>
      </c>
      <c r="V108" s="168" t="s">
        <v>913</v>
      </c>
      <c r="W108" s="158" t="s">
        <v>967</v>
      </c>
      <c r="X108" s="158" t="s">
        <v>185</v>
      </c>
      <c r="Y108" s="158" t="s">
        <v>185</v>
      </c>
      <c r="Z108" s="158"/>
      <c r="AA108" s="158" t="str">
        <f>IF(AWS[[#This Row],[Column14]]="-","", "v")</f>
        <v>v</v>
      </c>
      <c r="AB108" s="158" t="str">
        <f>IF(AWS[[#This Row],[Column8]]="x","1",(IF(OR(AWS[[#This Row],[Column25]]=2,AWS[[#This Row],[Column26]]=2,AWS[[#This Row],[Column27]]=2),"1",(IF(AWS[[#This Row],[Column9]]="x","2",(IF(AWS[[#This Row],[Column10]]="x","3","")))))))</f>
        <v>2</v>
      </c>
      <c r="AC108" s="158" t="str">
        <f>IF(AWS[[#This Row],[Column14]] = "-", AWS[[#This Row],[Column14]], LEFT(AWS[[#This Row],[Column14]], SEARCH(" ", AWS[[#This Row],[Column14]] &amp; " ") - 1))</f>
        <v>3.4</v>
      </c>
    </row>
    <row r="109" spans="1:29" ht="15.75" hidden="1">
      <c r="A10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NOT(ISBLANK(K109)),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NOT(ISBLANK(L109)),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NOT(ISBLANK(M109)),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09" s="137" t="str">
        <f>AWS[[#This Row],[Column30]]</f>
        <v>-</v>
      </c>
      <c r="C109" s="140">
        <v>8.1</v>
      </c>
      <c r="D109" s="237" t="s">
        <v>390</v>
      </c>
      <c r="E109" s="162" t="s">
        <v>156</v>
      </c>
      <c r="F109" s="138" t="s">
        <v>589</v>
      </c>
      <c r="G109" s="241" t="s">
        <v>590</v>
      </c>
      <c r="H109" s="137"/>
      <c r="I109" s="164" t="s">
        <v>185</v>
      </c>
      <c r="J109" s="200" t="s">
        <v>185</v>
      </c>
      <c r="K109" s="176" t="s">
        <v>185</v>
      </c>
      <c r="L109" s="176" t="s">
        <v>185</v>
      </c>
      <c r="M109" s="176" t="s">
        <v>185</v>
      </c>
      <c r="N109" s="165" t="s">
        <v>162</v>
      </c>
      <c r="O109" s="165" t="s">
        <v>162</v>
      </c>
      <c r="P109" s="165" t="s">
        <v>162</v>
      </c>
      <c r="Q109" s="165" t="s">
        <v>162</v>
      </c>
      <c r="R109" s="167"/>
      <c r="S109" s="165" t="s">
        <v>162</v>
      </c>
      <c r="T109" s="165" t="s">
        <v>162</v>
      </c>
      <c r="U109" s="158" t="s">
        <v>162</v>
      </c>
      <c r="V109" s="168"/>
      <c r="W109" s="158" t="s">
        <v>966</v>
      </c>
      <c r="X109" s="158" t="s">
        <v>185</v>
      </c>
      <c r="Y109" s="158" t="s">
        <v>185</v>
      </c>
      <c r="Z109" s="158"/>
      <c r="AA109" s="158" t="str">
        <f>IF(AWS[[#This Row],[Column14]]="-","", "v")</f>
        <v/>
      </c>
      <c r="AB109" s="158" t="str">
        <f>IF(AWS[[#This Row],[Column8]]="x","1",(IF(OR(AWS[[#This Row],[Column25]]=2,AWS[[#This Row],[Column26]]=2,AWS[[#This Row],[Column27]]=2),"1",(IF(AWS[[#This Row],[Column9]]="x","2",(IF(AWS[[#This Row],[Column10]]="x","3","")))))))</f>
        <v>2</v>
      </c>
      <c r="AC109" s="158" t="str">
        <f>IF(AWS[[#This Row],[Column14]] = "-", AWS[[#This Row],[Column14]], LEFT(AWS[[#This Row],[Column14]], SEARCH(" ", AWS[[#This Row],[Column14]] &amp; " ") - 1))</f>
        <v>-</v>
      </c>
    </row>
    <row r="110" spans="1:29" ht="313.5" hidden="1">
      <c r="A11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0" s="137" t="str">
        <f>AWS[[#This Row],[Column30]]</f>
        <v>3.2</v>
      </c>
      <c r="C110" s="137">
        <v>8.11</v>
      </c>
      <c r="D110" s="237" t="s">
        <v>390</v>
      </c>
      <c r="E110" s="162" t="s">
        <v>155</v>
      </c>
      <c r="F110" s="138" t="s">
        <v>591</v>
      </c>
      <c r="G110" s="241" t="s">
        <v>592</v>
      </c>
      <c r="H110" s="137"/>
      <c r="I110" s="164" t="s">
        <v>185</v>
      </c>
      <c r="J110" s="200" t="s">
        <v>185</v>
      </c>
      <c r="K110" s="176" t="s">
        <v>185</v>
      </c>
      <c r="L110" s="176" t="s">
        <v>185</v>
      </c>
      <c r="M110" s="176" t="s">
        <v>185</v>
      </c>
      <c r="N110" s="165" t="s">
        <v>593</v>
      </c>
      <c r="O110" s="197" t="s">
        <v>187</v>
      </c>
      <c r="P110" s="166" t="s">
        <v>594</v>
      </c>
      <c r="Q110" s="166" t="s">
        <v>595</v>
      </c>
      <c r="R110" s="167" t="s">
        <v>596</v>
      </c>
      <c r="S110" s="166" t="s">
        <v>597</v>
      </c>
      <c r="T110" s="166" t="s">
        <v>598</v>
      </c>
      <c r="U110" s="158" t="s">
        <v>975</v>
      </c>
      <c r="V110" s="168" t="s">
        <v>915</v>
      </c>
      <c r="W110" s="158" t="s">
        <v>967</v>
      </c>
      <c r="X110" s="158" t="s">
        <v>185</v>
      </c>
      <c r="Y110" s="158" t="s">
        <v>185</v>
      </c>
      <c r="Z110" s="158"/>
      <c r="AA110" s="158" t="str">
        <f>IF(AWS[[#This Row],[Column14]]="-","", "v")</f>
        <v>v</v>
      </c>
      <c r="AB110" s="158" t="str">
        <f>IF(AWS[[#This Row],[Column8]]="x","1",(IF(OR(AWS[[#This Row],[Column25]]=2,AWS[[#This Row],[Column26]]=2,AWS[[#This Row],[Column27]]=2),"1",(IF(AWS[[#This Row],[Column9]]="x","2",(IF(AWS[[#This Row],[Column10]]="x","3","")))))))</f>
        <v>2</v>
      </c>
      <c r="AC110" s="158" t="str">
        <f>IF(AWS[[#This Row],[Column14]] = "-", AWS[[#This Row],[Column14]], LEFT(AWS[[#This Row],[Column14]], SEARCH(" ", AWS[[#This Row],[Column14]] &amp; " ") - 1))</f>
        <v>3.2</v>
      </c>
    </row>
    <row r="111" spans="1:29" ht="409.5" hidden="1">
      <c r="A11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1" s="137" t="str">
        <f>AWS[[#This Row],[Column30]]</f>
        <v>4.1</v>
      </c>
      <c r="C111" s="137">
        <v>8.11</v>
      </c>
      <c r="D111" s="237" t="s">
        <v>390</v>
      </c>
      <c r="E111" s="162" t="s">
        <v>155</v>
      </c>
      <c r="F111" s="138" t="s">
        <v>591</v>
      </c>
      <c r="G111" s="241" t="s">
        <v>592</v>
      </c>
      <c r="H111" s="137"/>
      <c r="I111" s="164" t="s">
        <v>185</v>
      </c>
      <c r="J111" s="200" t="s">
        <v>185</v>
      </c>
      <c r="K111" s="176" t="s">
        <v>185</v>
      </c>
      <c r="L111" s="176" t="s">
        <v>185</v>
      </c>
      <c r="M111" s="176" t="s">
        <v>185</v>
      </c>
      <c r="N111" s="165" t="s">
        <v>599</v>
      </c>
      <c r="O111" s="197" t="s">
        <v>187</v>
      </c>
      <c r="P111" s="166" t="s">
        <v>600</v>
      </c>
      <c r="Q111" s="166" t="s">
        <v>601</v>
      </c>
      <c r="R111" s="167" t="s">
        <v>602</v>
      </c>
      <c r="S111" s="166" t="s">
        <v>603</v>
      </c>
      <c r="T111" s="166" t="s">
        <v>604</v>
      </c>
      <c r="U111" s="158" t="s">
        <v>975</v>
      </c>
      <c r="V111" s="168" t="s">
        <v>915</v>
      </c>
      <c r="W111" s="158" t="s">
        <v>967</v>
      </c>
      <c r="X111" s="158" t="s">
        <v>185</v>
      </c>
      <c r="Y111" s="158" t="s">
        <v>185</v>
      </c>
      <c r="Z111" s="158"/>
      <c r="AA111" s="158" t="str">
        <f>IF(AWS[[#This Row],[Column14]]="-","", "v")</f>
        <v>v</v>
      </c>
      <c r="AB111" s="158" t="str">
        <f>IF(AWS[[#This Row],[Column8]]="x","1",(IF(OR(AWS[[#This Row],[Column25]]=2,AWS[[#This Row],[Column26]]=2,AWS[[#This Row],[Column27]]=2),"1",(IF(AWS[[#This Row],[Column9]]="x","2",(IF(AWS[[#This Row],[Column10]]="x","3","")))))))</f>
        <v>2</v>
      </c>
      <c r="AC111" s="158" t="str">
        <f>IF(AWS[[#This Row],[Column14]] = "-", AWS[[#This Row],[Column14]], LEFT(AWS[[#This Row],[Column14]], SEARCH(" ", AWS[[#This Row],[Column14]] &amp; " ") - 1))</f>
        <v>4.1</v>
      </c>
    </row>
    <row r="112" spans="1:29" ht="409.5" hidden="1">
      <c r="A11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2" s="137" t="str">
        <f>AWS[[#This Row],[Column30]]</f>
        <v>4.2</v>
      </c>
      <c r="C112" s="137">
        <v>8.11</v>
      </c>
      <c r="D112" s="237" t="s">
        <v>390</v>
      </c>
      <c r="E112" s="162" t="s">
        <v>155</v>
      </c>
      <c r="F112" s="138" t="s">
        <v>591</v>
      </c>
      <c r="G112" s="241" t="s">
        <v>592</v>
      </c>
      <c r="H112" s="137"/>
      <c r="I112" s="164" t="s">
        <v>185</v>
      </c>
      <c r="J112" s="200" t="s">
        <v>185</v>
      </c>
      <c r="K112" s="176" t="s">
        <v>185</v>
      </c>
      <c r="L112" s="176" t="s">
        <v>185</v>
      </c>
      <c r="M112" s="176" t="s">
        <v>185</v>
      </c>
      <c r="N112" s="165" t="s">
        <v>605</v>
      </c>
      <c r="O112" s="197" t="s">
        <v>198</v>
      </c>
      <c r="P112" s="166" t="s">
        <v>606</v>
      </c>
      <c r="Q112" s="166" t="s">
        <v>607</v>
      </c>
      <c r="R112" s="167" t="s">
        <v>608</v>
      </c>
      <c r="S112" s="166" t="s">
        <v>609</v>
      </c>
      <c r="T112" s="166" t="s">
        <v>610</v>
      </c>
      <c r="U112" s="158" t="s">
        <v>162</v>
      </c>
      <c r="V112" s="168" t="s">
        <v>916</v>
      </c>
      <c r="W112" s="158" t="s">
        <v>967</v>
      </c>
      <c r="X112" s="158" t="s">
        <v>185</v>
      </c>
      <c r="Y112" s="158" t="s">
        <v>185</v>
      </c>
      <c r="Z112" s="158"/>
      <c r="AA112" s="158" t="str">
        <f>IF(AWS[[#This Row],[Column14]]="-","", "v")</f>
        <v>v</v>
      </c>
      <c r="AB112" s="158" t="str">
        <f>IF(AWS[[#This Row],[Column8]]="x","1",(IF(OR(AWS[[#This Row],[Column25]]=2,AWS[[#This Row],[Column26]]=2,AWS[[#This Row],[Column27]]=2),"1",(IF(AWS[[#This Row],[Column9]]="x","2",(IF(AWS[[#This Row],[Column10]]="x","3","")))))))</f>
        <v>2</v>
      </c>
      <c r="AC112" s="158" t="str">
        <f>IF(AWS[[#This Row],[Column14]] = "-", AWS[[#This Row],[Column14]], LEFT(AWS[[#This Row],[Column14]], SEARCH(" ", AWS[[#This Row],[Column14]] &amp; " ") - 1))</f>
        <v>4.2</v>
      </c>
    </row>
    <row r="113" spans="1:29" ht="409.5" hidden="1">
      <c r="A11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3" s="137" t="str">
        <f>AWS[[#This Row],[Column30]]</f>
        <v>4.3</v>
      </c>
      <c r="C113" s="137">
        <v>8.11</v>
      </c>
      <c r="D113" s="237" t="s">
        <v>390</v>
      </c>
      <c r="E113" s="162" t="s">
        <v>155</v>
      </c>
      <c r="F113" s="138" t="s">
        <v>591</v>
      </c>
      <c r="G113" s="241" t="s">
        <v>592</v>
      </c>
      <c r="H113" s="137"/>
      <c r="I113" s="164" t="s">
        <v>185</v>
      </c>
      <c r="J113" s="200" t="s">
        <v>185</v>
      </c>
      <c r="K113" s="176" t="s">
        <v>185</v>
      </c>
      <c r="L113" s="176" t="s">
        <v>185</v>
      </c>
      <c r="M113" s="176" t="s">
        <v>185</v>
      </c>
      <c r="N113" s="165" t="s">
        <v>611</v>
      </c>
      <c r="O113" s="197" t="s">
        <v>198</v>
      </c>
      <c r="P113" s="166" t="s">
        <v>612</v>
      </c>
      <c r="Q113" s="166" t="s">
        <v>613</v>
      </c>
      <c r="R113" s="167" t="s">
        <v>614</v>
      </c>
      <c r="S113" s="166" t="s">
        <v>615</v>
      </c>
      <c r="T113" s="166" t="s">
        <v>616</v>
      </c>
      <c r="U113" s="158" t="s">
        <v>975</v>
      </c>
      <c r="V113" s="168" t="s">
        <v>916</v>
      </c>
      <c r="W113" s="158" t="s">
        <v>967</v>
      </c>
      <c r="X113" s="158" t="s">
        <v>185</v>
      </c>
      <c r="Y113" s="158" t="s">
        <v>185</v>
      </c>
      <c r="Z113" s="158"/>
      <c r="AA113" s="158" t="str">
        <f>IF(AWS[[#This Row],[Column14]]="-","", "v")</f>
        <v>v</v>
      </c>
      <c r="AB113" s="158" t="str">
        <f>IF(AWS[[#This Row],[Column8]]="x","1",(IF(OR(AWS[[#This Row],[Column25]]=2,AWS[[#This Row],[Column26]]=2,AWS[[#This Row],[Column27]]=2),"1",(IF(AWS[[#This Row],[Column9]]="x","2",(IF(AWS[[#This Row],[Column10]]="x","3","")))))))</f>
        <v>2</v>
      </c>
      <c r="AC113" s="158" t="str">
        <f>IF(AWS[[#This Row],[Column14]] = "-", AWS[[#This Row],[Column14]], LEFT(AWS[[#This Row],[Column14]], SEARCH(" ", AWS[[#This Row],[Column14]] &amp; " ") - 1))</f>
        <v>4.3</v>
      </c>
    </row>
    <row r="114" spans="1:29" ht="409.5" hidden="1">
      <c r="A11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4" s="137" t="str">
        <f>AWS[[#This Row],[Column30]]</f>
        <v>4.4</v>
      </c>
      <c r="C114" s="137">
        <v>8.11</v>
      </c>
      <c r="D114" s="237" t="s">
        <v>390</v>
      </c>
      <c r="E114" s="162" t="s">
        <v>155</v>
      </c>
      <c r="F114" s="138" t="s">
        <v>591</v>
      </c>
      <c r="G114" s="241" t="s">
        <v>592</v>
      </c>
      <c r="H114" s="137"/>
      <c r="I114" s="164" t="s">
        <v>185</v>
      </c>
      <c r="J114" s="200" t="s">
        <v>185</v>
      </c>
      <c r="K114" s="176" t="s">
        <v>185</v>
      </c>
      <c r="L114" s="176" t="s">
        <v>185</v>
      </c>
      <c r="M114" s="176" t="s">
        <v>185</v>
      </c>
      <c r="N114" s="165" t="s">
        <v>617</v>
      </c>
      <c r="O114" s="197" t="s">
        <v>198</v>
      </c>
      <c r="P114" s="166" t="s">
        <v>618</v>
      </c>
      <c r="Q114" s="166" t="s">
        <v>619</v>
      </c>
      <c r="R114" s="167" t="s">
        <v>620</v>
      </c>
      <c r="S114" s="166" t="s">
        <v>621</v>
      </c>
      <c r="T114" s="166" t="s">
        <v>622</v>
      </c>
      <c r="U114" s="158" t="s">
        <v>162</v>
      </c>
      <c r="V114" s="168" t="s">
        <v>917</v>
      </c>
      <c r="W114" s="158" t="s">
        <v>967</v>
      </c>
      <c r="X114" s="158" t="s">
        <v>185</v>
      </c>
      <c r="Y114" s="158" t="s">
        <v>185</v>
      </c>
      <c r="Z114" s="158"/>
      <c r="AA114" s="158" t="str">
        <f>IF(AWS[[#This Row],[Column14]]="-","", "v")</f>
        <v>v</v>
      </c>
      <c r="AB114" s="158" t="str">
        <f>IF(AWS[[#This Row],[Column8]]="x","1",(IF(OR(AWS[[#This Row],[Column25]]=2,AWS[[#This Row],[Column26]]=2,AWS[[#This Row],[Column27]]=2),"1",(IF(AWS[[#This Row],[Column9]]="x","2",(IF(AWS[[#This Row],[Column10]]="x","3","")))))))</f>
        <v>2</v>
      </c>
      <c r="AC114" s="158" t="str">
        <f>IF(AWS[[#This Row],[Column14]] = "-", AWS[[#This Row],[Column14]], LEFT(AWS[[#This Row],[Column14]], SEARCH(" ", AWS[[#This Row],[Column14]] &amp; " ") - 1))</f>
        <v>4.4</v>
      </c>
    </row>
    <row r="115" spans="1:29" ht="409.5" hidden="1">
      <c r="A11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5" s="137" t="str">
        <f>AWS[[#This Row],[Column30]]</f>
        <v>4.5</v>
      </c>
      <c r="C115" s="137">
        <v>8.11</v>
      </c>
      <c r="D115" s="237" t="s">
        <v>390</v>
      </c>
      <c r="E115" s="162" t="s">
        <v>155</v>
      </c>
      <c r="F115" s="138" t="s">
        <v>591</v>
      </c>
      <c r="G115" s="241" t="s">
        <v>592</v>
      </c>
      <c r="H115" s="137"/>
      <c r="I115" s="164" t="s">
        <v>185</v>
      </c>
      <c r="J115" s="200" t="s">
        <v>185</v>
      </c>
      <c r="K115" s="176" t="s">
        <v>185</v>
      </c>
      <c r="L115" s="176" t="s">
        <v>185</v>
      </c>
      <c r="M115" s="176" t="s">
        <v>185</v>
      </c>
      <c r="N115" s="165" t="s">
        <v>623</v>
      </c>
      <c r="O115" s="197" t="s">
        <v>198</v>
      </c>
      <c r="P115" s="166" t="s">
        <v>624</v>
      </c>
      <c r="Q115" s="166" t="s">
        <v>625</v>
      </c>
      <c r="R115" s="167" t="s">
        <v>626</v>
      </c>
      <c r="S115" s="166" t="s">
        <v>627</v>
      </c>
      <c r="T115" s="166" t="s">
        <v>628</v>
      </c>
      <c r="U115" s="158" t="s">
        <v>975</v>
      </c>
      <c r="V115" s="168" t="s">
        <v>919</v>
      </c>
      <c r="W115" s="158" t="s">
        <v>967</v>
      </c>
      <c r="X115" s="158" t="s">
        <v>185</v>
      </c>
      <c r="Y115" s="158" t="s">
        <v>185</v>
      </c>
      <c r="Z115" s="158"/>
      <c r="AA115" s="158" t="str">
        <f>IF(AWS[[#This Row],[Column14]]="-","", "v")</f>
        <v>v</v>
      </c>
      <c r="AB115" s="158" t="str">
        <f>IF(AWS[[#This Row],[Column8]]="x","1",(IF(OR(AWS[[#This Row],[Column25]]=2,AWS[[#This Row],[Column26]]=2,AWS[[#This Row],[Column27]]=2),"1",(IF(AWS[[#This Row],[Column9]]="x","2",(IF(AWS[[#This Row],[Column10]]="x","3","")))))))</f>
        <v>2</v>
      </c>
      <c r="AC115" s="158" t="str">
        <f>IF(AWS[[#This Row],[Column14]] = "-", AWS[[#This Row],[Column14]], LEFT(AWS[[#This Row],[Column14]], SEARCH(" ", AWS[[#This Row],[Column14]] &amp; " ") - 1))</f>
        <v>4.5</v>
      </c>
    </row>
    <row r="116" spans="1:29" ht="409.5" hidden="1">
      <c r="A11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6" s="137" t="str">
        <f>AWS[[#This Row],[Column30]]</f>
        <v>4.6</v>
      </c>
      <c r="C116" s="137">
        <v>8.11</v>
      </c>
      <c r="D116" s="237" t="s">
        <v>390</v>
      </c>
      <c r="E116" s="162" t="s">
        <v>155</v>
      </c>
      <c r="F116" s="138" t="s">
        <v>591</v>
      </c>
      <c r="G116" s="241" t="s">
        <v>592</v>
      </c>
      <c r="H116" s="137"/>
      <c r="I116" s="164" t="s">
        <v>185</v>
      </c>
      <c r="J116" s="200" t="s">
        <v>185</v>
      </c>
      <c r="K116" s="176" t="s">
        <v>185</v>
      </c>
      <c r="L116" s="176" t="s">
        <v>185</v>
      </c>
      <c r="M116" s="176" t="s">
        <v>185</v>
      </c>
      <c r="N116" s="165" t="s">
        <v>629</v>
      </c>
      <c r="O116" s="197" t="s">
        <v>187</v>
      </c>
      <c r="P116" s="166" t="s">
        <v>630</v>
      </c>
      <c r="Q116" s="166" t="s">
        <v>631</v>
      </c>
      <c r="R116" s="167" t="s">
        <v>632</v>
      </c>
      <c r="S116" s="166" t="s">
        <v>633</v>
      </c>
      <c r="T116" s="166" t="s">
        <v>634</v>
      </c>
      <c r="U116" s="158" t="s">
        <v>975</v>
      </c>
      <c r="V116" s="168" t="s">
        <v>918</v>
      </c>
      <c r="W116" s="158" t="s">
        <v>967</v>
      </c>
      <c r="X116" s="158" t="s">
        <v>185</v>
      </c>
      <c r="Y116" s="158" t="s">
        <v>185</v>
      </c>
      <c r="Z116" s="158"/>
      <c r="AA116" s="158" t="str">
        <f>IF(AWS[[#This Row],[Column14]]="-","", "v")</f>
        <v>v</v>
      </c>
      <c r="AB116" s="158" t="str">
        <f>IF(AWS[[#This Row],[Column8]]="x","1",(IF(OR(AWS[[#This Row],[Column25]]=2,AWS[[#This Row],[Column26]]=2,AWS[[#This Row],[Column27]]=2),"1",(IF(AWS[[#This Row],[Column9]]="x","2",(IF(AWS[[#This Row],[Column10]]="x","3","")))))))</f>
        <v>2</v>
      </c>
      <c r="AC116" s="158" t="str">
        <f>IF(AWS[[#This Row],[Column14]] = "-", AWS[[#This Row],[Column14]], LEFT(AWS[[#This Row],[Column14]], SEARCH(" ", AWS[[#This Row],[Column14]] &amp; " ") - 1))</f>
        <v>4.6</v>
      </c>
    </row>
    <row r="117" spans="1:29" ht="409.5" hidden="1">
      <c r="A11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7" s="137" t="str">
        <f>AWS[[#This Row],[Column30]]</f>
        <v>4.7</v>
      </c>
      <c r="C117" s="137">
        <v>8.11</v>
      </c>
      <c r="D117" s="237" t="s">
        <v>390</v>
      </c>
      <c r="E117" s="162" t="s">
        <v>155</v>
      </c>
      <c r="F117" s="138" t="s">
        <v>591</v>
      </c>
      <c r="G117" s="241" t="s">
        <v>592</v>
      </c>
      <c r="H117" s="137"/>
      <c r="I117" s="164" t="s">
        <v>185</v>
      </c>
      <c r="J117" s="200" t="s">
        <v>185</v>
      </c>
      <c r="K117" s="176" t="s">
        <v>185</v>
      </c>
      <c r="L117" s="176" t="s">
        <v>185</v>
      </c>
      <c r="M117" s="176" t="s">
        <v>185</v>
      </c>
      <c r="N117" s="165" t="s">
        <v>635</v>
      </c>
      <c r="O117" s="197" t="s">
        <v>187</v>
      </c>
      <c r="P117" s="166" t="s">
        <v>636</v>
      </c>
      <c r="Q117" s="166" t="s">
        <v>637</v>
      </c>
      <c r="R117" s="167" t="s">
        <v>638</v>
      </c>
      <c r="S117" s="166" t="s">
        <v>639</v>
      </c>
      <c r="T117" s="166" t="s">
        <v>640</v>
      </c>
      <c r="U117" s="158" t="s">
        <v>975</v>
      </c>
      <c r="V117" s="168" t="s">
        <v>918</v>
      </c>
      <c r="W117" s="158" t="s">
        <v>967</v>
      </c>
      <c r="X117" s="158" t="s">
        <v>185</v>
      </c>
      <c r="Y117" s="158" t="s">
        <v>185</v>
      </c>
      <c r="Z117" s="158"/>
      <c r="AA117" s="158" t="str">
        <f>IF(AWS[[#This Row],[Column14]]="-","", "v")</f>
        <v>v</v>
      </c>
      <c r="AB117" s="158" t="str">
        <f>IF(AWS[[#This Row],[Column8]]="x","1",(IF(OR(AWS[[#This Row],[Column25]]=2,AWS[[#This Row],[Column26]]=2,AWS[[#This Row],[Column27]]=2),"1",(IF(AWS[[#This Row],[Column9]]="x","2",(IF(AWS[[#This Row],[Column10]]="x","3","")))))))</f>
        <v>2</v>
      </c>
      <c r="AC117" s="158" t="str">
        <f>IF(AWS[[#This Row],[Column14]] = "-", AWS[[#This Row],[Column14]], LEFT(AWS[[#This Row],[Column14]], SEARCH(" ", AWS[[#This Row],[Column14]] &amp; " ") - 1))</f>
        <v>4.7</v>
      </c>
    </row>
    <row r="118" spans="1:29" ht="409.5" hidden="1">
      <c r="A11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8" s="137" t="str">
        <f>AWS[[#This Row],[Column30]]</f>
        <v>4.8</v>
      </c>
      <c r="C118" s="137">
        <v>8.11</v>
      </c>
      <c r="D118" s="237" t="s">
        <v>390</v>
      </c>
      <c r="E118" s="162" t="s">
        <v>155</v>
      </c>
      <c r="F118" s="138" t="s">
        <v>591</v>
      </c>
      <c r="G118" s="241" t="s">
        <v>592</v>
      </c>
      <c r="H118" s="137"/>
      <c r="I118" s="164" t="s">
        <v>185</v>
      </c>
      <c r="J118" s="200" t="s">
        <v>185</v>
      </c>
      <c r="K118" s="176" t="s">
        <v>185</v>
      </c>
      <c r="L118" s="176" t="s">
        <v>185</v>
      </c>
      <c r="M118" s="176" t="s">
        <v>185</v>
      </c>
      <c r="N118" s="165" t="s">
        <v>641</v>
      </c>
      <c r="O118" s="197" t="s">
        <v>198</v>
      </c>
      <c r="P118" s="166" t="s">
        <v>642</v>
      </c>
      <c r="Q118" s="166" t="s">
        <v>643</v>
      </c>
      <c r="R118" s="167" t="s">
        <v>644</v>
      </c>
      <c r="S118" s="166" t="s">
        <v>645</v>
      </c>
      <c r="T118" s="166" t="s">
        <v>646</v>
      </c>
      <c r="U118" s="158" t="s">
        <v>975</v>
      </c>
      <c r="V118" s="168" t="s">
        <v>918</v>
      </c>
      <c r="W118" s="158" t="s">
        <v>967</v>
      </c>
      <c r="X118" s="158" t="s">
        <v>185</v>
      </c>
      <c r="Y118" s="158" t="s">
        <v>185</v>
      </c>
      <c r="Z118" s="158"/>
      <c r="AA118" s="158" t="str">
        <f>IF(AWS[[#This Row],[Column14]]="-","", "v")</f>
        <v>v</v>
      </c>
      <c r="AB118" s="158" t="str">
        <f>IF(AWS[[#This Row],[Column8]]="x","1",(IF(OR(AWS[[#This Row],[Column25]]=2,AWS[[#This Row],[Column26]]=2,AWS[[#This Row],[Column27]]=2),"1",(IF(AWS[[#This Row],[Column9]]="x","2",(IF(AWS[[#This Row],[Column10]]="x","3","")))))))</f>
        <v>2</v>
      </c>
      <c r="AC118" s="158" t="str">
        <f>IF(AWS[[#This Row],[Column14]] = "-", AWS[[#This Row],[Column14]], LEFT(AWS[[#This Row],[Column14]], SEARCH(" ", AWS[[#This Row],[Column14]] &amp; " ") - 1))</f>
        <v>4.8</v>
      </c>
    </row>
    <row r="119" spans="1:29" ht="409.5" hidden="1">
      <c r="A11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NOT(ISBLANK(K119)),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NOT(ISBLANK(L119)),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NOT(ISBLANK(M119)),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19" s="137" t="str">
        <f>AWS[[#This Row],[Column30]]</f>
        <v>4.9</v>
      </c>
      <c r="C119" s="137">
        <v>8.11</v>
      </c>
      <c r="D119" s="237" t="s">
        <v>390</v>
      </c>
      <c r="E119" s="162" t="s">
        <v>155</v>
      </c>
      <c r="F119" s="138" t="s">
        <v>591</v>
      </c>
      <c r="G119" s="241" t="s">
        <v>592</v>
      </c>
      <c r="H119" s="137"/>
      <c r="I119" s="164" t="s">
        <v>185</v>
      </c>
      <c r="J119" s="200" t="s">
        <v>185</v>
      </c>
      <c r="K119" s="176" t="s">
        <v>185</v>
      </c>
      <c r="L119" s="176" t="s">
        <v>185</v>
      </c>
      <c r="M119" s="176" t="s">
        <v>185</v>
      </c>
      <c r="N119" s="165" t="s">
        <v>647</v>
      </c>
      <c r="O119" s="197" t="s">
        <v>187</v>
      </c>
      <c r="P119" s="166" t="s">
        <v>648</v>
      </c>
      <c r="Q119" s="166" t="s">
        <v>649</v>
      </c>
      <c r="R119" s="167" t="s">
        <v>650</v>
      </c>
      <c r="S119" s="166" t="s">
        <v>651</v>
      </c>
      <c r="T119" s="166" t="s">
        <v>652</v>
      </c>
      <c r="U119" s="158" t="s">
        <v>975</v>
      </c>
      <c r="V119" s="168" t="s">
        <v>920</v>
      </c>
      <c r="W119" s="158" t="s">
        <v>967</v>
      </c>
      <c r="X119" s="158" t="s">
        <v>185</v>
      </c>
      <c r="Y119" s="158" t="s">
        <v>185</v>
      </c>
      <c r="Z119" s="158"/>
      <c r="AA119" s="158" t="str">
        <f>IF(AWS[[#This Row],[Column14]]="-","", "v")</f>
        <v>v</v>
      </c>
      <c r="AB119" s="158" t="str">
        <f>IF(AWS[[#This Row],[Column8]]="x","1",(IF(OR(AWS[[#This Row],[Column25]]=2,AWS[[#This Row],[Column26]]=2,AWS[[#This Row],[Column27]]=2),"1",(IF(AWS[[#This Row],[Column9]]="x","2",(IF(AWS[[#This Row],[Column10]]="x","3","")))))))</f>
        <v>2</v>
      </c>
      <c r="AC119" s="158" t="str">
        <f>IF(AWS[[#This Row],[Column14]] = "-", AWS[[#This Row],[Column14]], LEFT(AWS[[#This Row],[Column14]], SEARCH(" ", AWS[[#This Row],[Column14]] &amp; " ") - 1))</f>
        <v>4.9</v>
      </c>
    </row>
    <row r="120" spans="1:29" ht="409.5" hidden="1">
      <c r="A12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0" s="137" t="str">
        <f>AWS[[#This Row],[Column30]]</f>
        <v>4.10</v>
      </c>
      <c r="C120" s="137">
        <v>8.11</v>
      </c>
      <c r="D120" s="237" t="s">
        <v>390</v>
      </c>
      <c r="E120" s="162" t="s">
        <v>155</v>
      </c>
      <c r="F120" s="138" t="s">
        <v>591</v>
      </c>
      <c r="G120" s="241" t="s">
        <v>592</v>
      </c>
      <c r="H120" s="137"/>
      <c r="I120" s="164" t="s">
        <v>185</v>
      </c>
      <c r="J120" s="200" t="s">
        <v>185</v>
      </c>
      <c r="K120" s="176" t="s">
        <v>185</v>
      </c>
      <c r="L120" s="176" t="s">
        <v>185</v>
      </c>
      <c r="M120" s="176" t="s">
        <v>185</v>
      </c>
      <c r="N120" s="165" t="s">
        <v>246</v>
      </c>
      <c r="O120" s="197" t="s">
        <v>187</v>
      </c>
      <c r="P120" s="166" t="s">
        <v>247</v>
      </c>
      <c r="Q120" s="166" t="s">
        <v>248</v>
      </c>
      <c r="R120" s="167" t="s">
        <v>264</v>
      </c>
      <c r="S120" s="166" t="s">
        <v>265</v>
      </c>
      <c r="T120" s="166" t="s">
        <v>251</v>
      </c>
      <c r="U120" s="158" t="s">
        <v>162</v>
      </c>
      <c r="V120" s="168" t="s">
        <v>921</v>
      </c>
      <c r="W120" s="158" t="s">
        <v>967</v>
      </c>
      <c r="X120" s="158" t="s">
        <v>185</v>
      </c>
      <c r="Y120" s="158" t="s">
        <v>185</v>
      </c>
      <c r="Z120" s="158"/>
      <c r="AA120" s="158" t="str">
        <f>IF(AWS[[#This Row],[Column14]]="-","", "v")</f>
        <v>v</v>
      </c>
      <c r="AB120" s="158" t="str">
        <f>IF(AWS[[#This Row],[Column8]]="x","1",(IF(OR(AWS[[#This Row],[Column25]]=2,AWS[[#This Row],[Column26]]=2,AWS[[#This Row],[Column27]]=2),"1",(IF(AWS[[#This Row],[Column9]]="x","2",(IF(AWS[[#This Row],[Column10]]="x","3","")))))))</f>
        <v>2</v>
      </c>
      <c r="AC120" s="158" t="str">
        <f>IF(AWS[[#This Row],[Column14]] = "-", AWS[[#This Row],[Column14]], LEFT(AWS[[#This Row],[Column14]], SEARCH(" ", AWS[[#This Row],[Column14]] &amp; " ") - 1))</f>
        <v>4.10</v>
      </c>
    </row>
    <row r="121" spans="1:29" ht="409.5" hidden="1">
      <c r="A12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1" s="137" t="str">
        <f>AWS[[#This Row],[Column30]]</f>
        <v>4.11</v>
      </c>
      <c r="C121" s="137">
        <v>8.11</v>
      </c>
      <c r="D121" s="237" t="s">
        <v>390</v>
      </c>
      <c r="E121" s="162" t="s">
        <v>155</v>
      </c>
      <c r="F121" s="138" t="s">
        <v>591</v>
      </c>
      <c r="G121" s="241" t="s">
        <v>592</v>
      </c>
      <c r="H121" s="137"/>
      <c r="I121" s="164" t="s">
        <v>185</v>
      </c>
      <c r="J121" s="200" t="s">
        <v>185</v>
      </c>
      <c r="K121" s="176" t="s">
        <v>185</v>
      </c>
      <c r="L121" s="176" t="s">
        <v>185</v>
      </c>
      <c r="M121" s="176" t="s">
        <v>185</v>
      </c>
      <c r="N121" s="165" t="s">
        <v>653</v>
      </c>
      <c r="O121" s="197" t="s">
        <v>187</v>
      </c>
      <c r="P121" s="166" t="s">
        <v>654</v>
      </c>
      <c r="Q121" s="166" t="s">
        <v>655</v>
      </c>
      <c r="R121" s="167" t="s">
        <v>656</v>
      </c>
      <c r="S121" s="166"/>
      <c r="T121" s="166"/>
      <c r="U121" s="158" t="s">
        <v>162</v>
      </c>
      <c r="V121" s="168" t="s">
        <v>921</v>
      </c>
      <c r="W121" s="158" t="s">
        <v>967</v>
      </c>
      <c r="X121" s="158" t="s">
        <v>185</v>
      </c>
      <c r="Y121" s="158" t="s">
        <v>185</v>
      </c>
      <c r="Z121" s="158"/>
      <c r="AA121" s="158" t="str">
        <f>IF(AWS[[#This Row],[Column14]]="-","", "v")</f>
        <v>v</v>
      </c>
      <c r="AB121" s="158" t="str">
        <f>IF(AWS[[#This Row],[Column8]]="x","1",(IF(OR(AWS[[#This Row],[Column25]]=2,AWS[[#This Row],[Column26]]=2,AWS[[#This Row],[Column27]]=2),"1",(IF(AWS[[#This Row],[Column9]]="x","2",(IF(AWS[[#This Row],[Column10]]="x","3","")))))))</f>
        <v>2</v>
      </c>
      <c r="AC121" s="158" t="str">
        <f>IF(AWS[[#This Row],[Column14]] = "-", AWS[[#This Row],[Column14]], LEFT(AWS[[#This Row],[Column14]], SEARCH(" ", AWS[[#This Row],[Column14]] &amp; " ") - 1))</f>
        <v>4.11</v>
      </c>
    </row>
    <row r="122" spans="1:29" ht="409.5" hidden="1">
      <c r="A12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2" s="137" t="str">
        <f>AWS[[#This Row],[Column30]]</f>
        <v>4.12</v>
      </c>
      <c r="C122" s="137">
        <v>8.11</v>
      </c>
      <c r="D122" s="237" t="s">
        <v>390</v>
      </c>
      <c r="E122" s="162" t="s">
        <v>155</v>
      </c>
      <c r="F122" s="138" t="s">
        <v>591</v>
      </c>
      <c r="G122" s="241" t="s">
        <v>592</v>
      </c>
      <c r="H122" s="137"/>
      <c r="I122" s="164" t="s">
        <v>185</v>
      </c>
      <c r="J122" s="200" t="s">
        <v>185</v>
      </c>
      <c r="K122" s="176" t="s">
        <v>185</v>
      </c>
      <c r="L122" s="176" t="s">
        <v>185</v>
      </c>
      <c r="M122" s="176" t="s">
        <v>185</v>
      </c>
      <c r="N122" s="165" t="s">
        <v>657</v>
      </c>
      <c r="O122" s="197" t="s">
        <v>198</v>
      </c>
      <c r="P122" s="166" t="s">
        <v>658</v>
      </c>
      <c r="Q122" s="166" t="s">
        <v>659</v>
      </c>
      <c r="R122" s="167" t="s">
        <v>660</v>
      </c>
      <c r="S122" s="166" t="s">
        <v>661</v>
      </c>
      <c r="T122" s="166" t="s">
        <v>662</v>
      </c>
      <c r="U122" s="158" t="s">
        <v>975</v>
      </c>
      <c r="V122" s="168" t="s">
        <v>922</v>
      </c>
      <c r="W122" s="158" t="s">
        <v>967</v>
      </c>
      <c r="X122" s="158" t="s">
        <v>185</v>
      </c>
      <c r="Y122" s="158" t="s">
        <v>185</v>
      </c>
      <c r="Z122" s="158"/>
      <c r="AA122" s="158" t="str">
        <f>IF(AWS[[#This Row],[Column14]]="-","", "v")</f>
        <v>v</v>
      </c>
      <c r="AB122" s="158" t="str">
        <f>IF(AWS[[#This Row],[Column8]]="x","1",(IF(OR(AWS[[#This Row],[Column25]]=2,AWS[[#This Row],[Column26]]=2,AWS[[#This Row],[Column27]]=2),"1",(IF(AWS[[#This Row],[Column9]]="x","2",(IF(AWS[[#This Row],[Column10]]="x","3","")))))))</f>
        <v>2</v>
      </c>
      <c r="AC122" s="158" t="str">
        <f>IF(AWS[[#This Row],[Column14]] = "-", AWS[[#This Row],[Column14]], LEFT(AWS[[#This Row],[Column14]], SEARCH(" ", AWS[[#This Row],[Column14]] &amp; " ") - 1))</f>
        <v>4.12</v>
      </c>
    </row>
    <row r="123" spans="1:29" ht="409.5" hidden="1">
      <c r="A12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3" s="137" t="str">
        <f>AWS[[#This Row],[Column30]]</f>
        <v>4.13</v>
      </c>
      <c r="C123" s="137">
        <v>8.11</v>
      </c>
      <c r="D123" s="237" t="s">
        <v>390</v>
      </c>
      <c r="E123" s="162" t="s">
        <v>155</v>
      </c>
      <c r="F123" s="138" t="s">
        <v>591</v>
      </c>
      <c r="G123" s="241" t="s">
        <v>592</v>
      </c>
      <c r="H123" s="137"/>
      <c r="I123" s="164" t="s">
        <v>185</v>
      </c>
      <c r="J123" s="200" t="s">
        <v>185</v>
      </c>
      <c r="K123" s="176" t="s">
        <v>185</v>
      </c>
      <c r="L123" s="176" t="s">
        <v>185</v>
      </c>
      <c r="M123" s="176" t="s">
        <v>185</v>
      </c>
      <c r="N123" s="165" t="s">
        <v>663</v>
      </c>
      <c r="O123" s="197" t="s">
        <v>198</v>
      </c>
      <c r="P123" s="166" t="s">
        <v>664</v>
      </c>
      <c r="Q123" s="166" t="s">
        <v>665</v>
      </c>
      <c r="R123" s="167" t="s">
        <v>666</v>
      </c>
      <c r="S123" s="166" t="s">
        <v>667</v>
      </c>
      <c r="T123" s="166" t="s">
        <v>668</v>
      </c>
      <c r="U123" s="158" t="s">
        <v>975</v>
      </c>
      <c r="V123" s="168" t="s">
        <v>922</v>
      </c>
      <c r="W123" s="158" t="s">
        <v>967</v>
      </c>
      <c r="X123" s="158" t="s">
        <v>185</v>
      </c>
      <c r="Y123" s="158" t="s">
        <v>185</v>
      </c>
      <c r="Z123" s="158"/>
      <c r="AA123" s="158" t="str">
        <f>IF(AWS[[#This Row],[Column14]]="-","", "v")</f>
        <v>v</v>
      </c>
      <c r="AB123" s="158" t="str">
        <f>IF(AWS[[#This Row],[Column8]]="x","1",(IF(OR(AWS[[#This Row],[Column25]]=2,AWS[[#This Row],[Column26]]=2,AWS[[#This Row],[Column27]]=2),"1",(IF(AWS[[#This Row],[Column9]]="x","2",(IF(AWS[[#This Row],[Column10]]="x","3","")))))))</f>
        <v>2</v>
      </c>
      <c r="AC123" s="158" t="str">
        <f>IF(AWS[[#This Row],[Column14]] = "-", AWS[[#This Row],[Column14]], LEFT(AWS[[#This Row],[Column14]], SEARCH(" ", AWS[[#This Row],[Column14]] &amp; " ") - 1))</f>
        <v>4.13</v>
      </c>
    </row>
    <row r="124" spans="1:29" ht="409.5" hidden="1">
      <c r="A12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4" s="137" t="str">
        <f>AWS[[#This Row],[Column30]]</f>
        <v>4.14</v>
      </c>
      <c r="C124" s="137">
        <v>8.11</v>
      </c>
      <c r="D124" s="237" t="s">
        <v>390</v>
      </c>
      <c r="E124" s="162" t="s">
        <v>155</v>
      </c>
      <c r="F124" s="138" t="s">
        <v>591</v>
      </c>
      <c r="G124" s="241" t="s">
        <v>592</v>
      </c>
      <c r="H124" s="137"/>
      <c r="I124" s="164" t="s">
        <v>185</v>
      </c>
      <c r="J124" s="200" t="s">
        <v>185</v>
      </c>
      <c r="K124" s="176" t="s">
        <v>185</v>
      </c>
      <c r="L124" s="176" t="s">
        <v>185</v>
      </c>
      <c r="M124" s="176" t="s">
        <v>185</v>
      </c>
      <c r="N124" s="165" t="s">
        <v>669</v>
      </c>
      <c r="O124" s="197" t="s">
        <v>198</v>
      </c>
      <c r="P124" s="166" t="s">
        <v>670</v>
      </c>
      <c r="Q124" s="166" t="s">
        <v>671</v>
      </c>
      <c r="R124" s="167" t="s">
        <v>672</v>
      </c>
      <c r="S124" s="166" t="s">
        <v>673</v>
      </c>
      <c r="T124" s="166" t="s">
        <v>674</v>
      </c>
      <c r="U124" s="158" t="s">
        <v>162</v>
      </c>
      <c r="V124" s="168" t="s">
        <v>921</v>
      </c>
      <c r="W124" s="158" t="s">
        <v>967</v>
      </c>
      <c r="X124" s="158" t="s">
        <v>185</v>
      </c>
      <c r="Y124" s="158" t="s">
        <v>185</v>
      </c>
      <c r="Z124" s="158"/>
      <c r="AA124" s="158" t="str">
        <f>IF(AWS[[#This Row],[Column14]]="-","", "v")</f>
        <v>v</v>
      </c>
      <c r="AB124" s="158" t="str">
        <f>IF(AWS[[#This Row],[Column8]]="x","1",(IF(OR(AWS[[#This Row],[Column25]]=2,AWS[[#This Row],[Column26]]=2,AWS[[#This Row],[Column27]]=2),"1",(IF(AWS[[#This Row],[Column9]]="x","2",(IF(AWS[[#This Row],[Column10]]="x","3","")))))))</f>
        <v>2</v>
      </c>
      <c r="AC124" s="158" t="str">
        <f>IF(AWS[[#This Row],[Column14]] = "-", AWS[[#This Row],[Column14]], LEFT(AWS[[#This Row],[Column14]], SEARCH(" ", AWS[[#This Row],[Column14]] &amp; " ") - 1))</f>
        <v>4.14</v>
      </c>
    </row>
    <row r="125" spans="1:29" ht="409.5" hidden="1">
      <c r="A12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5" s="137" t="str">
        <f>AWS[[#This Row],[Column30]]</f>
        <v>4.15</v>
      </c>
      <c r="C125" s="137">
        <v>8.11</v>
      </c>
      <c r="D125" s="237" t="s">
        <v>390</v>
      </c>
      <c r="E125" s="162" t="s">
        <v>155</v>
      </c>
      <c r="F125" s="138" t="s">
        <v>591</v>
      </c>
      <c r="G125" s="241" t="s">
        <v>592</v>
      </c>
      <c r="H125" s="137"/>
      <c r="I125" s="164" t="s">
        <v>185</v>
      </c>
      <c r="J125" s="200" t="s">
        <v>185</v>
      </c>
      <c r="K125" s="176" t="s">
        <v>185</v>
      </c>
      <c r="L125" s="176" t="s">
        <v>185</v>
      </c>
      <c r="M125" s="176" t="s">
        <v>185</v>
      </c>
      <c r="N125" s="165" t="s">
        <v>675</v>
      </c>
      <c r="O125" s="197" t="s">
        <v>198</v>
      </c>
      <c r="P125" s="166" t="s">
        <v>676</v>
      </c>
      <c r="Q125" s="166" t="s">
        <v>677</v>
      </c>
      <c r="R125" s="167" t="s">
        <v>678</v>
      </c>
      <c r="S125" s="166" t="s">
        <v>679</v>
      </c>
      <c r="T125" s="166" t="s">
        <v>680</v>
      </c>
      <c r="U125" s="158" t="s">
        <v>975</v>
      </c>
      <c r="V125" s="168" t="s">
        <v>922</v>
      </c>
      <c r="W125" s="158" t="s">
        <v>967</v>
      </c>
      <c r="X125" s="158" t="s">
        <v>185</v>
      </c>
      <c r="Y125" s="158" t="s">
        <v>185</v>
      </c>
      <c r="Z125" s="158"/>
      <c r="AA125" s="158" t="str">
        <f>IF(AWS[[#This Row],[Column14]]="-","", "v")</f>
        <v>v</v>
      </c>
      <c r="AB125" s="158" t="str">
        <f>IF(AWS[[#This Row],[Column8]]="x","1",(IF(OR(AWS[[#This Row],[Column25]]=2,AWS[[#This Row],[Column26]]=2,AWS[[#This Row],[Column27]]=2),"1",(IF(AWS[[#This Row],[Column9]]="x","2",(IF(AWS[[#This Row],[Column10]]="x","3","")))))))</f>
        <v>2</v>
      </c>
      <c r="AC125" s="158" t="str">
        <f>IF(AWS[[#This Row],[Column14]] = "-", AWS[[#This Row],[Column14]], LEFT(AWS[[#This Row],[Column14]], SEARCH(" ", AWS[[#This Row],[Column14]] &amp; " ") - 1))</f>
        <v>4.15</v>
      </c>
    </row>
    <row r="126" spans="1:29" ht="409.5" hidden="1">
      <c r="A12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6" s="137" t="str">
        <f>AWS[[#This Row],[Column30]]</f>
        <v>4.16</v>
      </c>
      <c r="C126" s="137">
        <v>8.11</v>
      </c>
      <c r="D126" s="237" t="s">
        <v>390</v>
      </c>
      <c r="E126" s="162" t="s">
        <v>155</v>
      </c>
      <c r="F126" s="138" t="s">
        <v>591</v>
      </c>
      <c r="G126" s="241" t="s">
        <v>592</v>
      </c>
      <c r="H126" s="137"/>
      <c r="I126" s="164" t="s">
        <v>185</v>
      </c>
      <c r="J126" s="200" t="s">
        <v>185</v>
      </c>
      <c r="K126" s="176" t="s">
        <v>185</v>
      </c>
      <c r="L126" s="176" t="s">
        <v>185</v>
      </c>
      <c r="M126" s="176" t="s">
        <v>185</v>
      </c>
      <c r="N126" s="165" t="s">
        <v>681</v>
      </c>
      <c r="O126" s="197" t="s">
        <v>187</v>
      </c>
      <c r="P126" s="166" t="s">
        <v>682</v>
      </c>
      <c r="Q126" s="166" t="s">
        <v>683</v>
      </c>
      <c r="R126" s="167" t="s">
        <v>684</v>
      </c>
      <c r="S126" s="166" t="s">
        <v>685</v>
      </c>
      <c r="T126" s="166" t="s">
        <v>686</v>
      </c>
      <c r="U126" s="158" t="s">
        <v>975</v>
      </c>
      <c r="V126" s="168" t="s">
        <v>923</v>
      </c>
      <c r="W126" s="158" t="s">
        <v>967</v>
      </c>
      <c r="X126" s="158" t="s">
        <v>185</v>
      </c>
      <c r="Y126" s="158" t="s">
        <v>185</v>
      </c>
      <c r="Z126" s="158"/>
      <c r="AA126" s="158" t="str">
        <f>IF(AWS[[#This Row],[Column14]]="-","", "v")</f>
        <v>v</v>
      </c>
      <c r="AB126" s="158" t="str">
        <f>IF(AWS[[#This Row],[Column8]]="x","1",(IF(OR(AWS[[#This Row],[Column25]]=2,AWS[[#This Row],[Column26]]=2,AWS[[#This Row],[Column27]]=2),"1",(IF(AWS[[#This Row],[Column9]]="x","2",(IF(AWS[[#This Row],[Column10]]="x","3","")))))))</f>
        <v>2</v>
      </c>
      <c r="AC126" s="158" t="str">
        <f>IF(AWS[[#This Row],[Column14]] = "-", AWS[[#This Row],[Column14]], LEFT(AWS[[#This Row],[Column14]], SEARCH(" ", AWS[[#This Row],[Column14]] &amp; " ") - 1))</f>
        <v>4.16</v>
      </c>
    </row>
    <row r="127" spans="1:29" ht="228" hidden="1">
      <c r="A12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27" s="137" t="str">
        <f>AWS[[#This Row],[Column30]]</f>
        <v>5.1</v>
      </c>
      <c r="C127" s="137">
        <v>8.11</v>
      </c>
      <c r="D127" s="237" t="s">
        <v>390</v>
      </c>
      <c r="E127" s="162" t="s">
        <v>155</v>
      </c>
      <c r="F127" s="138" t="s">
        <v>591</v>
      </c>
      <c r="G127" s="241" t="s">
        <v>592</v>
      </c>
      <c r="H127" s="137"/>
      <c r="I127" s="164" t="s">
        <v>185</v>
      </c>
      <c r="J127" s="200" t="s">
        <v>185</v>
      </c>
      <c r="K127" s="176" t="s">
        <v>185</v>
      </c>
      <c r="L127" s="176" t="s">
        <v>185</v>
      </c>
      <c r="M127" s="176" t="s">
        <v>185</v>
      </c>
      <c r="N127" s="165" t="s">
        <v>687</v>
      </c>
      <c r="O127" s="197" t="s">
        <v>198</v>
      </c>
      <c r="P127" s="166" t="s">
        <v>688</v>
      </c>
      <c r="Q127" s="166" t="s">
        <v>689</v>
      </c>
      <c r="R127" s="167" t="s">
        <v>690</v>
      </c>
      <c r="S127" s="166" t="s">
        <v>691</v>
      </c>
      <c r="T127" s="166" t="s">
        <v>692</v>
      </c>
      <c r="U127" s="158" t="s">
        <v>162</v>
      </c>
      <c r="V127" s="168" t="s">
        <v>917</v>
      </c>
      <c r="W127" s="158" t="s">
        <v>967</v>
      </c>
      <c r="X127" s="158" t="s">
        <v>185</v>
      </c>
      <c r="Y127" s="158" t="s">
        <v>185</v>
      </c>
      <c r="Z127" s="158"/>
      <c r="AA127" s="158" t="str">
        <f>IF(AWS[[#This Row],[Column14]]="-","", "v")</f>
        <v>v</v>
      </c>
      <c r="AB127" s="158" t="str">
        <f>IF(AWS[[#This Row],[Column8]]="x","1",(IF(OR(AWS[[#This Row],[Column25]]=2,AWS[[#This Row],[Column26]]=2,AWS[[#This Row],[Column27]]=2),"1",(IF(AWS[[#This Row],[Column9]]="x","2",(IF(AWS[[#This Row],[Column10]]="x","3","")))))))</f>
        <v>2</v>
      </c>
      <c r="AC127" s="158" t="str">
        <f>IF(AWS[[#This Row],[Column14]] = "-", AWS[[#This Row],[Column14]], LEFT(AWS[[#This Row],[Column14]], SEARCH(" ", AWS[[#This Row],[Column14]] &amp; " ") - 1))</f>
        <v>5.1</v>
      </c>
    </row>
    <row r="128" spans="1:29" ht="45" hidden="1">
      <c r="A12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NOT(ISBLANK(K128)),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NOT(ISBLANK(L128)),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NOT(ISBLANK(M128)),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128" s="137" t="str">
        <f>AWS[[#This Row],[Column30]]</f>
        <v>-</v>
      </c>
      <c r="C128" s="137">
        <v>8.1199999999999992</v>
      </c>
      <c r="D128" s="237" t="s">
        <v>182</v>
      </c>
      <c r="E128" s="162" t="s">
        <v>155</v>
      </c>
      <c r="F128" s="138" t="s">
        <v>334</v>
      </c>
      <c r="G128" s="243" t="s">
        <v>335</v>
      </c>
      <c r="H128" s="204"/>
      <c r="I128" s="204"/>
      <c r="J128" s="200" t="s">
        <v>185</v>
      </c>
      <c r="K128" s="176" t="s">
        <v>185</v>
      </c>
      <c r="L128" s="176" t="s">
        <v>185</v>
      </c>
      <c r="M128" s="176" t="s">
        <v>185</v>
      </c>
      <c r="N128" s="165" t="s">
        <v>162</v>
      </c>
      <c r="O128" s="165" t="s">
        <v>162</v>
      </c>
      <c r="P128" s="165" t="s">
        <v>162</v>
      </c>
      <c r="Q128" s="165" t="s">
        <v>162</v>
      </c>
      <c r="R128" s="167"/>
      <c r="S128" s="165" t="s">
        <v>162</v>
      </c>
      <c r="T128" s="165" t="s">
        <v>162</v>
      </c>
      <c r="U128" s="158" t="s">
        <v>162</v>
      </c>
      <c r="V128" s="168"/>
      <c r="W128" s="158" t="s">
        <v>966</v>
      </c>
      <c r="X128" s="158" t="s">
        <v>185</v>
      </c>
      <c r="Y128" s="158" t="s">
        <v>185</v>
      </c>
      <c r="Z128" s="158"/>
      <c r="AA128" s="158" t="str">
        <f>IF(AWS[[#This Row],[Column14]]="-","", "v")</f>
        <v/>
      </c>
      <c r="AB128" s="158" t="str">
        <f>IF(AWS[[#This Row],[Column8]]="x","1",(IF(OR(AWS[[#This Row],[Column25]]=2,AWS[[#This Row],[Column26]]=2,AWS[[#This Row],[Column27]]=2),"1",(IF(AWS[[#This Row],[Column9]]="x","2",(IF(AWS[[#This Row],[Column10]]="x","3","")))))))</f>
        <v>3</v>
      </c>
      <c r="AC128" s="158" t="str">
        <f>IF(AWS[[#This Row],[Column14]] = "-", AWS[[#This Row],[Column14]], LEFT(AWS[[#This Row],[Column14]], SEARCH(" ", AWS[[#This Row],[Column14]] &amp; " ") - 1))</f>
        <v>-</v>
      </c>
    </row>
    <row r="129" spans="1:29" ht="45" hidden="1">
      <c r="A129" s="178" t="s">
        <v>942</v>
      </c>
      <c r="B129" s="154" t="s">
        <v>162</v>
      </c>
      <c r="C129" s="154" t="s">
        <v>162</v>
      </c>
      <c r="D129" s="245" t="s">
        <v>162</v>
      </c>
      <c r="E129" s="178"/>
      <c r="F129" s="156" t="s">
        <v>693</v>
      </c>
      <c r="G129" s="242" t="s">
        <v>694</v>
      </c>
      <c r="H129" s="245" t="s">
        <v>162</v>
      </c>
      <c r="I129" s="245" t="s">
        <v>162</v>
      </c>
      <c r="J129" s="245" t="s">
        <v>162</v>
      </c>
      <c r="K129" s="245" t="s">
        <v>162</v>
      </c>
      <c r="L129" s="245" t="s">
        <v>162</v>
      </c>
      <c r="M129" s="245" t="s">
        <v>162</v>
      </c>
      <c r="N129" s="245" t="s">
        <v>162</v>
      </c>
      <c r="O129" s="245" t="s">
        <v>162</v>
      </c>
      <c r="P129" s="245" t="s">
        <v>162</v>
      </c>
      <c r="Q129" s="245" t="s">
        <v>162</v>
      </c>
      <c r="R129" s="167"/>
      <c r="S129" s="245" t="s">
        <v>162</v>
      </c>
      <c r="T129" s="245" t="s">
        <v>162</v>
      </c>
      <c r="U129" s="245" t="s">
        <v>162</v>
      </c>
      <c r="V129" s="245" t="s">
        <v>162</v>
      </c>
      <c r="W129" s="245" t="s">
        <v>162</v>
      </c>
      <c r="X129" s="245" t="s">
        <v>162</v>
      </c>
      <c r="Y129" s="245" t="s">
        <v>162</v>
      </c>
      <c r="Z129" s="245" t="s">
        <v>162</v>
      </c>
      <c r="AA129" s="245" t="s">
        <v>162</v>
      </c>
      <c r="AB129" s="245" t="s">
        <v>162</v>
      </c>
      <c r="AC129" s="158" t="str">
        <f>IF(AWS[[#This Row],[Column14]] = "-", AWS[[#This Row],[Column14]], LEFT(AWS[[#This Row],[Column14]], SEARCH(" ", AWS[[#This Row],[Column14]] &amp; " ") - 1))</f>
        <v>-</v>
      </c>
    </row>
    <row r="130" spans="1:29" ht="45" hidden="1">
      <c r="A13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0" s="137" t="str">
        <f>AWS[[#This Row],[Column30]]</f>
        <v>-</v>
      </c>
      <c r="C130" s="137">
        <v>9.1</v>
      </c>
      <c r="D130" s="237" t="s">
        <v>371</v>
      </c>
      <c r="E130" s="162" t="s">
        <v>156</v>
      </c>
      <c r="F130" s="138" t="s">
        <v>695</v>
      </c>
      <c r="G130" s="241" t="s">
        <v>696</v>
      </c>
      <c r="H130" s="163" t="s">
        <v>185</v>
      </c>
      <c r="I130" s="164" t="s">
        <v>185</v>
      </c>
      <c r="J130" s="200" t="s">
        <v>185</v>
      </c>
      <c r="K130" s="176" t="s">
        <v>185</v>
      </c>
      <c r="L130" s="176" t="s">
        <v>185</v>
      </c>
      <c r="M130" s="176" t="s">
        <v>185</v>
      </c>
      <c r="N130" s="165" t="s">
        <v>162</v>
      </c>
      <c r="O130" s="165" t="s">
        <v>162</v>
      </c>
      <c r="P130" s="165" t="s">
        <v>162</v>
      </c>
      <c r="Q130" s="165" t="s">
        <v>162</v>
      </c>
      <c r="R130" s="167"/>
      <c r="S130" s="165" t="s">
        <v>162</v>
      </c>
      <c r="T130" s="165" t="s">
        <v>162</v>
      </c>
      <c r="U130" s="158" t="s">
        <v>162</v>
      </c>
      <c r="V130" s="168"/>
      <c r="W130" s="158" t="s">
        <v>966</v>
      </c>
      <c r="X130" s="158" t="s">
        <v>185</v>
      </c>
      <c r="Y130" s="158"/>
      <c r="Z130" s="158" t="s">
        <v>185</v>
      </c>
      <c r="AA130" s="158" t="str">
        <f>IF(AWS[[#This Row],[Column14]]="-","", "v")</f>
        <v/>
      </c>
      <c r="AB130" s="158" t="str">
        <f>IF(AWS[[#This Row],[Column8]]="x","1",(IF(OR(AWS[[#This Row],[Column25]]=2,AWS[[#This Row],[Column26]]=2,AWS[[#This Row],[Column27]]=2),"1",(IF(AWS[[#This Row],[Column9]]="x","2",(IF(AWS[[#This Row],[Column10]]="x","3","")))))))</f>
        <v>1</v>
      </c>
      <c r="AC130" s="158" t="str">
        <f>IF(AWS[[#This Row],[Column14]] = "-", AWS[[#This Row],[Column14]], LEFT(AWS[[#This Row],[Column14]], SEARCH(" ", AWS[[#This Row],[Column14]] &amp; " ") - 1))</f>
        <v>-</v>
      </c>
    </row>
    <row r="131" spans="1:29" ht="30">
      <c r="A13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1" s="137" t="str">
        <f>AWS[[#This Row],[Column30]]</f>
        <v>-</v>
      </c>
      <c r="C131" s="137">
        <v>9.1999999999999993</v>
      </c>
      <c r="D131" s="237" t="s">
        <v>390</v>
      </c>
      <c r="E131" s="162" t="s">
        <v>156</v>
      </c>
      <c r="F131" s="138" t="s">
        <v>697</v>
      </c>
      <c r="G131" s="241" t="s">
        <v>698</v>
      </c>
      <c r="H131" s="163" t="s">
        <v>185</v>
      </c>
      <c r="I131" s="164" t="s">
        <v>185</v>
      </c>
      <c r="J131" s="200" t="s">
        <v>185</v>
      </c>
      <c r="K131" s="176" t="s">
        <v>185</v>
      </c>
      <c r="L131" s="176" t="s">
        <v>185</v>
      </c>
      <c r="M131" s="176"/>
      <c r="N131" s="165" t="s">
        <v>162</v>
      </c>
      <c r="O131" s="165" t="s">
        <v>162</v>
      </c>
      <c r="P131" s="165" t="s">
        <v>162</v>
      </c>
      <c r="Q131" s="165" t="s">
        <v>162</v>
      </c>
      <c r="R131" s="167"/>
      <c r="S131" s="165" t="s">
        <v>162</v>
      </c>
      <c r="T131" s="165" t="s">
        <v>162</v>
      </c>
      <c r="U131" s="158" t="s">
        <v>162</v>
      </c>
      <c r="V131" s="168"/>
      <c r="W131" s="158" t="s">
        <v>966</v>
      </c>
      <c r="X131" s="158" t="s">
        <v>185</v>
      </c>
      <c r="Y131" s="158"/>
      <c r="Z131" s="158" t="s">
        <v>185</v>
      </c>
      <c r="AA131" s="158" t="str">
        <f>IF(AWS[[#This Row],[Column14]]="-","", "v")</f>
        <v/>
      </c>
      <c r="AB131" s="158" t="str">
        <f>IF(AWS[[#This Row],[Column8]]="x","1",(IF(OR(AWS[[#This Row],[Column25]]=2,AWS[[#This Row],[Column26]]=2,AWS[[#This Row],[Column27]]=2),"1",(IF(AWS[[#This Row],[Column9]]="x","2",(IF(AWS[[#This Row],[Column10]]="x","3","")))))))</f>
        <v>1</v>
      </c>
      <c r="AC131" s="158" t="str">
        <f>IF(AWS[[#This Row],[Column14]] = "-", AWS[[#This Row],[Column14]], LEFT(AWS[[#This Row],[Column14]], SEARCH(" ", AWS[[#This Row],[Column14]] &amp; " ") - 1))</f>
        <v>-</v>
      </c>
    </row>
    <row r="132" spans="1:29" ht="60">
      <c r="A13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2" s="137" t="str">
        <f>AWS[[#This Row],[Column30]]</f>
        <v>-</v>
      </c>
      <c r="C132" s="137">
        <v>9.3000000000000007</v>
      </c>
      <c r="D132" s="237" t="s">
        <v>390</v>
      </c>
      <c r="E132" s="162" t="s">
        <v>156</v>
      </c>
      <c r="F132" s="138" t="s">
        <v>699</v>
      </c>
      <c r="G132" s="241" t="s">
        <v>700</v>
      </c>
      <c r="H132" s="204"/>
      <c r="I132" s="164" t="s">
        <v>185</v>
      </c>
      <c r="J132" s="200" t="s">
        <v>185</v>
      </c>
      <c r="K132" s="176" t="s">
        <v>185</v>
      </c>
      <c r="L132" s="176" t="s">
        <v>185</v>
      </c>
      <c r="M132" s="176"/>
      <c r="N132" s="165" t="s">
        <v>162</v>
      </c>
      <c r="O132" s="165" t="s">
        <v>162</v>
      </c>
      <c r="P132" s="165" t="s">
        <v>162</v>
      </c>
      <c r="Q132" s="165" t="s">
        <v>162</v>
      </c>
      <c r="R132" s="167"/>
      <c r="S132" s="165" t="s">
        <v>162</v>
      </c>
      <c r="T132" s="165" t="s">
        <v>162</v>
      </c>
      <c r="U132" s="158" t="s">
        <v>162</v>
      </c>
      <c r="V132" s="168"/>
      <c r="W132" s="158" t="s">
        <v>966</v>
      </c>
      <c r="X132" s="158" t="s">
        <v>185</v>
      </c>
      <c r="Y132" s="158"/>
      <c r="Z132" s="158" t="s">
        <v>185</v>
      </c>
      <c r="AA132" s="158" t="str">
        <f>IF(AWS[[#This Row],[Column14]]="-","", "v")</f>
        <v/>
      </c>
      <c r="AB132" s="158" t="str">
        <f>IF(AWS[[#This Row],[Column8]]="x","1",(IF(OR(AWS[[#This Row],[Column25]]=2,AWS[[#This Row],[Column26]]=2,AWS[[#This Row],[Column27]]=2),"1",(IF(AWS[[#This Row],[Column9]]="x","2",(IF(AWS[[#This Row],[Column10]]="x","3","")))))))</f>
        <v>2</v>
      </c>
      <c r="AC132" s="158" t="str">
        <f>IF(AWS[[#This Row],[Column14]] = "-", AWS[[#This Row],[Column14]], LEFT(AWS[[#This Row],[Column14]], SEARCH(" ", AWS[[#This Row],[Column14]] &amp; " ") - 1))</f>
        <v>-</v>
      </c>
    </row>
    <row r="133" spans="1:29" ht="45" hidden="1">
      <c r="A13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3" s="137" t="str">
        <f>AWS[[#This Row],[Column30]]</f>
        <v>-</v>
      </c>
      <c r="C133" s="137">
        <v>9.4</v>
      </c>
      <c r="D133" s="237" t="s">
        <v>371</v>
      </c>
      <c r="E133" s="162" t="s">
        <v>156</v>
      </c>
      <c r="F133" s="138" t="s">
        <v>701</v>
      </c>
      <c r="G133" s="241" t="s">
        <v>702</v>
      </c>
      <c r="H133" s="137"/>
      <c r="I133" s="164" t="s">
        <v>185</v>
      </c>
      <c r="J133" s="200" t="s">
        <v>185</v>
      </c>
      <c r="K133" s="176" t="s">
        <v>185</v>
      </c>
      <c r="L133" s="176" t="s">
        <v>185</v>
      </c>
      <c r="M133" s="176" t="s">
        <v>185</v>
      </c>
      <c r="N133" s="165" t="s">
        <v>162</v>
      </c>
      <c r="O133" s="165" t="s">
        <v>162</v>
      </c>
      <c r="P133" s="165" t="s">
        <v>162</v>
      </c>
      <c r="Q133" s="165" t="s">
        <v>162</v>
      </c>
      <c r="R133" s="167"/>
      <c r="S133" s="165" t="s">
        <v>162</v>
      </c>
      <c r="T133" s="165" t="s">
        <v>162</v>
      </c>
      <c r="U133" s="158" t="s">
        <v>162</v>
      </c>
      <c r="V133" s="168"/>
      <c r="W133" s="158" t="s">
        <v>966</v>
      </c>
      <c r="X133" s="158" t="s">
        <v>185</v>
      </c>
      <c r="Y133" s="158"/>
      <c r="Z133" s="158" t="s">
        <v>185</v>
      </c>
      <c r="AA133" s="158" t="str">
        <f>IF(AWS[[#This Row],[Column14]]="-","", "v")</f>
        <v/>
      </c>
      <c r="AB133" s="158" t="str">
        <f>IF(AWS[[#This Row],[Column8]]="x","1",(IF(OR(AWS[[#This Row],[Column25]]=2,AWS[[#This Row],[Column26]]=2,AWS[[#This Row],[Column27]]=2),"1",(IF(AWS[[#This Row],[Column9]]="x","2",(IF(AWS[[#This Row],[Column10]]="x","3","")))))))</f>
        <v>2</v>
      </c>
      <c r="AC133" s="158" t="str">
        <f>IF(AWS[[#This Row],[Column14]] = "-", AWS[[#This Row],[Column14]], LEFT(AWS[[#This Row],[Column14]], SEARCH(" ", AWS[[#This Row],[Column14]] &amp; " ") - 1))</f>
        <v>-</v>
      </c>
    </row>
    <row r="134" spans="1:29" ht="45" hidden="1">
      <c r="A13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4" s="137" t="str">
        <f>AWS[[#This Row],[Column30]]</f>
        <v>-</v>
      </c>
      <c r="C134" s="137">
        <v>9.5</v>
      </c>
      <c r="D134" s="237" t="s">
        <v>390</v>
      </c>
      <c r="E134" s="162" t="s">
        <v>156</v>
      </c>
      <c r="F134" s="138" t="s">
        <v>703</v>
      </c>
      <c r="G134" s="241" t="s">
        <v>704</v>
      </c>
      <c r="H134" s="137"/>
      <c r="I134" s="164" t="s">
        <v>185</v>
      </c>
      <c r="J134" s="200" t="s">
        <v>185</v>
      </c>
      <c r="K134" s="176" t="s">
        <v>185</v>
      </c>
      <c r="L134" s="176" t="s">
        <v>185</v>
      </c>
      <c r="M134" s="176" t="s">
        <v>185</v>
      </c>
      <c r="N134" s="165" t="s">
        <v>162</v>
      </c>
      <c r="O134" s="165" t="s">
        <v>162</v>
      </c>
      <c r="P134" s="165" t="s">
        <v>162</v>
      </c>
      <c r="Q134" s="165" t="s">
        <v>162</v>
      </c>
      <c r="R134" s="167"/>
      <c r="S134" s="165" t="s">
        <v>162</v>
      </c>
      <c r="T134" s="165" t="s">
        <v>162</v>
      </c>
      <c r="U134" s="158" t="s">
        <v>162</v>
      </c>
      <c r="V134" s="168"/>
      <c r="W134" s="158" t="s">
        <v>966</v>
      </c>
      <c r="X134" s="158" t="s">
        <v>185</v>
      </c>
      <c r="Y134" s="158"/>
      <c r="Z134" s="158" t="s">
        <v>185</v>
      </c>
      <c r="AA134" s="158" t="str">
        <f>IF(AWS[[#This Row],[Column14]]="-","", "v")</f>
        <v/>
      </c>
      <c r="AB134" s="158" t="str">
        <f>IF(AWS[[#This Row],[Column8]]="x","1",(IF(OR(AWS[[#This Row],[Column25]]=2,AWS[[#This Row],[Column26]]=2,AWS[[#This Row],[Column27]]=2),"1",(IF(AWS[[#This Row],[Column9]]="x","2",(IF(AWS[[#This Row],[Column10]]="x","3","")))))))</f>
        <v>2</v>
      </c>
      <c r="AC134" s="158" t="str">
        <f>IF(AWS[[#This Row],[Column14]] = "-", AWS[[#This Row],[Column14]], LEFT(AWS[[#This Row],[Column14]], SEARCH(" ", AWS[[#This Row],[Column14]] &amp; " ") - 1))</f>
        <v>-</v>
      </c>
    </row>
    <row r="135" spans="1:29" ht="30" hidden="1">
      <c r="A13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5" s="137" t="str">
        <f>AWS[[#This Row],[Column30]]</f>
        <v>-</v>
      </c>
      <c r="C135" s="137">
        <v>9.6</v>
      </c>
      <c r="D135" s="237" t="s">
        <v>390</v>
      </c>
      <c r="E135" s="162" t="s">
        <v>156</v>
      </c>
      <c r="F135" s="138" t="s">
        <v>705</v>
      </c>
      <c r="G135" s="241" t="s">
        <v>706</v>
      </c>
      <c r="H135" s="137"/>
      <c r="I135" s="164" t="s">
        <v>185</v>
      </c>
      <c r="J135" s="200" t="s">
        <v>185</v>
      </c>
      <c r="K135" s="176" t="s">
        <v>185</v>
      </c>
      <c r="L135" s="176" t="s">
        <v>185</v>
      </c>
      <c r="M135" s="176" t="s">
        <v>185</v>
      </c>
      <c r="N135" s="165" t="s">
        <v>162</v>
      </c>
      <c r="O135" s="165" t="s">
        <v>162</v>
      </c>
      <c r="P135" s="165" t="s">
        <v>162</v>
      </c>
      <c r="Q135" s="165" t="s">
        <v>162</v>
      </c>
      <c r="R135" s="167"/>
      <c r="S135" s="165" t="s">
        <v>162</v>
      </c>
      <c r="T135" s="165" t="s">
        <v>162</v>
      </c>
      <c r="U135" s="158" t="s">
        <v>162</v>
      </c>
      <c r="V135" s="168"/>
      <c r="W135" s="158" t="s">
        <v>966</v>
      </c>
      <c r="X135" s="158" t="s">
        <v>185</v>
      </c>
      <c r="Y135" s="158"/>
      <c r="Z135" s="158" t="s">
        <v>185</v>
      </c>
      <c r="AA135" s="158" t="str">
        <f>IF(AWS[[#This Row],[Column14]]="-","", "v")</f>
        <v/>
      </c>
      <c r="AB135" s="158" t="str">
        <f>IF(AWS[[#This Row],[Column8]]="x","1",(IF(OR(AWS[[#This Row],[Column25]]=2,AWS[[#This Row],[Column26]]=2,AWS[[#This Row],[Column27]]=2),"1",(IF(AWS[[#This Row],[Column9]]="x","2",(IF(AWS[[#This Row],[Column10]]="x","3","")))))))</f>
        <v>2</v>
      </c>
      <c r="AC135" s="158" t="str">
        <f>IF(AWS[[#This Row],[Column14]] = "-", AWS[[#This Row],[Column14]], LEFT(AWS[[#This Row],[Column14]], SEARCH(" ", AWS[[#This Row],[Column14]] &amp; " ") - 1))</f>
        <v>-</v>
      </c>
    </row>
    <row r="136" spans="1:29" ht="45" hidden="1">
      <c r="A13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6" s="137" t="str">
        <f>AWS[[#This Row],[Column30]]</f>
        <v>-</v>
      </c>
      <c r="C136" s="137">
        <v>9.6999999999999993</v>
      </c>
      <c r="D136" s="237" t="s">
        <v>390</v>
      </c>
      <c r="E136" s="162" t="s">
        <v>156</v>
      </c>
      <c r="F136" s="138" t="s">
        <v>707</v>
      </c>
      <c r="G136" s="241" t="s">
        <v>708</v>
      </c>
      <c r="H136" s="137"/>
      <c r="I136" s="137"/>
      <c r="J136" s="200" t="s">
        <v>185</v>
      </c>
      <c r="K136" s="176" t="s">
        <v>185</v>
      </c>
      <c r="L136" s="176" t="s">
        <v>185</v>
      </c>
      <c r="M136" s="176" t="s">
        <v>185</v>
      </c>
      <c r="N136" s="165" t="s">
        <v>162</v>
      </c>
      <c r="O136" s="165" t="s">
        <v>162</v>
      </c>
      <c r="P136" s="165" t="s">
        <v>162</v>
      </c>
      <c r="Q136" s="165" t="s">
        <v>162</v>
      </c>
      <c r="R136" s="167"/>
      <c r="S136" s="165" t="s">
        <v>162</v>
      </c>
      <c r="T136" s="165" t="s">
        <v>162</v>
      </c>
      <c r="U136" s="158" t="s">
        <v>162</v>
      </c>
      <c r="V136" s="168"/>
      <c r="W136" s="158" t="s">
        <v>966</v>
      </c>
      <c r="X136" s="158" t="s">
        <v>185</v>
      </c>
      <c r="Y136" s="158"/>
      <c r="Z136" s="158" t="s">
        <v>185</v>
      </c>
      <c r="AA136" s="158" t="str">
        <f>IF(AWS[[#This Row],[Column14]]="-","", "v")</f>
        <v/>
      </c>
      <c r="AB136" s="158" t="str">
        <f>IF(AWS[[#This Row],[Column8]]="x","1",(IF(OR(AWS[[#This Row],[Column25]]=2,AWS[[#This Row],[Column26]]=2,AWS[[#This Row],[Column27]]=2),"1",(IF(AWS[[#This Row],[Column9]]="x","2",(IF(AWS[[#This Row],[Column10]]="x","3","")))))))</f>
        <v>3</v>
      </c>
      <c r="AC136" s="158" t="str">
        <f>IF(AWS[[#This Row],[Column14]] = "-", AWS[[#This Row],[Column14]], LEFT(AWS[[#This Row],[Column14]], SEARCH(" ", AWS[[#This Row],[Column14]] &amp; " ") - 1))</f>
        <v>-</v>
      </c>
    </row>
    <row r="137" spans="1:29" ht="30" hidden="1">
      <c r="A137" s="178" t="s">
        <v>942</v>
      </c>
      <c r="B137" s="154" t="s">
        <v>162</v>
      </c>
      <c r="C137" s="154" t="s">
        <v>162</v>
      </c>
      <c r="D137" s="245" t="s">
        <v>162</v>
      </c>
      <c r="E137" s="178"/>
      <c r="F137" s="156" t="s">
        <v>709</v>
      </c>
      <c r="G137" s="242" t="s">
        <v>710</v>
      </c>
      <c r="H137" s="245" t="s">
        <v>162</v>
      </c>
      <c r="I137" s="245" t="s">
        <v>162</v>
      </c>
      <c r="J137" s="245" t="s">
        <v>162</v>
      </c>
      <c r="K137" s="245" t="s">
        <v>162</v>
      </c>
      <c r="L137" s="245" t="s">
        <v>162</v>
      </c>
      <c r="M137" s="245" t="s">
        <v>162</v>
      </c>
      <c r="N137" s="245" t="s">
        <v>162</v>
      </c>
      <c r="O137" s="245" t="s">
        <v>162</v>
      </c>
      <c r="P137" s="245" t="s">
        <v>162</v>
      </c>
      <c r="Q137" s="245" t="s">
        <v>162</v>
      </c>
      <c r="R137" s="167"/>
      <c r="S137" s="245" t="s">
        <v>162</v>
      </c>
      <c r="T137" s="245" t="s">
        <v>162</v>
      </c>
      <c r="U137" s="245" t="s">
        <v>162</v>
      </c>
      <c r="V137" s="245" t="s">
        <v>162</v>
      </c>
      <c r="W137" s="245" t="s">
        <v>162</v>
      </c>
      <c r="X137" s="245" t="s">
        <v>162</v>
      </c>
      <c r="Y137" s="245" t="s">
        <v>162</v>
      </c>
      <c r="Z137" s="245" t="s">
        <v>162</v>
      </c>
      <c r="AA137" s="245" t="s">
        <v>162</v>
      </c>
      <c r="AB137" s="245" t="s">
        <v>162</v>
      </c>
      <c r="AC137" s="158" t="str">
        <f>IF(AWS[[#This Row],[Column14]] = "-", AWS[[#This Row],[Column14]], LEFT(AWS[[#This Row],[Column14]], SEARCH(" ", AWS[[#This Row],[Column14]] &amp; " ") - 1))</f>
        <v>-</v>
      </c>
    </row>
    <row r="138" spans="1:29" ht="30">
      <c r="A13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8" s="137" t="str">
        <f>AWS[[#This Row],[Column30]]</f>
        <v>-</v>
      </c>
      <c r="C138" s="137">
        <v>10.1</v>
      </c>
      <c r="D138" s="237" t="s">
        <v>352</v>
      </c>
      <c r="E138" s="162" t="s">
        <v>156</v>
      </c>
      <c r="F138" s="138" t="s">
        <v>711</v>
      </c>
      <c r="G138" s="241" t="s">
        <v>712</v>
      </c>
      <c r="H138" s="163" t="s">
        <v>185</v>
      </c>
      <c r="I138" s="164" t="s">
        <v>185</v>
      </c>
      <c r="J138" s="200" t="s">
        <v>185</v>
      </c>
      <c r="K138" s="176" t="s">
        <v>185</v>
      </c>
      <c r="L138" s="176" t="s">
        <v>185</v>
      </c>
      <c r="M138" s="158"/>
      <c r="N138" s="165" t="s">
        <v>162</v>
      </c>
      <c r="O138" s="165" t="s">
        <v>162</v>
      </c>
      <c r="P138" s="165" t="s">
        <v>162</v>
      </c>
      <c r="Q138" s="165" t="s">
        <v>162</v>
      </c>
      <c r="R138" s="167"/>
      <c r="S138" s="165" t="s">
        <v>162</v>
      </c>
      <c r="T138" s="165" t="s">
        <v>162</v>
      </c>
      <c r="U138" s="158" t="s">
        <v>162</v>
      </c>
      <c r="V138" s="168"/>
      <c r="W138" s="158" t="s">
        <v>966</v>
      </c>
      <c r="X138" s="158" t="s">
        <v>185</v>
      </c>
      <c r="Y138" s="158" t="s">
        <v>185</v>
      </c>
      <c r="Z138" s="158" t="s">
        <v>185</v>
      </c>
      <c r="AA138" s="158" t="str">
        <f>IF(AWS[[#This Row],[Column14]]="-","", "v")</f>
        <v/>
      </c>
      <c r="AB138" s="158" t="str">
        <f>IF(AWS[[#This Row],[Column8]]="x","1",(IF(OR(AWS[[#This Row],[Column25]]=2,AWS[[#This Row],[Column26]]=2,AWS[[#This Row],[Column27]]=2),"1",(IF(AWS[[#This Row],[Column9]]="x","2",(IF(AWS[[#This Row],[Column10]]="x","3","")))))))</f>
        <v>1</v>
      </c>
      <c r="AC138" s="158" t="str">
        <f>IF(AWS[[#This Row],[Column14]] = "-", AWS[[#This Row],[Column14]], LEFT(AWS[[#This Row],[Column14]], SEARCH(" ", AWS[[#This Row],[Column14]] &amp; " ") - 1))</f>
        <v>-</v>
      </c>
    </row>
    <row r="139" spans="1:29" ht="30">
      <c r="A13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NOT(ISBLANK(K139)),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NOT(ISBLANK(L139)),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NOT(ISBLANK(M139)),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39" s="137" t="str">
        <f>AWS[[#This Row],[Column30]]</f>
        <v>-</v>
      </c>
      <c r="C139" s="137">
        <v>10.199999999999999</v>
      </c>
      <c r="D139" s="237" t="s">
        <v>352</v>
      </c>
      <c r="E139" s="162" t="s">
        <v>156</v>
      </c>
      <c r="F139" s="138" t="s">
        <v>713</v>
      </c>
      <c r="G139" s="241" t="s">
        <v>714</v>
      </c>
      <c r="H139" s="163" t="s">
        <v>185</v>
      </c>
      <c r="I139" s="164" t="s">
        <v>185</v>
      </c>
      <c r="J139" s="200" t="s">
        <v>185</v>
      </c>
      <c r="K139" s="176" t="s">
        <v>185</v>
      </c>
      <c r="L139" s="176" t="s">
        <v>185</v>
      </c>
      <c r="M139" s="158"/>
      <c r="N139" s="165" t="s">
        <v>162</v>
      </c>
      <c r="O139" s="165" t="s">
        <v>162</v>
      </c>
      <c r="P139" s="165" t="s">
        <v>162</v>
      </c>
      <c r="Q139" s="165" t="s">
        <v>162</v>
      </c>
      <c r="R139" s="167"/>
      <c r="S139" s="165" t="s">
        <v>162</v>
      </c>
      <c r="T139" s="165" t="s">
        <v>162</v>
      </c>
      <c r="U139" s="158" t="s">
        <v>162</v>
      </c>
      <c r="V139" s="168"/>
      <c r="W139" s="158" t="s">
        <v>966</v>
      </c>
      <c r="X139" s="158" t="s">
        <v>185</v>
      </c>
      <c r="Y139" s="158" t="s">
        <v>185</v>
      </c>
      <c r="Z139" s="158" t="s">
        <v>185</v>
      </c>
      <c r="AA139" s="158" t="str">
        <f>IF(AWS[[#This Row],[Column14]]="-","", "v")</f>
        <v/>
      </c>
      <c r="AB139" s="158" t="str">
        <f>IF(AWS[[#This Row],[Column8]]="x","1",(IF(OR(AWS[[#This Row],[Column25]]=2,AWS[[#This Row],[Column26]]=2,AWS[[#This Row],[Column27]]=2),"1",(IF(AWS[[#This Row],[Column9]]="x","2",(IF(AWS[[#This Row],[Column10]]="x","3","")))))))</f>
        <v>1</v>
      </c>
      <c r="AC139" s="158" t="str">
        <f>IF(AWS[[#This Row],[Column14]] = "-", AWS[[#This Row],[Column14]], LEFT(AWS[[#This Row],[Column14]], SEARCH(" ", AWS[[#This Row],[Column14]] &amp; " ") - 1))</f>
        <v>-</v>
      </c>
    </row>
    <row r="140" spans="1:29" ht="45">
      <c r="A14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0" s="137" t="str">
        <f>AWS[[#This Row],[Column30]]</f>
        <v>-</v>
      </c>
      <c r="C140" s="137">
        <v>10.3</v>
      </c>
      <c r="D140" s="237" t="s">
        <v>352</v>
      </c>
      <c r="E140" s="162" t="s">
        <v>156</v>
      </c>
      <c r="F140" s="138" t="s">
        <v>715</v>
      </c>
      <c r="G140" s="241" t="s">
        <v>716</v>
      </c>
      <c r="H140" s="163" t="s">
        <v>185</v>
      </c>
      <c r="I140" s="164" t="s">
        <v>185</v>
      </c>
      <c r="J140" s="200" t="s">
        <v>185</v>
      </c>
      <c r="K140" s="176" t="s">
        <v>185</v>
      </c>
      <c r="L140" s="176"/>
      <c r="M140" s="158"/>
      <c r="N140" s="165" t="s">
        <v>162</v>
      </c>
      <c r="O140" s="165" t="s">
        <v>162</v>
      </c>
      <c r="P140" s="165" t="s">
        <v>162</v>
      </c>
      <c r="Q140" s="165" t="s">
        <v>162</v>
      </c>
      <c r="R140" s="167"/>
      <c r="S140" s="165" t="s">
        <v>162</v>
      </c>
      <c r="T140" s="165" t="s">
        <v>162</v>
      </c>
      <c r="U140" s="158" t="s">
        <v>162</v>
      </c>
      <c r="V140" s="168"/>
      <c r="W140" s="158" t="s">
        <v>966</v>
      </c>
      <c r="X140" s="158" t="s">
        <v>185</v>
      </c>
      <c r="Y140" s="158" t="s">
        <v>185</v>
      </c>
      <c r="Z140" s="158" t="s">
        <v>185</v>
      </c>
      <c r="AA140" s="158" t="str">
        <f>IF(AWS[[#This Row],[Column14]]="-","", "v")</f>
        <v/>
      </c>
      <c r="AB140" s="158" t="str">
        <f>IF(AWS[[#This Row],[Column8]]="x","1",(IF(OR(AWS[[#This Row],[Column25]]=2,AWS[[#This Row],[Column26]]=2,AWS[[#This Row],[Column27]]=2),"1",(IF(AWS[[#This Row],[Column9]]="x","2",(IF(AWS[[#This Row],[Column10]]="x","3","")))))))</f>
        <v>1</v>
      </c>
      <c r="AC140" s="158" t="str">
        <f>IF(AWS[[#This Row],[Column14]] = "-", AWS[[#This Row],[Column14]], LEFT(AWS[[#This Row],[Column14]], SEARCH(" ", AWS[[#This Row],[Column14]] &amp; " ") - 1))</f>
        <v>-</v>
      </c>
    </row>
    <row r="141" spans="1:29" ht="45">
      <c r="A14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1" s="137" t="str">
        <f>AWS[[#This Row],[Column30]]</f>
        <v>-</v>
      </c>
      <c r="C141" s="137">
        <v>10.4</v>
      </c>
      <c r="D141" s="237" t="s">
        <v>352</v>
      </c>
      <c r="E141" s="162" t="s">
        <v>155</v>
      </c>
      <c r="F141" s="138" t="s">
        <v>717</v>
      </c>
      <c r="G141" s="241" t="s">
        <v>718</v>
      </c>
      <c r="H141" s="204"/>
      <c r="I141" s="164" t="s">
        <v>185</v>
      </c>
      <c r="J141" s="200" t="s">
        <v>185</v>
      </c>
      <c r="K141" s="176" t="s">
        <v>185</v>
      </c>
      <c r="L141" s="176"/>
      <c r="M141" s="158"/>
      <c r="N141" s="165" t="s">
        <v>162</v>
      </c>
      <c r="O141" s="165" t="s">
        <v>162</v>
      </c>
      <c r="P141" s="165" t="s">
        <v>162</v>
      </c>
      <c r="Q141" s="165" t="s">
        <v>162</v>
      </c>
      <c r="R141" s="167"/>
      <c r="S141" s="165" t="s">
        <v>162</v>
      </c>
      <c r="T141" s="165" t="s">
        <v>162</v>
      </c>
      <c r="U141" s="158" t="s">
        <v>162</v>
      </c>
      <c r="V141" s="168"/>
      <c r="W141" s="158" t="s">
        <v>966</v>
      </c>
      <c r="X141" s="158" t="s">
        <v>185</v>
      </c>
      <c r="Y141" s="158" t="s">
        <v>185</v>
      </c>
      <c r="Z141" s="158" t="s">
        <v>185</v>
      </c>
      <c r="AA141" s="158" t="str">
        <f>IF(AWS[[#This Row],[Column14]]="-","", "v")</f>
        <v/>
      </c>
      <c r="AB141" s="158" t="str">
        <f>IF(AWS[[#This Row],[Column8]]="x","1",(IF(OR(AWS[[#This Row],[Column25]]=2,AWS[[#This Row],[Column26]]=2,AWS[[#This Row],[Column27]]=2),"1",(IF(AWS[[#This Row],[Column9]]="x","2",(IF(AWS[[#This Row],[Column10]]="x","3","")))))))</f>
        <v>2</v>
      </c>
      <c r="AC141" s="158" t="str">
        <f>IF(AWS[[#This Row],[Column14]] = "-", AWS[[#This Row],[Column14]], LEFT(AWS[[#This Row],[Column14]], SEARCH(" ", AWS[[#This Row],[Column14]] &amp; " ") - 1))</f>
        <v>-</v>
      </c>
    </row>
    <row r="142" spans="1:29" ht="60">
      <c r="A14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2" s="137" t="str">
        <f>AWS[[#This Row],[Column30]]</f>
        <v>-</v>
      </c>
      <c r="C142" s="137">
        <v>10.5</v>
      </c>
      <c r="D142" s="237" t="s">
        <v>352</v>
      </c>
      <c r="E142" s="162" t="s">
        <v>156</v>
      </c>
      <c r="F142" s="138" t="s">
        <v>719</v>
      </c>
      <c r="G142" s="243" t="s">
        <v>720</v>
      </c>
      <c r="H142" s="204"/>
      <c r="I142" s="164" t="s">
        <v>185</v>
      </c>
      <c r="J142" s="200" t="s">
        <v>185</v>
      </c>
      <c r="K142" s="176" t="s">
        <v>185</v>
      </c>
      <c r="L142" s="176" t="s">
        <v>185</v>
      </c>
      <c r="M142" s="158"/>
      <c r="N142" s="165" t="s">
        <v>162</v>
      </c>
      <c r="O142" s="165" t="s">
        <v>162</v>
      </c>
      <c r="P142" s="165" t="s">
        <v>162</v>
      </c>
      <c r="Q142" s="165" t="s">
        <v>162</v>
      </c>
      <c r="R142" s="167"/>
      <c r="S142" s="165" t="s">
        <v>162</v>
      </c>
      <c r="T142" s="165" t="s">
        <v>162</v>
      </c>
      <c r="U142" s="158" t="s">
        <v>162</v>
      </c>
      <c r="V142" s="168"/>
      <c r="W142" s="158" t="s">
        <v>966</v>
      </c>
      <c r="X142" s="158" t="s">
        <v>185</v>
      </c>
      <c r="Y142" s="158" t="s">
        <v>185</v>
      </c>
      <c r="Z142" s="158" t="s">
        <v>185</v>
      </c>
      <c r="AA142" s="158" t="str">
        <f>IF(AWS[[#This Row],[Column14]]="-","", "v")</f>
        <v/>
      </c>
      <c r="AB142" s="158" t="str">
        <f>IF(AWS[[#This Row],[Column8]]="x","1",(IF(OR(AWS[[#This Row],[Column25]]=2,AWS[[#This Row],[Column26]]=2,AWS[[#This Row],[Column27]]=2),"1",(IF(AWS[[#This Row],[Column9]]="x","2",(IF(AWS[[#This Row],[Column10]]="x","3","")))))))</f>
        <v>2</v>
      </c>
      <c r="AC142" s="158" t="str">
        <f>IF(AWS[[#This Row],[Column14]] = "-", AWS[[#This Row],[Column14]], LEFT(AWS[[#This Row],[Column14]], SEARCH(" ", AWS[[#This Row],[Column14]] &amp; " ") - 1))</f>
        <v>-</v>
      </c>
    </row>
    <row r="143" spans="1:29" ht="30">
      <c r="A14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3" s="137" t="str">
        <f>AWS[[#This Row],[Column30]]</f>
        <v>-</v>
      </c>
      <c r="C143" s="137">
        <v>10.6</v>
      </c>
      <c r="D143" s="237" t="s">
        <v>352</v>
      </c>
      <c r="E143" s="162" t="s">
        <v>156</v>
      </c>
      <c r="F143" s="138" t="s">
        <v>721</v>
      </c>
      <c r="G143" s="241" t="s">
        <v>722</v>
      </c>
      <c r="H143" s="137"/>
      <c r="I143" s="164" t="s">
        <v>185</v>
      </c>
      <c r="J143" s="200" t="s">
        <v>185</v>
      </c>
      <c r="K143" s="176" t="s">
        <v>185</v>
      </c>
      <c r="L143" s="176" t="s">
        <v>185</v>
      </c>
      <c r="M143" s="158"/>
      <c r="N143" s="165" t="s">
        <v>162</v>
      </c>
      <c r="O143" s="165" t="s">
        <v>162</v>
      </c>
      <c r="P143" s="165" t="s">
        <v>162</v>
      </c>
      <c r="Q143" s="165" t="s">
        <v>162</v>
      </c>
      <c r="R143" s="167"/>
      <c r="S143" s="165" t="s">
        <v>162</v>
      </c>
      <c r="T143" s="165" t="s">
        <v>162</v>
      </c>
      <c r="U143" s="158" t="s">
        <v>162</v>
      </c>
      <c r="V143" s="168"/>
      <c r="W143" s="158" t="s">
        <v>966</v>
      </c>
      <c r="X143" s="158" t="s">
        <v>185</v>
      </c>
      <c r="Y143" s="158" t="s">
        <v>185</v>
      </c>
      <c r="Z143" s="158" t="s">
        <v>185</v>
      </c>
      <c r="AA143" s="158" t="str">
        <f>IF(AWS[[#This Row],[Column14]]="-","", "v")</f>
        <v/>
      </c>
      <c r="AB143" s="158" t="str">
        <f>IF(AWS[[#This Row],[Column8]]="x","1",(IF(OR(AWS[[#This Row],[Column25]]=2,AWS[[#This Row],[Column26]]=2,AWS[[#This Row],[Column27]]=2),"1",(IF(AWS[[#This Row],[Column9]]="x","2",(IF(AWS[[#This Row],[Column10]]="x","3","")))))))</f>
        <v>2</v>
      </c>
      <c r="AC143" s="158" t="str">
        <f>IF(AWS[[#This Row],[Column14]] = "-", AWS[[#This Row],[Column14]], LEFT(AWS[[#This Row],[Column14]], SEARCH(" ", AWS[[#This Row],[Column14]] &amp; " ") - 1))</f>
        <v>-</v>
      </c>
    </row>
    <row r="144" spans="1:29" ht="30">
      <c r="A14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4" s="137" t="str">
        <f>AWS[[#This Row],[Column30]]</f>
        <v>-</v>
      </c>
      <c r="C144" s="137">
        <v>10.7</v>
      </c>
      <c r="D144" s="237" t="s">
        <v>352</v>
      </c>
      <c r="E144" s="162" t="s">
        <v>155</v>
      </c>
      <c r="F144" s="138" t="s">
        <v>723</v>
      </c>
      <c r="G144" s="241" t="s">
        <v>724</v>
      </c>
      <c r="H144" s="137"/>
      <c r="I144" s="164" t="s">
        <v>185</v>
      </c>
      <c r="J144" s="200" t="s">
        <v>185</v>
      </c>
      <c r="K144" s="176" t="s">
        <v>185</v>
      </c>
      <c r="L144" s="176" t="s">
        <v>185</v>
      </c>
      <c r="M144" s="158"/>
      <c r="N144" s="165" t="s">
        <v>162</v>
      </c>
      <c r="O144" s="165" t="s">
        <v>162</v>
      </c>
      <c r="P144" s="165" t="s">
        <v>162</v>
      </c>
      <c r="Q144" s="165" t="s">
        <v>162</v>
      </c>
      <c r="R144" s="167"/>
      <c r="S144" s="165" t="s">
        <v>162</v>
      </c>
      <c r="T144" s="165" t="s">
        <v>162</v>
      </c>
      <c r="U144" s="158" t="s">
        <v>162</v>
      </c>
      <c r="V144" s="168"/>
      <c r="W144" s="158" t="s">
        <v>966</v>
      </c>
      <c r="X144" s="158" t="s">
        <v>185</v>
      </c>
      <c r="Y144" s="158" t="s">
        <v>185</v>
      </c>
      <c r="Z144" s="158" t="s">
        <v>185</v>
      </c>
      <c r="AA144" s="158" t="str">
        <f>IF(AWS[[#This Row],[Column14]]="-","", "v")</f>
        <v/>
      </c>
      <c r="AB144" s="158" t="str">
        <f>IF(AWS[[#This Row],[Column8]]="x","1",(IF(OR(AWS[[#This Row],[Column25]]=2,AWS[[#This Row],[Column26]]=2,AWS[[#This Row],[Column27]]=2),"1",(IF(AWS[[#This Row],[Column9]]="x","2",(IF(AWS[[#This Row],[Column10]]="x","3","")))))))</f>
        <v>2</v>
      </c>
      <c r="AC144" s="158" t="str">
        <f>IF(AWS[[#This Row],[Column14]] = "-", AWS[[#This Row],[Column14]], LEFT(AWS[[#This Row],[Column14]], SEARCH(" ", AWS[[#This Row],[Column14]] &amp; " ") - 1))</f>
        <v>-</v>
      </c>
    </row>
    <row r="145" spans="1:29" ht="30" hidden="1">
      <c r="A145" s="178" t="s">
        <v>942</v>
      </c>
      <c r="B145" s="154" t="s">
        <v>162</v>
      </c>
      <c r="C145" s="154" t="s">
        <v>162</v>
      </c>
      <c r="D145" s="245" t="s">
        <v>162</v>
      </c>
      <c r="E145" s="178"/>
      <c r="F145" s="156" t="s">
        <v>725</v>
      </c>
      <c r="G145" s="242" t="s">
        <v>726</v>
      </c>
      <c r="H145" s="245" t="s">
        <v>162</v>
      </c>
      <c r="I145" s="245" t="s">
        <v>162</v>
      </c>
      <c r="J145" s="245" t="s">
        <v>162</v>
      </c>
      <c r="K145" s="245" t="s">
        <v>162</v>
      </c>
      <c r="L145" s="245" t="s">
        <v>162</v>
      </c>
      <c r="M145" s="245" t="s">
        <v>162</v>
      </c>
      <c r="N145" s="245" t="s">
        <v>162</v>
      </c>
      <c r="O145" s="245" t="s">
        <v>162</v>
      </c>
      <c r="P145" s="245" t="s">
        <v>162</v>
      </c>
      <c r="Q145" s="245" t="s">
        <v>162</v>
      </c>
      <c r="R145" s="167"/>
      <c r="S145" s="245" t="s">
        <v>162</v>
      </c>
      <c r="T145" s="245" t="s">
        <v>162</v>
      </c>
      <c r="U145" s="245" t="s">
        <v>162</v>
      </c>
      <c r="V145" s="245" t="s">
        <v>162</v>
      </c>
      <c r="W145" s="245" t="s">
        <v>162</v>
      </c>
      <c r="X145" s="245" t="s">
        <v>162</v>
      </c>
      <c r="Y145" s="245" t="s">
        <v>162</v>
      </c>
      <c r="Z145" s="245" t="s">
        <v>162</v>
      </c>
      <c r="AA145" s="245" t="s">
        <v>162</v>
      </c>
      <c r="AB145" s="245" t="s">
        <v>162</v>
      </c>
      <c r="AC145" s="158" t="str">
        <f>IF(AWS[[#This Row],[Column14]] = "-", AWS[[#This Row],[Column14]], LEFT(AWS[[#This Row],[Column14]], SEARCH(" ", AWS[[#This Row],[Column14]] &amp; " ") - 1))</f>
        <v>-</v>
      </c>
    </row>
    <row r="146" spans="1:29" ht="60" hidden="1">
      <c r="A14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6" s="137" t="str">
        <f>AWS[[#This Row],[Column30]]</f>
        <v>-</v>
      </c>
      <c r="C146" s="137">
        <v>11.1</v>
      </c>
      <c r="D146" s="237" t="s">
        <v>182</v>
      </c>
      <c r="E146" s="169" t="s">
        <v>158</v>
      </c>
      <c r="F146" s="138" t="s">
        <v>336</v>
      </c>
      <c r="G146" s="241" t="s">
        <v>337</v>
      </c>
      <c r="H146" s="163" t="s">
        <v>185</v>
      </c>
      <c r="I146" s="164" t="s">
        <v>185</v>
      </c>
      <c r="J146" s="200" t="s">
        <v>185</v>
      </c>
      <c r="K146" s="176" t="s">
        <v>185</v>
      </c>
      <c r="L146" s="176" t="s">
        <v>185</v>
      </c>
      <c r="M146" s="176" t="s">
        <v>185</v>
      </c>
      <c r="N146" s="165" t="s">
        <v>162</v>
      </c>
      <c r="O146" s="165" t="s">
        <v>162</v>
      </c>
      <c r="P146" s="165" t="s">
        <v>162</v>
      </c>
      <c r="Q146" s="165" t="s">
        <v>162</v>
      </c>
      <c r="R146" s="167"/>
      <c r="S146" s="165" t="s">
        <v>162</v>
      </c>
      <c r="T146" s="165" t="s">
        <v>162</v>
      </c>
      <c r="U146" s="158" t="s">
        <v>162</v>
      </c>
      <c r="V146" s="168"/>
      <c r="W146" s="158" t="s">
        <v>966</v>
      </c>
      <c r="X146" s="158"/>
      <c r="Y146" s="158"/>
      <c r="Z146" s="158" t="s">
        <v>185</v>
      </c>
      <c r="AA146" s="158" t="str">
        <f>IF(AWS[[#This Row],[Column14]]="-","", "v")</f>
        <v/>
      </c>
      <c r="AB146" s="158" t="str">
        <f>IF(AWS[[#This Row],[Column8]]="x","1",(IF(OR(AWS[[#This Row],[Column25]]=2,AWS[[#This Row],[Column26]]=2,AWS[[#This Row],[Column27]]=2),"1",(IF(AWS[[#This Row],[Column9]]="x","2",(IF(AWS[[#This Row],[Column10]]="x","3","")))))))</f>
        <v>1</v>
      </c>
      <c r="AC146" s="158" t="str">
        <f>IF(AWS[[#This Row],[Column14]] = "-", AWS[[#This Row],[Column14]], LEFT(AWS[[#This Row],[Column14]], SEARCH(" ", AWS[[#This Row],[Column14]] &amp; " ") - 1))</f>
        <v>-</v>
      </c>
    </row>
    <row r="147" spans="1:29" ht="30" hidden="1">
      <c r="A14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7" s="137" t="str">
        <f>AWS[[#This Row],[Column30]]</f>
        <v>-</v>
      </c>
      <c r="C147" s="137">
        <v>11.2</v>
      </c>
      <c r="D147" s="237" t="s">
        <v>182</v>
      </c>
      <c r="E147" s="169" t="s">
        <v>158</v>
      </c>
      <c r="F147" s="138" t="s">
        <v>338</v>
      </c>
      <c r="G147" s="241" t="s">
        <v>339</v>
      </c>
      <c r="H147" s="163" t="s">
        <v>185</v>
      </c>
      <c r="I147" s="164" t="s">
        <v>185</v>
      </c>
      <c r="J147" s="200" t="s">
        <v>185</v>
      </c>
      <c r="K147" s="176" t="s">
        <v>185</v>
      </c>
      <c r="L147" s="176" t="s">
        <v>185</v>
      </c>
      <c r="M147" s="176" t="s">
        <v>185</v>
      </c>
      <c r="N147" s="165" t="s">
        <v>162</v>
      </c>
      <c r="O147" s="165" t="s">
        <v>162</v>
      </c>
      <c r="P147" s="165" t="s">
        <v>162</v>
      </c>
      <c r="Q147" s="165" t="s">
        <v>162</v>
      </c>
      <c r="R147" s="167"/>
      <c r="S147" s="165" t="s">
        <v>162</v>
      </c>
      <c r="T147" s="165" t="s">
        <v>162</v>
      </c>
      <c r="U147" s="158" t="s">
        <v>162</v>
      </c>
      <c r="V147" s="168"/>
      <c r="W147" s="158" t="s">
        <v>966</v>
      </c>
      <c r="X147" s="158"/>
      <c r="Y147" s="158"/>
      <c r="Z147" s="158" t="s">
        <v>185</v>
      </c>
      <c r="AA147" s="158" t="str">
        <f>IF(AWS[[#This Row],[Column14]]="-","", "v")</f>
        <v/>
      </c>
      <c r="AB147" s="158" t="str">
        <f>IF(AWS[[#This Row],[Column8]]="x","1",(IF(OR(AWS[[#This Row],[Column25]]=2,AWS[[#This Row],[Column26]]=2,AWS[[#This Row],[Column27]]=2),"1",(IF(AWS[[#This Row],[Column9]]="x","2",(IF(AWS[[#This Row],[Column10]]="x","3","")))))))</f>
        <v>1</v>
      </c>
      <c r="AC147" s="158" t="str">
        <f>IF(AWS[[#This Row],[Column14]] = "-", AWS[[#This Row],[Column14]], LEFT(AWS[[#This Row],[Column14]], SEARCH(" ", AWS[[#This Row],[Column14]] &amp; " ") - 1))</f>
        <v>-</v>
      </c>
    </row>
    <row r="148" spans="1:29" ht="30" hidden="1">
      <c r="A14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8" s="137" t="str">
        <f>AWS[[#This Row],[Column30]]</f>
        <v>-</v>
      </c>
      <c r="C148" s="137">
        <v>11.3</v>
      </c>
      <c r="D148" s="237" t="s">
        <v>182</v>
      </c>
      <c r="E148" s="162" t="s">
        <v>156</v>
      </c>
      <c r="F148" s="138" t="s">
        <v>340</v>
      </c>
      <c r="G148" s="241" t="s">
        <v>341</v>
      </c>
      <c r="H148" s="163" t="s">
        <v>185</v>
      </c>
      <c r="I148" s="164" t="s">
        <v>185</v>
      </c>
      <c r="J148" s="200" t="s">
        <v>185</v>
      </c>
      <c r="K148" s="176" t="s">
        <v>185</v>
      </c>
      <c r="L148" s="176" t="s">
        <v>185</v>
      </c>
      <c r="M148" s="176" t="s">
        <v>185</v>
      </c>
      <c r="N148" s="165" t="s">
        <v>162</v>
      </c>
      <c r="O148" s="165" t="s">
        <v>162</v>
      </c>
      <c r="P148" s="165" t="s">
        <v>162</v>
      </c>
      <c r="Q148" s="165" t="s">
        <v>162</v>
      </c>
      <c r="R148" s="167"/>
      <c r="S148" s="165" t="s">
        <v>162</v>
      </c>
      <c r="T148" s="165" t="s">
        <v>162</v>
      </c>
      <c r="U148" s="158" t="s">
        <v>162</v>
      </c>
      <c r="V148" s="168"/>
      <c r="W148" s="158" t="s">
        <v>966</v>
      </c>
      <c r="X148" s="158"/>
      <c r="Y148" s="158"/>
      <c r="Z148" s="158" t="s">
        <v>185</v>
      </c>
      <c r="AA148" s="158" t="str">
        <f>IF(AWS[[#This Row],[Column14]]="-","", "v")</f>
        <v/>
      </c>
      <c r="AB148" s="158" t="str">
        <f>IF(AWS[[#This Row],[Column8]]="x","1",(IF(OR(AWS[[#This Row],[Column25]]=2,AWS[[#This Row],[Column26]]=2,AWS[[#This Row],[Column27]]=2),"1",(IF(AWS[[#This Row],[Column9]]="x","2",(IF(AWS[[#This Row],[Column10]]="x","3","")))))))</f>
        <v>1</v>
      </c>
      <c r="AC148" s="158" t="str">
        <f>IF(AWS[[#This Row],[Column14]] = "-", AWS[[#This Row],[Column14]], LEFT(AWS[[#This Row],[Column14]], SEARCH(" ", AWS[[#This Row],[Column14]] &amp; " ") - 1))</f>
        <v>-</v>
      </c>
    </row>
    <row r="149" spans="1:29" ht="45" hidden="1">
      <c r="A14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NOT(ISBLANK(K149)),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NOT(ISBLANK(L149)),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NOT(ISBLANK(M149)),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49" s="137" t="str">
        <f>AWS[[#This Row],[Column30]]</f>
        <v>-</v>
      </c>
      <c r="C149" s="137">
        <v>11.4</v>
      </c>
      <c r="D149" s="237" t="s">
        <v>182</v>
      </c>
      <c r="E149" s="169" t="s">
        <v>158</v>
      </c>
      <c r="F149" s="138" t="s">
        <v>342</v>
      </c>
      <c r="G149" s="243" t="s">
        <v>343</v>
      </c>
      <c r="H149" s="163" t="s">
        <v>185</v>
      </c>
      <c r="I149" s="164" t="s">
        <v>185</v>
      </c>
      <c r="J149" s="200" t="s">
        <v>185</v>
      </c>
      <c r="K149" s="176" t="s">
        <v>185</v>
      </c>
      <c r="L149" s="176" t="s">
        <v>185</v>
      </c>
      <c r="M149" s="176" t="s">
        <v>185</v>
      </c>
      <c r="N149" s="165" t="s">
        <v>162</v>
      </c>
      <c r="O149" s="165" t="s">
        <v>162</v>
      </c>
      <c r="P149" s="165" t="s">
        <v>162</v>
      </c>
      <c r="Q149" s="165" t="s">
        <v>162</v>
      </c>
      <c r="R149" s="167"/>
      <c r="S149" s="165" t="s">
        <v>162</v>
      </c>
      <c r="T149" s="165" t="s">
        <v>162</v>
      </c>
      <c r="U149" s="158" t="s">
        <v>162</v>
      </c>
      <c r="V149" s="168"/>
      <c r="W149" s="158" t="s">
        <v>966</v>
      </c>
      <c r="X149" s="158"/>
      <c r="Y149" s="158"/>
      <c r="Z149" s="158" t="s">
        <v>185</v>
      </c>
      <c r="AA149" s="158" t="str">
        <f>IF(AWS[[#This Row],[Column14]]="-","", "v")</f>
        <v/>
      </c>
      <c r="AB149" s="158" t="str">
        <f>IF(AWS[[#This Row],[Column8]]="x","1",(IF(OR(AWS[[#This Row],[Column25]]=2,AWS[[#This Row],[Column26]]=2,AWS[[#This Row],[Column27]]=2),"1",(IF(AWS[[#This Row],[Column9]]="x","2",(IF(AWS[[#This Row],[Column10]]="x","3","")))))))</f>
        <v>1</v>
      </c>
      <c r="AC149" s="158" t="str">
        <f>IF(AWS[[#This Row],[Column14]] = "-", AWS[[#This Row],[Column14]], LEFT(AWS[[#This Row],[Column14]], SEARCH(" ", AWS[[#This Row],[Column14]] &amp; " ") - 1))</f>
        <v>-</v>
      </c>
    </row>
    <row r="150" spans="1:29" ht="30" hidden="1">
      <c r="A15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0" s="137" t="str">
        <f>AWS[[#This Row],[Column30]]</f>
        <v>-</v>
      </c>
      <c r="C150" s="137">
        <v>11.5</v>
      </c>
      <c r="D150" s="237" t="s">
        <v>182</v>
      </c>
      <c r="E150" s="169" t="s">
        <v>158</v>
      </c>
      <c r="F150" s="138" t="s">
        <v>344</v>
      </c>
      <c r="G150" s="241" t="s">
        <v>345</v>
      </c>
      <c r="H150" s="204"/>
      <c r="I150" s="164" t="s">
        <v>185</v>
      </c>
      <c r="J150" s="200" t="s">
        <v>185</v>
      </c>
      <c r="K150" s="176" t="s">
        <v>185</v>
      </c>
      <c r="L150" s="176" t="s">
        <v>185</v>
      </c>
      <c r="M150" s="176" t="s">
        <v>185</v>
      </c>
      <c r="N150" s="165" t="s">
        <v>162</v>
      </c>
      <c r="O150" s="165" t="s">
        <v>162</v>
      </c>
      <c r="P150" s="165" t="s">
        <v>162</v>
      </c>
      <c r="Q150" s="165" t="s">
        <v>162</v>
      </c>
      <c r="R150" s="167"/>
      <c r="S150" s="165" t="s">
        <v>162</v>
      </c>
      <c r="T150" s="165" t="s">
        <v>162</v>
      </c>
      <c r="U150" s="158" t="s">
        <v>162</v>
      </c>
      <c r="V150" s="168"/>
      <c r="W150" s="158" t="s">
        <v>966</v>
      </c>
      <c r="X150" s="158"/>
      <c r="Y150" s="158"/>
      <c r="Z150" s="158" t="s">
        <v>185</v>
      </c>
      <c r="AA150" s="158" t="str">
        <f>IF(AWS[[#This Row],[Column14]]="-","", "v")</f>
        <v/>
      </c>
      <c r="AB150" s="158" t="str">
        <f>IF(AWS[[#This Row],[Column8]]="x","1",(IF(OR(AWS[[#This Row],[Column25]]=2,AWS[[#This Row],[Column26]]=2,AWS[[#This Row],[Column27]]=2),"1",(IF(AWS[[#This Row],[Column9]]="x","2",(IF(AWS[[#This Row],[Column10]]="x","3","")))))))</f>
        <v>2</v>
      </c>
      <c r="AC150" s="158" t="str">
        <f>IF(AWS[[#This Row],[Column14]] = "-", AWS[[#This Row],[Column14]], LEFT(AWS[[#This Row],[Column14]], SEARCH(" ", AWS[[#This Row],[Column14]] &amp; " ") - 1))</f>
        <v>-</v>
      </c>
    </row>
    <row r="151" spans="1:29" ht="45" hidden="1">
      <c r="A151" s="178" t="s">
        <v>942</v>
      </c>
      <c r="B151" s="154" t="s">
        <v>162</v>
      </c>
      <c r="C151" s="154" t="s">
        <v>162</v>
      </c>
      <c r="D151" s="245" t="s">
        <v>162</v>
      </c>
      <c r="E151" s="178"/>
      <c r="F151" s="156" t="s">
        <v>727</v>
      </c>
      <c r="G151" s="242" t="s">
        <v>728</v>
      </c>
      <c r="H151" s="245" t="s">
        <v>162</v>
      </c>
      <c r="I151" s="245" t="s">
        <v>162</v>
      </c>
      <c r="J151" s="245" t="s">
        <v>162</v>
      </c>
      <c r="K151" s="245" t="s">
        <v>162</v>
      </c>
      <c r="L151" s="245" t="s">
        <v>162</v>
      </c>
      <c r="M151" s="245" t="s">
        <v>162</v>
      </c>
      <c r="N151" s="245" t="s">
        <v>162</v>
      </c>
      <c r="O151" s="245" t="s">
        <v>162</v>
      </c>
      <c r="P151" s="245" t="s">
        <v>162</v>
      </c>
      <c r="Q151" s="245" t="s">
        <v>162</v>
      </c>
      <c r="R151" s="167"/>
      <c r="S151" s="245" t="s">
        <v>162</v>
      </c>
      <c r="T151" s="245" t="s">
        <v>162</v>
      </c>
      <c r="U151" s="245" t="s">
        <v>162</v>
      </c>
      <c r="V151" s="245" t="s">
        <v>162</v>
      </c>
      <c r="W151" s="245" t="s">
        <v>162</v>
      </c>
      <c r="X151" s="245" t="s">
        <v>162</v>
      </c>
      <c r="Y151" s="245" t="s">
        <v>162</v>
      </c>
      <c r="Z151" s="245" t="s">
        <v>162</v>
      </c>
      <c r="AA151" s="245" t="s">
        <v>162</v>
      </c>
      <c r="AB151" s="245" t="s">
        <v>162</v>
      </c>
      <c r="AC151" s="158" t="str">
        <f>IF(AWS[[#This Row],[Column14]] = "-", AWS[[#This Row],[Column14]], LEFT(AWS[[#This Row],[Column14]], SEARCH(" ", AWS[[#This Row],[Column14]] &amp; " ") - 1))</f>
        <v>-</v>
      </c>
    </row>
    <row r="152" spans="1:29" ht="60">
      <c r="A15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2" s="137" t="str">
        <f>AWS[[#This Row],[Column30]]</f>
        <v>-</v>
      </c>
      <c r="C152" s="137">
        <v>12.1</v>
      </c>
      <c r="D152" s="237" t="s">
        <v>390</v>
      </c>
      <c r="E152" s="162" t="s">
        <v>156</v>
      </c>
      <c r="F152" s="138" t="s">
        <v>729</v>
      </c>
      <c r="G152" s="241" t="s">
        <v>730</v>
      </c>
      <c r="H152" s="163" t="s">
        <v>185</v>
      </c>
      <c r="I152" s="164" t="s">
        <v>185</v>
      </c>
      <c r="J152" s="200" t="s">
        <v>185</v>
      </c>
      <c r="K152" s="176" t="s">
        <v>185</v>
      </c>
      <c r="L152" s="176"/>
      <c r="M152" s="176"/>
      <c r="N152" s="165" t="s">
        <v>162</v>
      </c>
      <c r="O152" s="165" t="s">
        <v>162</v>
      </c>
      <c r="P152" s="165" t="s">
        <v>162</v>
      </c>
      <c r="Q152" s="165" t="s">
        <v>162</v>
      </c>
      <c r="R152" s="167"/>
      <c r="S152" s="165" t="s">
        <v>162</v>
      </c>
      <c r="T152" s="165" t="s">
        <v>162</v>
      </c>
      <c r="U152" s="158" t="s">
        <v>162</v>
      </c>
      <c r="V152" s="168"/>
      <c r="W152" s="158" t="s">
        <v>966</v>
      </c>
      <c r="X152" s="158" t="s">
        <v>185</v>
      </c>
      <c r="Y152" s="158"/>
      <c r="Z152" s="158" t="s">
        <v>185</v>
      </c>
      <c r="AA152" s="158" t="str">
        <f>IF(AWS[[#This Row],[Column14]]="-","", "v")</f>
        <v/>
      </c>
      <c r="AB152" s="158" t="str">
        <f>IF(AWS[[#This Row],[Column8]]="x","1",(IF(OR(AWS[[#This Row],[Column25]]=2,AWS[[#This Row],[Column26]]=2,AWS[[#This Row],[Column27]]=2),"1",(IF(AWS[[#This Row],[Column9]]="x","2",(IF(AWS[[#This Row],[Column10]]="x","3","")))))))</f>
        <v>1</v>
      </c>
      <c r="AC152" s="158" t="str">
        <f>IF(AWS[[#This Row],[Column14]] = "-", AWS[[#This Row],[Column14]], LEFT(AWS[[#This Row],[Column14]], SEARCH(" ", AWS[[#This Row],[Column14]] &amp; " ") - 1))</f>
        <v>-</v>
      </c>
    </row>
    <row r="153" spans="1:29" ht="45" hidden="1">
      <c r="A15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3" s="137" t="str">
        <f>AWS[[#This Row],[Column30]]</f>
        <v>-</v>
      </c>
      <c r="C153" s="137">
        <v>12.2</v>
      </c>
      <c r="D153" s="237" t="s">
        <v>390</v>
      </c>
      <c r="E153" s="162" t="s">
        <v>156</v>
      </c>
      <c r="F153" s="138" t="s">
        <v>731</v>
      </c>
      <c r="G153" s="241" t="s">
        <v>732</v>
      </c>
      <c r="H153" s="204"/>
      <c r="I153" s="164" t="s">
        <v>185</v>
      </c>
      <c r="J153" s="200" t="s">
        <v>185</v>
      </c>
      <c r="K153" s="176" t="s">
        <v>185</v>
      </c>
      <c r="L153" s="176" t="s">
        <v>185</v>
      </c>
      <c r="M153" s="176" t="s">
        <v>185</v>
      </c>
      <c r="N153" s="165" t="s">
        <v>162</v>
      </c>
      <c r="O153" s="165" t="s">
        <v>162</v>
      </c>
      <c r="P153" s="165" t="s">
        <v>162</v>
      </c>
      <c r="Q153" s="165" t="s">
        <v>162</v>
      </c>
      <c r="R153" s="167"/>
      <c r="S153" s="165" t="s">
        <v>162</v>
      </c>
      <c r="T153" s="165" t="s">
        <v>162</v>
      </c>
      <c r="U153" s="158" t="s">
        <v>162</v>
      </c>
      <c r="V153" s="168"/>
      <c r="W153" s="158" t="s">
        <v>966</v>
      </c>
      <c r="X153" s="158" t="s">
        <v>185</v>
      </c>
      <c r="Y153" s="158"/>
      <c r="Z153" s="158" t="s">
        <v>185</v>
      </c>
      <c r="AA153" s="158" t="str">
        <f>IF(AWS[[#This Row],[Column14]]="-","", "v")</f>
        <v/>
      </c>
      <c r="AB153" s="158" t="str">
        <f>IF(AWS[[#This Row],[Column8]]="x","1",(IF(OR(AWS[[#This Row],[Column25]]=2,AWS[[#This Row],[Column26]]=2,AWS[[#This Row],[Column27]]=2),"1",(IF(AWS[[#This Row],[Column9]]="x","2",(IF(AWS[[#This Row],[Column10]]="x","3","")))))))</f>
        <v>2</v>
      </c>
      <c r="AC153" s="158" t="str">
        <f>IF(AWS[[#This Row],[Column14]] = "-", AWS[[#This Row],[Column14]], LEFT(AWS[[#This Row],[Column14]], SEARCH(" ", AWS[[#This Row],[Column14]] &amp; " ") - 1))</f>
        <v>-</v>
      </c>
    </row>
    <row r="154" spans="1:29" ht="45" hidden="1">
      <c r="A15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4" s="137" t="str">
        <f>AWS[[#This Row],[Column30]]</f>
        <v>-</v>
      </c>
      <c r="C154" s="137">
        <v>12.3</v>
      </c>
      <c r="D154" s="237" t="s">
        <v>390</v>
      </c>
      <c r="E154" s="162" t="s">
        <v>156</v>
      </c>
      <c r="F154" s="138" t="s">
        <v>733</v>
      </c>
      <c r="G154" s="241" t="s">
        <v>734</v>
      </c>
      <c r="H154" s="204"/>
      <c r="I154" s="164" t="s">
        <v>185</v>
      </c>
      <c r="J154" s="200" t="s">
        <v>185</v>
      </c>
      <c r="K154" s="176" t="s">
        <v>185</v>
      </c>
      <c r="L154" s="176" t="s">
        <v>185</v>
      </c>
      <c r="M154" s="176" t="s">
        <v>185</v>
      </c>
      <c r="N154" s="165" t="s">
        <v>162</v>
      </c>
      <c r="O154" s="165" t="s">
        <v>162</v>
      </c>
      <c r="P154" s="165" t="s">
        <v>162</v>
      </c>
      <c r="Q154" s="165" t="s">
        <v>162</v>
      </c>
      <c r="R154" s="167"/>
      <c r="S154" s="165" t="s">
        <v>162</v>
      </c>
      <c r="T154" s="165" t="s">
        <v>162</v>
      </c>
      <c r="U154" s="158" t="s">
        <v>162</v>
      </c>
      <c r="V154" s="168"/>
      <c r="W154" s="158" t="s">
        <v>966</v>
      </c>
      <c r="X154" s="158" t="s">
        <v>185</v>
      </c>
      <c r="Y154" s="158"/>
      <c r="Z154" s="158" t="s">
        <v>185</v>
      </c>
      <c r="AA154" s="158" t="str">
        <f>IF(AWS[[#This Row],[Column14]]="-","", "v")</f>
        <v/>
      </c>
      <c r="AB154" s="158" t="str">
        <f>IF(AWS[[#This Row],[Column8]]="x","1",(IF(OR(AWS[[#This Row],[Column25]]=2,AWS[[#This Row],[Column26]]=2,AWS[[#This Row],[Column27]]=2),"1",(IF(AWS[[#This Row],[Column9]]="x","2",(IF(AWS[[#This Row],[Column10]]="x","3","")))))))</f>
        <v>2</v>
      </c>
      <c r="AC154" s="158" t="str">
        <f>IF(AWS[[#This Row],[Column14]] = "-", AWS[[#This Row],[Column14]], LEFT(AWS[[#This Row],[Column14]], SEARCH(" ", AWS[[#This Row],[Column14]] &amp; " ") - 1))</f>
        <v>-</v>
      </c>
    </row>
    <row r="155" spans="1:29" ht="45" hidden="1">
      <c r="A15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5" s="137" t="str">
        <f>AWS[[#This Row],[Column30]]</f>
        <v>-</v>
      </c>
      <c r="C155" s="137">
        <v>12.4</v>
      </c>
      <c r="D155" s="237" t="s">
        <v>390</v>
      </c>
      <c r="E155" s="162" t="s">
        <v>154</v>
      </c>
      <c r="F155" s="138" t="s">
        <v>735</v>
      </c>
      <c r="G155" s="241" t="s">
        <v>736</v>
      </c>
      <c r="H155" s="204"/>
      <c r="I155" s="164" t="s">
        <v>185</v>
      </c>
      <c r="J155" s="200" t="s">
        <v>185</v>
      </c>
      <c r="K155" s="176" t="s">
        <v>185</v>
      </c>
      <c r="L155" s="176" t="s">
        <v>185</v>
      </c>
      <c r="M155" s="176" t="s">
        <v>185</v>
      </c>
      <c r="N155" s="165" t="s">
        <v>162</v>
      </c>
      <c r="O155" s="165" t="s">
        <v>162</v>
      </c>
      <c r="P155" s="165" t="s">
        <v>162</v>
      </c>
      <c r="Q155" s="165" t="s">
        <v>162</v>
      </c>
      <c r="R155" s="167"/>
      <c r="S155" s="165" t="s">
        <v>162</v>
      </c>
      <c r="T155" s="165" t="s">
        <v>162</v>
      </c>
      <c r="U155" s="158" t="s">
        <v>162</v>
      </c>
      <c r="V155" s="168"/>
      <c r="W155" s="158" t="s">
        <v>966</v>
      </c>
      <c r="X155" s="158" t="s">
        <v>185</v>
      </c>
      <c r="Y155" s="158"/>
      <c r="Z155" s="158" t="s">
        <v>185</v>
      </c>
      <c r="AA155" s="158" t="str">
        <f>IF(AWS[[#This Row],[Column14]]="-","", "v")</f>
        <v/>
      </c>
      <c r="AB155" s="158" t="str">
        <f>IF(AWS[[#This Row],[Column8]]="x","1",(IF(OR(AWS[[#This Row],[Column25]]=2,AWS[[#This Row],[Column26]]=2,AWS[[#This Row],[Column27]]=2),"1",(IF(AWS[[#This Row],[Column9]]="x","2",(IF(AWS[[#This Row],[Column10]]="x","3","")))))))</f>
        <v>2</v>
      </c>
      <c r="AC155" s="158" t="str">
        <f>IF(AWS[[#This Row],[Column14]] = "-", AWS[[#This Row],[Column14]], LEFT(AWS[[#This Row],[Column14]], SEARCH(" ", AWS[[#This Row],[Column14]] &amp; " ") - 1))</f>
        <v>-</v>
      </c>
    </row>
    <row r="156" spans="1:29" ht="60">
      <c r="A15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6" s="137" t="str">
        <f>AWS[[#This Row],[Column30]]</f>
        <v>-</v>
      </c>
      <c r="C156" s="137">
        <v>12.5</v>
      </c>
      <c r="D156" s="237" t="s">
        <v>390</v>
      </c>
      <c r="E156" s="162" t="s">
        <v>156</v>
      </c>
      <c r="F156" s="138" t="s">
        <v>737</v>
      </c>
      <c r="G156" s="241" t="s">
        <v>738</v>
      </c>
      <c r="H156" s="204"/>
      <c r="I156" s="164" t="s">
        <v>185</v>
      </c>
      <c r="J156" s="200" t="s">
        <v>185</v>
      </c>
      <c r="K156" s="176" t="s">
        <v>185</v>
      </c>
      <c r="L156" s="176"/>
      <c r="M156" s="176"/>
      <c r="N156" s="165" t="s">
        <v>162</v>
      </c>
      <c r="O156" s="165" t="s">
        <v>162</v>
      </c>
      <c r="P156" s="165" t="s">
        <v>162</v>
      </c>
      <c r="Q156" s="165" t="s">
        <v>162</v>
      </c>
      <c r="R156" s="167"/>
      <c r="S156" s="165" t="s">
        <v>162</v>
      </c>
      <c r="T156" s="165" t="s">
        <v>162</v>
      </c>
      <c r="U156" s="158" t="s">
        <v>162</v>
      </c>
      <c r="V156" s="168"/>
      <c r="W156" s="158" t="s">
        <v>966</v>
      </c>
      <c r="X156" s="158" t="s">
        <v>185</v>
      </c>
      <c r="Y156" s="158"/>
      <c r="Z156" s="158" t="s">
        <v>185</v>
      </c>
      <c r="AA156" s="158" t="str">
        <f>IF(AWS[[#This Row],[Column14]]="-","", "v")</f>
        <v/>
      </c>
      <c r="AB156" s="158" t="str">
        <f>IF(AWS[[#This Row],[Column8]]="x","1",(IF(OR(AWS[[#This Row],[Column25]]=2,AWS[[#This Row],[Column26]]=2,AWS[[#This Row],[Column27]]=2),"1",(IF(AWS[[#This Row],[Column9]]="x","2",(IF(AWS[[#This Row],[Column10]]="x","3","")))))))</f>
        <v>2</v>
      </c>
      <c r="AC156" s="158" t="str">
        <f>IF(AWS[[#This Row],[Column14]] = "-", AWS[[#This Row],[Column14]], LEFT(AWS[[#This Row],[Column14]], SEARCH(" ", AWS[[#This Row],[Column14]] &amp; " ") - 1))</f>
        <v>-</v>
      </c>
    </row>
    <row r="157" spans="1:29" ht="45">
      <c r="A15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7" s="137" t="str">
        <f>AWS[[#This Row],[Column30]]</f>
        <v>-</v>
      </c>
      <c r="C157" s="137">
        <v>12.6</v>
      </c>
      <c r="D157" s="237" t="s">
        <v>390</v>
      </c>
      <c r="E157" s="162" t="s">
        <v>156</v>
      </c>
      <c r="F157" s="138" t="s">
        <v>739</v>
      </c>
      <c r="G157" s="243" t="s">
        <v>740</v>
      </c>
      <c r="H157" s="204"/>
      <c r="I157" s="164" t="s">
        <v>185</v>
      </c>
      <c r="J157" s="200" t="s">
        <v>185</v>
      </c>
      <c r="K157" s="176" t="s">
        <v>185</v>
      </c>
      <c r="L157" s="176"/>
      <c r="M157" s="176"/>
      <c r="N157" s="165" t="s">
        <v>162</v>
      </c>
      <c r="O157" s="165" t="s">
        <v>162</v>
      </c>
      <c r="P157" s="165" t="s">
        <v>162</v>
      </c>
      <c r="Q157" s="165" t="s">
        <v>162</v>
      </c>
      <c r="R157" s="167"/>
      <c r="S157" s="165" t="s">
        <v>162</v>
      </c>
      <c r="T157" s="165" t="s">
        <v>162</v>
      </c>
      <c r="U157" s="158" t="s">
        <v>162</v>
      </c>
      <c r="V157" s="168"/>
      <c r="W157" s="158" t="s">
        <v>966</v>
      </c>
      <c r="X157" s="158" t="s">
        <v>185</v>
      </c>
      <c r="Y157" s="158"/>
      <c r="Z157" s="158" t="s">
        <v>185</v>
      </c>
      <c r="AA157" s="158" t="str">
        <f>IF(AWS[[#This Row],[Column14]]="-","", "v")</f>
        <v/>
      </c>
      <c r="AB157" s="158" t="str">
        <f>IF(AWS[[#This Row],[Column8]]="x","1",(IF(OR(AWS[[#This Row],[Column25]]=2,AWS[[#This Row],[Column26]]=2,AWS[[#This Row],[Column27]]=2),"1",(IF(AWS[[#This Row],[Column9]]="x","2",(IF(AWS[[#This Row],[Column10]]="x","3","")))))))</f>
        <v>2</v>
      </c>
      <c r="AC157" s="158" t="str">
        <f>IF(AWS[[#This Row],[Column14]] = "-", AWS[[#This Row],[Column14]], LEFT(AWS[[#This Row],[Column14]], SEARCH(" ", AWS[[#This Row],[Column14]] &amp; " ") - 1))</f>
        <v>-</v>
      </c>
    </row>
    <row r="158" spans="1:29" ht="75">
      <c r="A15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8" s="137" t="str">
        <f>AWS[[#This Row],[Column30]]</f>
        <v>-</v>
      </c>
      <c r="C158" s="137">
        <v>12.7</v>
      </c>
      <c r="D158" s="237" t="s">
        <v>352</v>
      </c>
      <c r="E158" s="162" t="s">
        <v>156</v>
      </c>
      <c r="F158" s="139" t="s">
        <v>741</v>
      </c>
      <c r="G158" s="243" t="s">
        <v>742</v>
      </c>
      <c r="H158" s="204"/>
      <c r="I158" s="164" t="s">
        <v>185</v>
      </c>
      <c r="J158" s="200" t="s">
        <v>185</v>
      </c>
      <c r="K158" s="176" t="s">
        <v>185</v>
      </c>
      <c r="L158" s="176"/>
      <c r="M158" s="176"/>
      <c r="N158" s="165" t="s">
        <v>162</v>
      </c>
      <c r="O158" s="165" t="s">
        <v>162</v>
      </c>
      <c r="P158" s="165" t="s">
        <v>162</v>
      </c>
      <c r="Q158" s="165" t="s">
        <v>162</v>
      </c>
      <c r="R158" s="167"/>
      <c r="S158" s="165" t="s">
        <v>162</v>
      </c>
      <c r="T158" s="165" t="s">
        <v>162</v>
      </c>
      <c r="U158" s="158" t="s">
        <v>162</v>
      </c>
      <c r="V158" s="168"/>
      <c r="W158" s="158" t="s">
        <v>966</v>
      </c>
      <c r="X158" s="158" t="s">
        <v>185</v>
      </c>
      <c r="Y158" s="158"/>
      <c r="Z158" s="158" t="s">
        <v>185</v>
      </c>
      <c r="AA158" s="158" t="str">
        <f>IF(AWS[[#This Row],[Column14]]="-","", "v")</f>
        <v/>
      </c>
      <c r="AB158" s="158" t="str">
        <f>IF(AWS[[#This Row],[Column8]]="x","1",(IF(OR(AWS[[#This Row],[Column25]]=2,AWS[[#This Row],[Column26]]=2,AWS[[#This Row],[Column27]]=2),"1",(IF(AWS[[#This Row],[Column9]]="x","2",(IF(AWS[[#This Row],[Column10]]="x","3","")))))))</f>
        <v>2</v>
      </c>
      <c r="AC158" s="158" t="str">
        <f>IF(AWS[[#This Row],[Column14]] = "-", AWS[[#This Row],[Column14]], LEFT(AWS[[#This Row],[Column14]], SEARCH(" ", AWS[[#This Row],[Column14]] &amp; " ") - 1))</f>
        <v>-</v>
      </c>
    </row>
    <row r="159" spans="1:29" ht="60">
      <c r="A15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NOT(ISBLANK(K159)),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NOT(ISBLANK(L159)),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NOT(ISBLANK(M159)),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59" s="137" t="str">
        <f>AWS[[#This Row],[Column30]]</f>
        <v>-</v>
      </c>
      <c r="C159" s="137">
        <v>12.8</v>
      </c>
      <c r="D159" s="237" t="s">
        <v>352</v>
      </c>
      <c r="E159" s="162" t="s">
        <v>156</v>
      </c>
      <c r="F159" s="139" t="s">
        <v>743</v>
      </c>
      <c r="G159" s="241" t="s">
        <v>744</v>
      </c>
      <c r="H159" s="137"/>
      <c r="I159" s="137"/>
      <c r="J159" s="200" t="s">
        <v>185</v>
      </c>
      <c r="K159" s="176" t="s">
        <v>185</v>
      </c>
      <c r="L159" s="176"/>
      <c r="M159" s="176"/>
      <c r="N159" s="165" t="s">
        <v>162</v>
      </c>
      <c r="O159" s="165" t="s">
        <v>162</v>
      </c>
      <c r="P159" s="165" t="s">
        <v>162</v>
      </c>
      <c r="Q159" s="165" t="s">
        <v>162</v>
      </c>
      <c r="R159" s="167"/>
      <c r="S159" s="165" t="s">
        <v>162</v>
      </c>
      <c r="T159" s="165" t="s">
        <v>162</v>
      </c>
      <c r="U159" s="158" t="s">
        <v>162</v>
      </c>
      <c r="V159" s="168"/>
      <c r="W159" s="158" t="s">
        <v>966</v>
      </c>
      <c r="X159" s="158" t="s">
        <v>185</v>
      </c>
      <c r="Y159" s="158"/>
      <c r="Z159" s="158" t="s">
        <v>185</v>
      </c>
      <c r="AA159" s="158" t="str">
        <f>IF(AWS[[#This Row],[Column14]]="-","", "v")</f>
        <v/>
      </c>
      <c r="AB159" s="158" t="str">
        <f>IF(AWS[[#This Row],[Column8]]="x","1",(IF(OR(AWS[[#This Row],[Column25]]=2,AWS[[#This Row],[Column26]]=2,AWS[[#This Row],[Column27]]=2),"1",(IF(AWS[[#This Row],[Column9]]="x","2",(IF(AWS[[#This Row],[Column10]]="x","3","")))))))</f>
        <v>3</v>
      </c>
      <c r="AC159" s="158" t="str">
        <f>IF(AWS[[#This Row],[Column14]] = "-", AWS[[#This Row],[Column14]], LEFT(AWS[[#This Row],[Column14]], SEARCH(" ", AWS[[#This Row],[Column14]] &amp; " ") - 1))</f>
        <v>-</v>
      </c>
    </row>
    <row r="160" spans="1:29" ht="45" hidden="1">
      <c r="A160" s="178" t="s">
        <v>942</v>
      </c>
      <c r="B160" s="154" t="s">
        <v>162</v>
      </c>
      <c r="C160" s="154" t="s">
        <v>162</v>
      </c>
      <c r="D160" s="245" t="s">
        <v>162</v>
      </c>
      <c r="E160" s="178"/>
      <c r="F160" s="156" t="s">
        <v>745</v>
      </c>
      <c r="G160" s="242" t="s">
        <v>746</v>
      </c>
      <c r="H160" s="245" t="s">
        <v>162</v>
      </c>
      <c r="I160" s="245" t="s">
        <v>162</v>
      </c>
      <c r="J160" s="245" t="s">
        <v>162</v>
      </c>
      <c r="K160" s="245" t="s">
        <v>162</v>
      </c>
      <c r="L160" s="245" t="s">
        <v>162</v>
      </c>
      <c r="M160" s="245" t="s">
        <v>162</v>
      </c>
      <c r="N160" s="245" t="s">
        <v>162</v>
      </c>
      <c r="O160" s="245" t="s">
        <v>162</v>
      </c>
      <c r="P160" s="245" t="s">
        <v>162</v>
      </c>
      <c r="Q160" s="245" t="s">
        <v>162</v>
      </c>
      <c r="R160" s="167"/>
      <c r="S160" s="245" t="s">
        <v>162</v>
      </c>
      <c r="T160" s="245" t="s">
        <v>162</v>
      </c>
      <c r="U160" s="245" t="s">
        <v>162</v>
      </c>
      <c r="V160" s="245" t="s">
        <v>162</v>
      </c>
      <c r="W160" s="245" t="s">
        <v>162</v>
      </c>
      <c r="X160" s="245" t="s">
        <v>162</v>
      </c>
      <c r="Y160" s="245" t="s">
        <v>162</v>
      </c>
      <c r="Z160" s="245" t="s">
        <v>162</v>
      </c>
      <c r="AA160" s="245" t="s">
        <v>162</v>
      </c>
      <c r="AB160" s="245" t="s">
        <v>162</v>
      </c>
      <c r="AC160" s="158" t="str">
        <f>IF(AWS[[#This Row],[Column14]] = "-", AWS[[#This Row],[Column14]], LEFT(AWS[[#This Row],[Column14]], SEARCH(" ", AWS[[#This Row],[Column14]] &amp; " ") - 1))</f>
        <v>-</v>
      </c>
    </row>
    <row r="161" spans="1:29" ht="60" hidden="1">
      <c r="A16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1" s="137" t="str">
        <f>AWS[[#This Row],[Column30]]</f>
        <v>-</v>
      </c>
      <c r="C161" s="137">
        <v>13.1</v>
      </c>
      <c r="D161" s="237" t="s">
        <v>390</v>
      </c>
      <c r="E161" s="162" t="s">
        <v>155</v>
      </c>
      <c r="F161" s="138" t="s">
        <v>747</v>
      </c>
      <c r="G161" s="243" t="s">
        <v>748</v>
      </c>
      <c r="H161" s="137"/>
      <c r="I161" s="164" t="s">
        <v>185</v>
      </c>
      <c r="J161" s="200" t="s">
        <v>185</v>
      </c>
      <c r="K161" s="176" t="s">
        <v>185</v>
      </c>
      <c r="L161" s="176" t="s">
        <v>185</v>
      </c>
      <c r="M161" s="176" t="s">
        <v>185</v>
      </c>
      <c r="N161" s="165" t="s">
        <v>162</v>
      </c>
      <c r="O161" s="165" t="s">
        <v>162</v>
      </c>
      <c r="P161" s="165" t="s">
        <v>162</v>
      </c>
      <c r="Q161" s="165" t="s">
        <v>162</v>
      </c>
      <c r="R161" s="167"/>
      <c r="S161" s="165" t="s">
        <v>162</v>
      </c>
      <c r="T161" s="165" t="s">
        <v>162</v>
      </c>
      <c r="U161" s="158" t="s">
        <v>162</v>
      </c>
      <c r="V161" s="168"/>
      <c r="W161" s="158" t="s">
        <v>966</v>
      </c>
      <c r="X161" s="158" t="s">
        <v>185</v>
      </c>
      <c r="Y161" s="158"/>
      <c r="Z161" s="158" t="s">
        <v>185</v>
      </c>
      <c r="AA161" s="158" t="str">
        <f>IF(AWS[[#This Row],[Column14]]="-","", "v")</f>
        <v/>
      </c>
      <c r="AB161" s="158" t="str">
        <f>IF(AWS[[#This Row],[Column8]]="x","1",(IF(OR(AWS[[#This Row],[Column25]]=2,AWS[[#This Row],[Column26]]=2,AWS[[#This Row],[Column27]]=2),"1",(IF(AWS[[#This Row],[Column9]]="x","2",(IF(AWS[[#This Row],[Column10]]="x","3","")))))))</f>
        <v>2</v>
      </c>
      <c r="AC161" s="158" t="str">
        <f>IF(AWS[[#This Row],[Column14]] = "-", AWS[[#This Row],[Column14]], LEFT(AWS[[#This Row],[Column14]], SEARCH(" ", AWS[[#This Row],[Column14]] &amp; " ") - 1))</f>
        <v>-</v>
      </c>
    </row>
    <row r="162" spans="1:29" ht="30">
      <c r="A16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2" s="137" t="str">
        <f>AWS[[#This Row],[Column30]]</f>
        <v>-</v>
      </c>
      <c r="C162" s="137">
        <v>13.2</v>
      </c>
      <c r="D162" s="237" t="s">
        <v>352</v>
      </c>
      <c r="E162" s="162" t="s">
        <v>155</v>
      </c>
      <c r="F162" s="138" t="s">
        <v>749</v>
      </c>
      <c r="G162" s="241" t="s">
        <v>750</v>
      </c>
      <c r="H162" s="137"/>
      <c r="I162" s="164" t="s">
        <v>185</v>
      </c>
      <c r="J162" s="200" t="s">
        <v>185</v>
      </c>
      <c r="K162" s="176" t="s">
        <v>185</v>
      </c>
      <c r="L162" s="176"/>
      <c r="M162" s="176"/>
      <c r="N162" s="165" t="s">
        <v>162</v>
      </c>
      <c r="O162" s="165" t="s">
        <v>162</v>
      </c>
      <c r="P162" s="165" t="s">
        <v>162</v>
      </c>
      <c r="Q162" s="165" t="s">
        <v>162</v>
      </c>
      <c r="R162" s="167"/>
      <c r="S162" s="165" t="s">
        <v>162</v>
      </c>
      <c r="T162" s="165" t="s">
        <v>162</v>
      </c>
      <c r="U162" s="158" t="s">
        <v>162</v>
      </c>
      <c r="V162" s="168"/>
      <c r="W162" s="158" t="s">
        <v>966</v>
      </c>
      <c r="X162" s="158" t="s">
        <v>185</v>
      </c>
      <c r="Y162" s="158"/>
      <c r="Z162" s="158" t="s">
        <v>185</v>
      </c>
      <c r="AA162" s="158" t="str">
        <f>IF(AWS[[#This Row],[Column14]]="-","", "v")</f>
        <v/>
      </c>
      <c r="AB162" s="158" t="str">
        <f>IF(AWS[[#This Row],[Column8]]="x","1",(IF(OR(AWS[[#This Row],[Column25]]=2,AWS[[#This Row],[Column26]]=2,AWS[[#This Row],[Column27]]=2),"1",(IF(AWS[[#This Row],[Column9]]="x","2",(IF(AWS[[#This Row],[Column10]]="x","3","")))))))</f>
        <v>2</v>
      </c>
      <c r="AC162" s="158" t="str">
        <f>IF(AWS[[#This Row],[Column14]] = "-", AWS[[#This Row],[Column14]], LEFT(AWS[[#This Row],[Column14]], SEARCH(" ", AWS[[#This Row],[Column14]] &amp; " ") - 1))</f>
        <v>-</v>
      </c>
    </row>
    <row r="163" spans="1:29" ht="45">
      <c r="A16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3" s="137" t="str">
        <f>AWS[[#This Row],[Column30]]</f>
        <v>-</v>
      </c>
      <c r="C163" s="137">
        <v>13.3</v>
      </c>
      <c r="D163" s="237" t="s">
        <v>390</v>
      </c>
      <c r="E163" s="162" t="s">
        <v>155</v>
      </c>
      <c r="F163" s="138" t="s">
        <v>751</v>
      </c>
      <c r="G163" s="243" t="s">
        <v>752</v>
      </c>
      <c r="H163" s="137"/>
      <c r="I163" s="164" t="s">
        <v>185</v>
      </c>
      <c r="J163" s="200" t="s">
        <v>185</v>
      </c>
      <c r="K163" s="176" t="s">
        <v>185</v>
      </c>
      <c r="L163" s="176"/>
      <c r="M163" s="176"/>
      <c r="N163" s="165" t="s">
        <v>162</v>
      </c>
      <c r="O163" s="165" t="s">
        <v>162</v>
      </c>
      <c r="P163" s="165" t="s">
        <v>162</v>
      </c>
      <c r="Q163" s="165" t="s">
        <v>162</v>
      </c>
      <c r="R163" s="167"/>
      <c r="S163" s="165" t="s">
        <v>162</v>
      </c>
      <c r="T163" s="165" t="s">
        <v>162</v>
      </c>
      <c r="U163" s="158" t="s">
        <v>162</v>
      </c>
      <c r="V163" s="168"/>
      <c r="W163" s="158" t="s">
        <v>966</v>
      </c>
      <c r="X163" s="158" t="s">
        <v>185</v>
      </c>
      <c r="Y163" s="158"/>
      <c r="Z163" s="158" t="s">
        <v>185</v>
      </c>
      <c r="AA163" s="158" t="str">
        <f>IF(AWS[[#This Row],[Column14]]="-","", "v")</f>
        <v/>
      </c>
      <c r="AB163" s="158" t="str">
        <f>IF(AWS[[#This Row],[Column8]]="x","1",(IF(OR(AWS[[#This Row],[Column25]]=2,AWS[[#This Row],[Column26]]=2,AWS[[#This Row],[Column27]]=2),"1",(IF(AWS[[#This Row],[Column9]]="x","2",(IF(AWS[[#This Row],[Column10]]="x","3","")))))))</f>
        <v>2</v>
      </c>
      <c r="AC163" s="158" t="str">
        <f>IF(AWS[[#This Row],[Column14]] = "-", AWS[[#This Row],[Column14]], LEFT(AWS[[#This Row],[Column14]], SEARCH(" ", AWS[[#This Row],[Column14]] &amp; " ") - 1))</f>
        <v>-</v>
      </c>
    </row>
    <row r="164" spans="1:29" ht="228">
      <c r="A16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4" s="137" t="str">
        <f>AWS[[#This Row],[Column30]]</f>
        <v>5.1</v>
      </c>
      <c r="C164" s="137">
        <v>13.4</v>
      </c>
      <c r="D164" s="237" t="s">
        <v>390</v>
      </c>
      <c r="E164" s="162" t="s">
        <v>156</v>
      </c>
      <c r="F164" s="138" t="s">
        <v>753</v>
      </c>
      <c r="G164" s="241" t="s">
        <v>754</v>
      </c>
      <c r="H164" s="137"/>
      <c r="I164" s="164" t="s">
        <v>185</v>
      </c>
      <c r="J164" s="200" t="s">
        <v>185</v>
      </c>
      <c r="K164" s="176" t="s">
        <v>185</v>
      </c>
      <c r="L164" s="176"/>
      <c r="M164" s="176"/>
      <c r="N164" s="165" t="s">
        <v>687</v>
      </c>
      <c r="O164" s="197" t="s">
        <v>198</v>
      </c>
      <c r="P164" s="166" t="s">
        <v>755</v>
      </c>
      <c r="Q164" s="166" t="s">
        <v>689</v>
      </c>
      <c r="R164" s="167" t="s">
        <v>690</v>
      </c>
      <c r="S164" s="166" t="s">
        <v>691</v>
      </c>
      <c r="T164" s="166" t="s">
        <v>692</v>
      </c>
      <c r="U164" s="158" t="s">
        <v>162</v>
      </c>
      <c r="V164" s="168" t="s">
        <v>917</v>
      </c>
      <c r="W164" s="158" t="s">
        <v>967</v>
      </c>
      <c r="X164" s="158" t="s">
        <v>185</v>
      </c>
      <c r="Y164" s="158"/>
      <c r="Z164" s="158" t="s">
        <v>185</v>
      </c>
      <c r="AA164" s="158" t="str">
        <f>IF(AWS[[#This Row],[Column14]]="-","", "v")</f>
        <v>v</v>
      </c>
      <c r="AB164" s="158" t="str">
        <f>IF(AWS[[#This Row],[Column8]]="x","1",(IF(OR(AWS[[#This Row],[Column25]]=2,AWS[[#This Row],[Column26]]=2,AWS[[#This Row],[Column27]]=2),"1",(IF(AWS[[#This Row],[Column9]]="x","2",(IF(AWS[[#This Row],[Column10]]="x","3","")))))))</f>
        <v>2</v>
      </c>
      <c r="AC164" s="158" t="str">
        <f>IF(AWS[[#This Row],[Column14]] = "-", AWS[[#This Row],[Column14]], LEFT(AWS[[#This Row],[Column14]], SEARCH(" ", AWS[[#This Row],[Column14]] &amp; " ") - 1))</f>
        <v>5.1</v>
      </c>
    </row>
    <row r="165" spans="1:29" ht="409.5">
      <c r="A16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5" s="137" t="str">
        <f>AWS[[#This Row],[Column30]]</f>
        <v>5.2</v>
      </c>
      <c r="C165" s="137">
        <v>13.4</v>
      </c>
      <c r="D165" s="237" t="s">
        <v>390</v>
      </c>
      <c r="E165" s="162" t="s">
        <v>156</v>
      </c>
      <c r="F165" s="138" t="s">
        <v>753</v>
      </c>
      <c r="G165" s="241" t="s">
        <v>754</v>
      </c>
      <c r="H165" s="137"/>
      <c r="I165" s="164" t="s">
        <v>185</v>
      </c>
      <c r="J165" s="200" t="s">
        <v>185</v>
      </c>
      <c r="K165" s="176" t="s">
        <v>185</v>
      </c>
      <c r="L165" s="176"/>
      <c r="M165" s="176"/>
      <c r="N165" s="165" t="s">
        <v>756</v>
      </c>
      <c r="O165" s="197" t="s">
        <v>198</v>
      </c>
      <c r="P165" s="166" t="s">
        <v>757</v>
      </c>
      <c r="Q165" s="166" t="s">
        <v>758</v>
      </c>
      <c r="R165" s="167" t="s">
        <v>759</v>
      </c>
      <c r="S165" s="166" t="s">
        <v>760</v>
      </c>
      <c r="T165" s="166" t="s">
        <v>761</v>
      </c>
      <c r="U165" s="158" t="s">
        <v>162</v>
      </c>
      <c r="V165" s="168" t="s">
        <v>917</v>
      </c>
      <c r="W165" s="158" t="s">
        <v>967</v>
      </c>
      <c r="X165" s="158" t="s">
        <v>185</v>
      </c>
      <c r="Y165" s="158"/>
      <c r="Z165" s="158" t="s">
        <v>185</v>
      </c>
      <c r="AA165" s="158" t="str">
        <f>IF(AWS[[#This Row],[Column14]]="-","", "v")</f>
        <v>v</v>
      </c>
      <c r="AB165" s="158" t="str">
        <f>IF(AWS[[#This Row],[Column8]]="x","1",(IF(OR(AWS[[#This Row],[Column25]]=2,AWS[[#This Row],[Column26]]=2,AWS[[#This Row],[Column27]]=2),"1",(IF(AWS[[#This Row],[Column9]]="x","2",(IF(AWS[[#This Row],[Column10]]="x","3","")))))))</f>
        <v>2</v>
      </c>
      <c r="AC165" s="158" t="str">
        <f>IF(AWS[[#This Row],[Column14]] = "-", AWS[[#This Row],[Column14]], LEFT(AWS[[#This Row],[Column14]], SEARCH(" ", AWS[[#This Row],[Column14]] &amp; " ") - 1))</f>
        <v>5.2</v>
      </c>
    </row>
    <row r="166" spans="1:29" ht="399">
      <c r="A16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6" s="137" t="str">
        <f>AWS[[#This Row],[Column30]]</f>
        <v>5.3</v>
      </c>
      <c r="C166" s="137">
        <v>13.4</v>
      </c>
      <c r="D166" s="237" t="s">
        <v>390</v>
      </c>
      <c r="E166" s="162" t="s">
        <v>156</v>
      </c>
      <c r="F166" s="138" t="s">
        <v>753</v>
      </c>
      <c r="G166" s="241" t="s">
        <v>754</v>
      </c>
      <c r="H166" s="137"/>
      <c r="I166" s="164" t="s">
        <v>185</v>
      </c>
      <c r="J166" s="200" t="s">
        <v>185</v>
      </c>
      <c r="K166" s="176" t="s">
        <v>185</v>
      </c>
      <c r="L166" s="176"/>
      <c r="M166" s="176"/>
      <c r="N166" s="165" t="s">
        <v>762</v>
      </c>
      <c r="O166" s="197" t="s">
        <v>198</v>
      </c>
      <c r="P166" s="166" t="s">
        <v>763</v>
      </c>
      <c r="Q166" s="166" t="s">
        <v>764</v>
      </c>
      <c r="R166" s="167"/>
      <c r="S166" s="166"/>
      <c r="T166" s="166"/>
      <c r="U166" s="158" t="s">
        <v>162</v>
      </c>
      <c r="V166" s="168" t="s">
        <v>917</v>
      </c>
      <c r="W166" s="158" t="s">
        <v>967</v>
      </c>
      <c r="X166" s="158" t="s">
        <v>185</v>
      </c>
      <c r="Y166" s="158"/>
      <c r="Z166" s="158" t="s">
        <v>185</v>
      </c>
      <c r="AA166" s="158" t="str">
        <f>IF(AWS[[#This Row],[Column14]]="-","", "v")</f>
        <v>v</v>
      </c>
      <c r="AB166" s="158" t="str">
        <f>IF(AWS[[#This Row],[Column8]]="x","1",(IF(OR(AWS[[#This Row],[Column25]]=2,AWS[[#This Row],[Column26]]=2,AWS[[#This Row],[Column27]]=2),"1",(IF(AWS[[#This Row],[Column9]]="x","2",(IF(AWS[[#This Row],[Column10]]="x","3","")))))))</f>
        <v>2</v>
      </c>
      <c r="AC166" s="158" t="str">
        <f>IF(AWS[[#This Row],[Column14]] = "-", AWS[[#This Row],[Column14]], LEFT(AWS[[#This Row],[Column14]], SEARCH(" ", AWS[[#This Row],[Column14]] &amp; " ") - 1))</f>
        <v>5.3</v>
      </c>
    </row>
    <row r="167" spans="1:29" ht="75">
      <c r="A16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7" s="137" t="str">
        <f>AWS[[#This Row],[Column30]]</f>
        <v>-</v>
      </c>
      <c r="C167" s="137">
        <v>13.5</v>
      </c>
      <c r="D167" s="237" t="s">
        <v>352</v>
      </c>
      <c r="E167" s="162" t="s">
        <v>156</v>
      </c>
      <c r="F167" s="138" t="s">
        <v>765</v>
      </c>
      <c r="G167" s="243" t="s">
        <v>766</v>
      </c>
      <c r="H167" s="137"/>
      <c r="I167" s="164" t="s">
        <v>185</v>
      </c>
      <c r="J167" s="200" t="s">
        <v>185</v>
      </c>
      <c r="K167" s="176" t="s">
        <v>185</v>
      </c>
      <c r="L167" s="176"/>
      <c r="M167" s="176"/>
      <c r="N167" s="165" t="s">
        <v>162</v>
      </c>
      <c r="O167" s="165" t="s">
        <v>162</v>
      </c>
      <c r="P167" s="165" t="s">
        <v>162</v>
      </c>
      <c r="Q167" s="165" t="s">
        <v>162</v>
      </c>
      <c r="R167" s="167"/>
      <c r="S167" s="165" t="s">
        <v>162</v>
      </c>
      <c r="T167" s="165" t="s">
        <v>162</v>
      </c>
      <c r="U167" s="158" t="s">
        <v>162</v>
      </c>
      <c r="V167" s="168"/>
      <c r="W167" s="158" t="s">
        <v>966</v>
      </c>
      <c r="X167" s="158" t="s">
        <v>185</v>
      </c>
      <c r="Y167" s="158"/>
      <c r="Z167" s="158" t="s">
        <v>185</v>
      </c>
      <c r="AA167" s="158" t="str">
        <f>IF(AWS[[#This Row],[Column14]]="-","", "v")</f>
        <v/>
      </c>
      <c r="AB167" s="158" t="str">
        <f>IF(AWS[[#This Row],[Column8]]="x","1",(IF(OR(AWS[[#This Row],[Column25]]=2,AWS[[#This Row],[Column26]]=2,AWS[[#This Row],[Column27]]=2),"1",(IF(AWS[[#This Row],[Column9]]="x","2",(IF(AWS[[#This Row],[Column10]]="x","3","")))))))</f>
        <v>2</v>
      </c>
      <c r="AC167" s="158" t="str">
        <f>IF(AWS[[#This Row],[Column14]] = "-", AWS[[#This Row],[Column14]], LEFT(AWS[[#This Row],[Column14]], SEARCH(" ", AWS[[#This Row],[Column14]] &amp; " ") - 1))</f>
        <v>-</v>
      </c>
    </row>
    <row r="168" spans="1:29" ht="409.5">
      <c r="A16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8" s="137" t="str">
        <f>AWS[[#This Row],[Column30]]</f>
        <v>3.9</v>
      </c>
      <c r="C168" s="137">
        <v>13.6</v>
      </c>
      <c r="D168" s="237" t="s">
        <v>390</v>
      </c>
      <c r="E168" s="162" t="s">
        <v>155</v>
      </c>
      <c r="F168" s="138" t="s">
        <v>767</v>
      </c>
      <c r="G168" s="241" t="s">
        <v>768</v>
      </c>
      <c r="H168" s="137"/>
      <c r="I168" s="164" t="s">
        <v>185</v>
      </c>
      <c r="J168" s="200" t="s">
        <v>185</v>
      </c>
      <c r="K168" s="176" t="s">
        <v>185</v>
      </c>
      <c r="L168" s="176"/>
      <c r="M168" s="176"/>
      <c r="N168" s="165" t="s">
        <v>546</v>
      </c>
      <c r="O168" s="197" t="s">
        <v>187</v>
      </c>
      <c r="P168" s="166" t="s">
        <v>547</v>
      </c>
      <c r="Q168" s="166" t="s">
        <v>548</v>
      </c>
      <c r="R168" s="167" t="s">
        <v>549</v>
      </c>
      <c r="S168" s="166" t="s">
        <v>550</v>
      </c>
      <c r="T168" s="166" t="s">
        <v>551</v>
      </c>
      <c r="U168" s="158" t="s">
        <v>162</v>
      </c>
      <c r="V168" s="168" t="s">
        <v>912</v>
      </c>
      <c r="W168" s="158" t="s">
        <v>967</v>
      </c>
      <c r="X168" s="158" t="s">
        <v>185</v>
      </c>
      <c r="Y168" s="158"/>
      <c r="Z168" s="158" t="s">
        <v>185</v>
      </c>
      <c r="AA168" s="158" t="str">
        <f>IF(AWS[[#This Row],[Column14]]="-","", "v")</f>
        <v>v</v>
      </c>
      <c r="AB168" s="158" t="str">
        <f>IF(AWS[[#This Row],[Column8]]="x","1",(IF(OR(AWS[[#This Row],[Column25]]=2,AWS[[#This Row],[Column26]]=2,AWS[[#This Row],[Column27]]=2),"1",(IF(AWS[[#This Row],[Column9]]="x","2",(IF(AWS[[#This Row],[Column10]]="x","3","")))))))</f>
        <v>2</v>
      </c>
      <c r="AC168" s="158" t="str">
        <f>IF(AWS[[#This Row],[Column14]] = "-", AWS[[#This Row],[Column14]], LEFT(AWS[[#This Row],[Column14]], SEARCH(" ", AWS[[#This Row],[Column14]] &amp; " ") - 1))</f>
        <v>3.9</v>
      </c>
    </row>
    <row r="169" spans="1:29" ht="45">
      <c r="A16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NOT(ISBLANK(K169)),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NOT(ISBLANK(L169)),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NOT(ISBLANK(M169)),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69" s="137" t="str">
        <f>AWS[[#This Row],[Column30]]</f>
        <v>-</v>
      </c>
      <c r="C169" s="137">
        <v>13.7</v>
      </c>
      <c r="D169" s="237" t="s">
        <v>352</v>
      </c>
      <c r="E169" s="162" t="s">
        <v>156</v>
      </c>
      <c r="F169" s="138" t="s">
        <v>769</v>
      </c>
      <c r="G169" s="243" t="s">
        <v>770</v>
      </c>
      <c r="H169" s="137"/>
      <c r="I169" s="137"/>
      <c r="J169" s="200" t="s">
        <v>185</v>
      </c>
      <c r="K169" s="176" t="s">
        <v>185</v>
      </c>
      <c r="L169" s="176"/>
      <c r="M169" s="176"/>
      <c r="N169" s="165" t="s">
        <v>162</v>
      </c>
      <c r="O169" s="165" t="s">
        <v>162</v>
      </c>
      <c r="P169" s="165" t="s">
        <v>162</v>
      </c>
      <c r="Q169" s="165" t="s">
        <v>162</v>
      </c>
      <c r="R169" s="167"/>
      <c r="S169" s="165" t="s">
        <v>162</v>
      </c>
      <c r="T169" s="165" t="s">
        <v>162</v>
      </c>
      <c r="U169" s="158" t="s">
        <v>162</v>
      </c>
      <c r="V169" s="168"/>
      <c r="W169" s="158" t="s">
        <v>966</v>
      </c>
      <c r="X169" s="158" t="s">
        <v>185</v>
      </c>
      <c r="Y169" s="158"/>
      <c r="Z169" s="158" t="s">
        <v>185</v>
      </c>
      <c r="AA169" s="158" t="str">
        <f>IF(AWS[[#This Row],[Column14]]="-","", "v")</f>
        <v/>
      </c>
      <c r="AB169" s="158" t="str">
        <f>IF(AWS[[#This Row],[Column8]]="x","1",(IF(OR(AWS[[#This Row],[Column25]]=2,AWS[[#This Row],[Column26]]=2,AWS[[#This Row],[Column27]]=2),"1",(IF(AWS[[#This Row],[Column9]]="x","2",(IF(AWS[[#This Row],[Column10]]="x","3","")))))))</f>
        <v>3</v>
      </c>
      <c r="AC169" s="158" t="str">
        <f>IF(AWS[[#This Row],[Column14]] = "-", AWS[[#This Row],[Column14]], LEFT(AWS[[#This Row],[Column14]], SEARCH(" ", AWS[[#This Row],[Column14]] &amp; " ") - 1))</f>
        <v>-</v>
      </c>
    </row>
    <row r="170" spans="1:29" ht="45">
      <c r="A17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0" s="137" t="str">
        <f>AWS[[#This Row],[Column30]]</f>
        <v>-</v>
      </c>
      <c r="C170" s="137">
        <v>13.8</v>
      </c>
      <c r="D170" s="237" t="s">
        <v>390</v>
      </c>
      <c r="E170" s="162" t="s">
        <v>156</v>
      </c>
      <c r="F170" s="138" t="s">
        <v>771</v>
      </c>
      <c r="G170" s="241" t="s">
        <v>772</v>
      </c>
      <c r="H170" s="137"/>
      <c r="I170" s="137"/>
      <c r="J170" s="200" t="s">
        <v>185</v>
      </c>
      <c r="K170" s="158" t="s">
        <v>185</v>
      </c>
      <c r="L170" s="158"/>
      <c r="M170" s="158"/>
      <c r="N170" s="165" t="s">
        <v>162</v>
      </c>
      <c r="O170" s="165" t="s">
        <v>162</v>
      </c>
      <c r="P170" s="165" t="s">
        <v>162</v>
      </c>
      <c r="Q170" s="165" t="s">
        <v>162</v>
      </c>
      <c r="R170" s="167"/>
      <c r="S170" s="165" t="s">
        <v>162</v>
      </c>
      <c r="T170" s="165" t="s">
        <v>162</v>
      </c>
      <c r="U170" s="158" t="s">
        <v>162</v>
      </c>
      <c r="V170" s="168"/>
      <c r="W170" s="158" t="s">
        <v>966</v>
      </c>
      <c r="X170" s="158" t="s">
        <v>185</v>
      </c>
      <c r="Y170" s="158"/>
      <c r="Z170" s="158" t="s">
        <v>185</v>
      </c>
      <c r="AA170" s="158" t="str">
        <f>IF(AWS[[#This Row],[Column14]]="-","", "v")</f>
        <v/>
      </c>
      <c r="AB170" s="158" t="str">
        <f>IF(AWS[[#This Row],[Column8]]="x","1",(IF(OR(AWS[[#This Row],[Column25]]=2,AWS[[#This Row],[Column26]]=2,AWS[[#This Row],[Column27]]=2),"1",(IF(AWS[[#This Row],[Column9]]="x","2",(IF(AWS[[#This Row],[Column10]]="x","3","")))))))</f>
        <v>3</v>
      </c>
      <c r="AC170" s="158" t="str">
        <f>IF(AWS[[#This Row],[Column14]] = "-", AWS[[#This Row],[Column14]], LEFT(AWS[[#This Row],[Column14]], SEARCH(" ", AWS[[#This Row],[Column14]] &amp; " ") - 1))</f>
        <v>-</v>
      </c>
    </row>
    <row r="171" spans="1:29" ht="45">
      <c r="A17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1" s="137" t="str">
        <f>AWS[[#This Row],[Column30]]</f>
        <v>-</v>
      </c>
      <c r="C171" s="137">
        <v>13.9</v>
      </c>
      <c r="D171" s="237" t="s">
        <v>352</v>
      </c>
      <c r="E171" s="162" t="s">
        <v>156</v>
      </c>
      <c r="F171" s="138" t="s">
        <v>773</v>
      </c>
      <c r="G171" s="241" t="s">
        <v>774</v>
      </c>
      <c r="H171" s="137"/>
      <c r="I171" s="137"/>
      <c r="J171" s="200" t="s">
        <v>185</v>
      </c>
      <c r="K171" s="176" t="s">
        <v>185</v>
      </c>
      <c r="L171" s="158"/>
      <c r="M171" s="158"/>
      <c r="N171" s="165" t="s">
        <v>162</v>
      </c>
      <c r="O171" s="165" t="s">
        <v>162</v>
      </c>
      <c r="P171" s="165" t="s">
        <v>162</v>
      </c>
      <c r="Q171" s="165" t="s">
        <v>162</v>
      </c>
      <c r="R171" s="167"/>
      <c r="S171" s="165" t="s">
        <v>162</v>
      </c>
      <c r="T171" s="165" t="s">
        <v>162</v>
      </c>
      <c r="U171" s="158" t="s">
        <v>162</v>
      </c>
      <c r="V171" s="168"/>
      <c r="W171" s="158" t="s">
        <v>966</v>
      </c>
      <c r="X171" s="158" t="s">
        <v>185</v>
      </c>
      <c r="Y171" s="158"/>
      <c r="Z171" s="158" t="s">
        <v>185</v>
      </c>
      <c r="AA171" s="158" t="str">
        <f>IF(AWS[[#This Row],[Column14]]="-","", "v")</f>
        <v/>
      </c>
      <c r="AB171" s="158" t="str">
        <f>IF(AWS[[#This Row],[Column8]]="x","1",(IF(OR(AWS[[#This Row],[Column25]]=2,AWS[[#This Row],[Column26]]=2,AWS[[#This Row],[Column27]]=2),"1",(IF(AWS[[#This Row],[Column9]]="x","2",(IF(AWS[[#This Row],[Column10]]="x","3","")))))))</f>
        <v>3</v>
      </c>
      <c r="AC171" s="158" t="str">
        <f>IF(AWS[[#This Row],[Column14]] = "-", AWS[[#This Row],[Column14]], LEFT(AWS[[#This Row],[Column14]], SEARCH(" ", AWS[[#This Row],[Column14]] &amp; " ") - 1))</f>
        <v>-</v>
      </c>
    </row>
    <row r="172" spans="1:29" ht="30">
      <c r="A17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2" s="137" t="str">
        <f>AWS[[#This Row],[Column30]]</f>
        <v>-</v>
      </c>
      <c r="C172" s="142">
        <v>13.1</v>
      </c>
      <c r="D172" s="237" t="s">
        <v>390</v>
      </c>
      <c r="E172" s="162" t="s">
        <v>156</v>
      </c>
      <c r="F172" s="138" t="s">
        <v>775</v>
      </c>
      <c r="G172" s="241" t="s">
        <v>776</v>
      </c>
      <c r="H172" s="137"/>
      <c r="I172" s="137"/>
      <c r="J172" s="200" t="s">
        <v>185</v>
      </c>
      <c r="K172" s="176" t="s">
        <v>185</v>
      </c>
      <c r="L172" s="176"/>
      <c r="M172" s="176"/>
      <c r="N172" s="165" t="s">
        <v>162</v>
      </c>
      <c r="O172" s="165" t="s">
        <v>162</v>
      </c>
      <c r="P172" s="165" t="s">
        <v>162</v>
      </c>
      <c r="Q172" s="165" t="s">
        <v>162</v>
      </c>
      <c r="R172" s="167"/>
      <c r="S172" s="165" t="s">
        <v>162</v>
      </c>
      <c r="T172" s="165" t="s">
        <v>162</v>
      </c>
      <c r="U172" s="158" t="s">
        <v>162</v>
      </c>
      <c r="V172" s="168"/>
      <c r="W172" s="158" t="s">
        <v>966</v>
      </c>
      <c r="X172" s="158" t="s">
        <v>185</v>
      </c>
      <c r="Y172" s="158"/>
      <c r="Z172" s="158" t="s">
        <v>185</v>
      </c>
      <c r="AA172" s="158" t="str">
        <f>IF(AWS[[#This Row],[Column14]]="-","", "v")</f>
        <v/>
      </c>
      <c r="AB172" s="158" t="str">
        <f>IF(AWS[[#This Row],[Column8]]="x","1",(IF(OR(AWS[[#This Row],[Column25]]=2,AWS[[#This Row],[Column26]]=2,AWS[[#This Row],[Column27]]=2),"1",(IF(AWS[[#This Row],[Column9]]="x","2",(IF(AWS[[#This Row],[Column10]]="x","3","")))))))</f>
        <v>3</v>
      </c>
      <c r="AC172" s="158" t="str">
        <f>IF(AWS[[#This Row],[Column14]] = "-", AWS[[#This Row],[Column14]], LEFT(AWS[[#This Row],[Column14]], SEARCH(" ", AWS[[#This Row],[Column14]] &amp; " ") - 1))</f>
        <v>-</v>
      </c>
    </row>
    <row r="173" spans="1:29" ht="30" hidden="1">
      <c r="A17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3" s="137" t="str">
        <f>AWS[[#This Row],[Column30]]</f>
        <v>-</v>
      </c>
      <c r="C173" s="137">
        <v>13.11</v>
      </c>
      <c r="D173" s="237" t="s">
        <v>390</v>
      </c>
      <c r="E173" s="162" t="s">
        <v>155</v>
      </c>
      <c r="F173" s="138" t="s">
        <v>777</v>
      </c>
      <c r="G173" s="241" t="s">
        <v>778</v>
      </c>
      <c r="H173" s="137"/>
      <c r="I173" s="137"/>
      <c r="J173" s="200" t="s">
        <v>185</v>
      </c>
      <c r="K173" s="176" t="s">
        <v>185</v>
      </c>
      <c r="L173" s="176" t="s">
        <v>185</v>
      </c>
      <c r="M173" s="176" t="s">
        <v>185</v>
      </c>
      <c r="N173" s="165" t="s">
        <v>162</v>
      </c>
      <c r="O173" s="165" t="s">
        <v>162</v>
      </c>
      <c r="P173" s="165" t="s">
        <v>162</v>
      </c>
      <c r="Q173" s="165" t="s">
        <v>162</v>
      </c>
      <c r="R173" s="167"/>
      <c r="S173" s="165" t="s">
        <v>162</v>
      </c>
      <c r="T173" s="165" t="s">
        <v>162</v>
      </c>
      <c r="U173" s="158" t="s">
        <v>162</v>
      </c>
      <c r="V173" s="168"/>
      <c r="W173" s="158" t="s">
        <v>966</v>
      </c>
      <c r="X173" s="158" t="s">
        <v>185</v>
      </c>
      <c r="Y173" s="158"/>
      <c r="Z173" s="158" t="s">
        <v>185</v>
      </c>
      <c r="AA173" s="158" t="str">
        <f>IF(AWS[[#This Row],[Column14]]="-","", "v")</f>
        <v/>
      </c>
      <c r="AB173" s="158" t="str">
        <f>IF(AWS[[#This Row],[Column8]]="x","1",(IF(OR(AWS[[#This Row],[Column25]]=2,AWS[[#This Row],[Column26]]=2,AWS[[#This Row],[Column27]]=2),"1",(IF(AWS[[#This Row],[Column9]]="x","2",(IF(AWS[[#This Row],[Column10]]="x","3","")))))))</f>
        <v>3</v>
      </c>
      <c r="AC173" s="158" t="str">
        <f>IF(AWS[[#This Row],[Column14]] = "-", AWS[[#This Row],[Column14]], LEFT(AWS[[#This Row],[Column14]], SEARCH(" ", AWS[[#This Row],[Column14]] &amp; " ") - 1))</f>
        <v>-</v>
      </c>
    </row>
    <row r="174" spans="1:29" ht="45" hidden="1">
      <c r="A174" s="178" t="s">
        <v>942</v>
      </c>
      <c r="B174" s="154" t="s">
        <v>162</v>
      </c>
      <c r="C174" s="154" t="s">
        <v>162</v>
      </c>
      <c r="D174" s="245" t="s">
        <v>162</v>
      </c>
      <c r="E174" s="178"/>
      <c r="F174" s="156" t="s">
        <v>779</v>
      </c>
      <c r="G174" s="242" t="s">
        <v>780</v>
      </c>
      <c r="H174" s="245" t="s">
        <v>162</v>
      </c>
      <c r="I174" s="245" t="s">
        <v>162</v>
      </c>
      <c r="J174" s="245" t="s">
        <v>162</v>
      </c>
      <c r="K174" s="245" t="s">
        <v>162</v>
      </c>
      <c r="L174" s="245" t="s">
        <v>162</v>
      </c>
      <c r="M174" s="245" t="s">
        <v>162</v>
      </c>
      <c r="N174" s="245" t="s">
        <v>162</v>
      </c>
      <c r="O174" s="245" t="s">
        <v>162</v>
      </c>
      <c r="P174" s="245" t="s">
        <v>162</v>
      </c>
      <c r="Q174" s="245" t="s">
        <v>162</v>
      </c>
      <c r="R174" s="167"/>
      <c r="S174" s="245" t="s">
        <v>162</v>
      </c>
      <c r="T174" s="245" t="s">
        <v>162</v>
      </c>
      <c r="U174" s="245" t="s">
        <v>162</v>
      </c>
      <c r="V174" s="245" t="s">
        <v>162</v>
      </c>
      <c r="W174" s="245" t="s">
        <v>162</v>
      </c>
      <c r="X174" s="245" t="s">
        <v>162</v>
      </c>
      <c r="Y174" s="245" t="s">
        <v>162</v>
      </c>
      <c r="Z174" s="245" t="s">
        <v>162</v>
      </c>
      <c r="AA174" s="245" t="s">
        <v>162</v>
      </c>
      <c r="AB174" s="245" t="s">
        <v>162</v>
      </c>
      <c r="AC174" s="158" t="str">
        <f>IF(AWS[[#This Row],[Column14]] = "-", AWS[[#This Row],[Column14]], LEFT(AWS[[#This Row],[Column14]], SEARCH(" ", AWS[[#This Row],[Column14]] &amp; " ") - 1))</f>
        <v>-</v>
      </c>
    </row>
    <row r="175" spans="1:29" ht="75" hidden="1">
      <c r="A17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5" s="137" t="str">
        <f>AWS[[#This Row],[Column30]]</f>
        <v>-</v>
      </c>
      <c r="C175" s="137">
        <v>14.1</v>
      </c>
      <c r="D175" s="237" t="s">
        <v>781</v>
      </c>
      <c r="E175" s="162" t="s">
        <v>156</v>
      </c>
      <c r="F175" s="138" t="s">
        <v>782</v>
      </c>
      <c r="G175" s="241" t="s">
        <v>783</v>
      </c>
      <c r="H175" s="163" t="s">
        <v>185</v>
      </c>
      <c r="I175" s="164" t="s">
        <v>185</v>
      </c>
      <c r="J175" s="200" t="s">
        <v>185</v>
      </c>
      <c r="K175" s="176" t="s">
        <v>185</v>
      </c>
      <c r="L175" s="176" t="s">
        <v>185</v>
      </c>
      <c r="M175" s="176" t="s">
        <v>185</v>
      </c>
      <c r="N175" s="165" t="s">
        <v>162</v>
      </c>
      <c r="O175" s="165" t="s">
        <v>162</v>
      </c>
      <c r="P175" s="165" t="s">
        <v>162</v>
      </c>
      <c r="Q175" s="165" t="s">
        <v>162</v>
      </c>
      <c r="R175" s="167"/>
      <c r="S175" s="165" t="s">
        <v>162</v>
      </c>
      <c r="T175" s="165" t="s">
        <v>162</v>
      </c>
      <c r="U175" s="158" t="s">
        <v>162</v>
      </c>
      <c r="V175" s="168"/>
      <c r="W175" s="158" t="s">
        <v>966</v>
      </c>
      <c r="X175" s="158" t="s">
        <v>185</v>
      </c>
      <c r="Y175" s="158" t="s">
        <v>185</v>
      </c>
      <c r="Z175" s="158" t="s">
        <v>185</v>
      </c>
      <c r="AA175" s="158" t="str">
        <f>IF(AWS[[#This Row],[Column14]]="-","", "v")</f>
        <v/>
      </c>
      <c r="AB175" s="158" t="str">
        <f>IF(AWS[[#This Row],[Column8]]="x","1",(IF(OR(AWS[[#This Row],[Column25]]=2,AWS[[#This Row],[Column26]]=2,AWS[[#This Row],[Column27]]=2),"1",(IF(AWS[[#This Row],[Column9]]="x","2",(IF(AWS[[#This Row],[Column10]]="x","3","")))))))</f>
        <v>1</v>
      </c>
      <c r="AC175" s="158" t="str">
        <f>IF(AWS[[#This Row],[Column14]] = "-", AWS[[#This Row],[Column14]], LEFT(AWS[[#This Row],[Column14]], SEARCH(" ", AWS[[#This Row],[Column14]] &amp; " ") - 1))</f>
        <v>-</v>
      </c>
    </row>
    <row r="176" spans="1:29" ht="45" hidden="1">
      <c r="A17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6" s="137" t="str">
        <f>AWS[[#This Row],[Column30]]</f>
        <v>-</v>
      </c>
      <c r="C176" s="137">
        <v>14.2</v>
      </c>
      <c r="D176" s="237" t="s">
        <v>781</v>
      </c>
      <c r="E176" s="162" t="s">
        <v>156</v>
      </c>
      <c r="F176" s="138" t="s">
        <v>784</v>
      </c>
      <c r="G176" s="241" t="s">
        <v>785</v>
      </c>
      <c r="H176" s="163" t="s">
        <v>185</v>
      </c>
      <c r="I176" s="164" t="s">
        <v>185</v>
      </c>
      <c r="J176" s="200" t="s">
        <v>185</v>
      </c>
      <c r="K176" s="176" t="s">
        <v>185</v>
      </c>
      <c r="L176" s="176" t="s">
        <v>185</v>
      </c>
      <c r="M176" s="176" t="s">
        <v>185</v>
      </c>
      <c r="N176" s="165" t="s">
        <v>162</v>
      </c>
      <c r="O176" s="165" t="s">
        <v>162</v>
      </c>
      <c r="P176" s="165" t="s">
        <v>162</v>
      </c>
      <c r="Q176" s="165" t="s">
        <v>162</v>
      </c>
      <c r="R176" s="167"/>
      <c r="S176" s="165" t="s">
        <v>162</v>
      </c>
      <c r="T176" s="165" t="s">
        <v>162</v>
      </c>
      <c r="U176" s="158" t="s">
        <v>162</v>
      </c>
      <c r="V176" s="168"/>
      <c r="W176" s="158" t="s">
        <v>966</v>
      </c>
      <c r="X176" s="158" t="s">
        <v>185</v>
      </c>
      <c r="Y176" s="158" t="s">
        <v>185</v>
      </c>
      <c r="Z176" s="158" t="s">
        <v>185</v>
      </c>
      <c r="AA176" s="158" t="str">
        <f>IF(AWS[[#This Row],[Column14]]="-","", "v")</f>
        <v/>
      </c>
      <c r="AB176" s="158" t="str">
        <f>IF(AWS[[#This Row],[Column8]]="x","1",(IF(OR(AWS[[#This Row],[Column25]]=2,AWS[[#This Row],[Column26]]=2,AWS[[#This Row],[Column27]]=2),"1",(IF(AWS[[#This Row],[Column9]]="x","2",(IF(AWS[[#This Row],[Column10]]="x","3","")))))))</f>
        <v>1</v>
      </c>
      <c r="AC176" s="158" t="str">
        <f>IF(AWS[[#This Row],[Column14]] = "-", AWS[[#This Row],[Column14]], LEFT(AWS[[#This Row],[Column14]], SEARCH(" ", AWS[[#This Row],[Column14]] &amp; " ") - 1))</f>
        <v>-</v>
      </c>
    </row>
    <row r="177" spans="1:29" ht="45" hidden="1">
      <c r="A17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7" s="137" t="str">
        <f>AWS[[#This Row],[Column30]]</f>
        <v>-</v>
      </c>
      <c r="C177" s="137">
        <v>14.3</v>
      </c>
      <c r="D177" s="237" t="s">
        <v>781</v>
      </c>
      <c r="E177" s="162" t="s">
        <v>156</v>
      </c>
      <c r="F177" s="138" t="s">
        <v>786</v>
      </c>
      <c r="G177" s="241" t="s">
        <v>787</v>
      </c>
      <c r="H177" s="163" t="s">
        <v>185</v>
      </c>
      <c r="I177" s="164" t="s">
        <v>185</v>
      </c>
      <c r="J177" s="200" t="s">
        <v>185</v>
      </c>
      <c r="K177" s="176" t="s">
        <v>185</v>
      </c>
      <c r="L177" s="176" t="s">
        <v>185</v>
      </c>
      <c r="M177" s="176" t="s">
        <v>185</v>
      </c>
      <c r="N177" s="165" t="s">
        <v>162</v>
      </c>
      <c r="O177" s="165" t="s">
        <v>162</v>
      </c>
      <c r="P177" s="165" t="s">
        <v>162</v>
      </c>
      <c r="Q177" s="165" t="s">
        <v>162</v>
      </c>
      <c r="R177" s="167"/>
      <c r="S177" s="165" t="s">
        <v>162</v>
      </c>
      <c r="T177" s="165" t="s">
        <v>162</v>
      </c>
      <c r="U177" s="158" t="s">
        <v>162</v>
      </c>
      <c r="V177" s="168"/>
      <c r="W177" s="158" t="s">
        <v>966</v>
      </c>
      <c r="X177" s="158" t="s">
        <v>185</v>
      </c>
      <c r="Y177" s="158" t="s">
        <v>185</v>
      </c>
      <c r="Z177" s="158" t="s">
        <v>185</v>
      </c>
      <c r="AA177" s="158" t="str">
        <f>IF(AWS[[#This Row],[Column14]]="-","", "v")</f>
        <v/>
      </c>
      <c r="AB177" s="158" t="str">
        <f>IF(AWS[[#This Row],[Column8]]="x","1",(IF(OR(AWS[[#This Row],[Column25]]=2,AWS[[#This Row],[Column26]]=2,AWS[[#This Row],[Column27]]=2),"1",(IF(AWS[[#This Row],[Column9]]="x","2",(IF(AWS[[#This Row],[Column10]]="x","3","")))))))</f>
        <v>1</v>
      </c>
      <c r="AC177" s="158" t="str">
        <f>IF(AWS[[#This Row],[Column14]] = "-", AWS[[#This Row],[Column14]], LEFT(AWS[[#This Row],[Column14]], SEARCH(" ", AWS[[#This Row],[Column14]] &amp; " ") - 1))</f>
        <v>-</v>
      </c>
    </row>
    <row r="178" spans="1:29" ht="75" hidden="1">
      <c r="A17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8" s="137" t="str">
        <f>AWS[[#This Row],[Column30]]</f>
        <v>-</v>
      </c>
      <c r="C178" s="137">
        <v>14.4</v>
      </c>
      <c r="D178" s="237" t="s">
        <v>781</v>
      </c>
      <c r="E178" s="162" t="s">
        <v>156</v>
      </c>
      <c r="F178" s="138" t="s">
        <v>788</v>
      </c>
      <c r="G178" s="241" t="s">
        <v>789</v>
      </c>
      <c r="H178" s="163" t="s">
        <v>185</v>
      </c>
      <c r="I178" s="164" t="s">
        <v>185</v>
      </c>
      <c r="J178" s="200" t="s">
        <v>185</v>
      </c>
      <c r="K178" s="176" t="s">
        <v>185</v>
      </c>
      <c r="L178" s="176" t="s">
        <v>185</v>
      </c>
      <c r="M178" s="176" t="s">
        <v>185</v>
      </c>
      <c r="N178" s="165" t="s">
        <v>162</v>
      </c>
      <c r="O178" s="165" t="s">
        <v>162</v>
      </c>
      <c r="P178" s="165" t="s">
        <v>162</v>
      </c>
      <c r="Q178" s="165" t="s">
        <v>162</v>
      </c>
      <c r="R178" s="167"/>
      <c r="S178" s="165" t="s">
        <v>162</v>
      </c>
      <c r="T178" s="165" t="s">
        <v>162</v>
      </c>
      <c r="U178" s="158" t="s">
        <v>162</v>
      </c>
      <c r="V178" s="168"/>
      <c r="W178" s="158" t="s">
        <v>966</v>
      </c>
      <c r="X178" s="158" t="s">
        <v>185</v>
      </c>
      <c r="Y178" s="158" t="s">
        <v>185</v>
      </c>
      <c r="Z178" s="158" t="s">
        <v>185</v>
      </c>
      <c r="AA178" s="158" t="str">
        <f>IF(AWS[[#This Row],[Column14]]="-","", "v")</f>
        <v/>
      </c>
      <c r="AB178" s="158" t="str">
        <f>IF(AWS[[#This Row],[Column8]]="x","1",(IF(OR(AWS[[#This Row],[Column25]]=2,AWS[[#This Row],[Column26]]=2,AWS[[#This Row],[Column27]]=2),"1",(IF(AWS[[#This Row],[Column9]]="x","2",(IF(AWS[[#This Row],[Column10]]="x","3","")))))))</f>
        <v>1</v>
      </c>
      <c r="AC178" s="158" t="str">
        <f>IF(AWS[[#This Row],[Column14]] = "-", AWS[[#This Row],[Column14]], LEFT(AWS[[#This Row],[Column14]], SEARCH(" ", AWS[[#This Row],[Column14]] &amp; " ") - 1))</f>
        <v>-</v>
      </c>
    </row>
    <row r="179" spans="1:29" ht="45" hidden="1">
      <c r="A17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NOT(ISBLANK(K179)),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NOT(ISBLANK(L179)),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NOT(ISBLANK(M179)),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79" s="137" t="str">
        <f>AWS[[#This Row],[Column30]]</f>
        <v>-</v>
      </c>
      <c r="C179" s="137">
        <v>14.5</v>
      </c>
      <c r="D179" s="237" t="s">
        <v>781</v>
      </c>
      <c r="E179" s="162" t="s">
        <v>156</v>
      </c>
      <c r="F179" s="138" t="s">
        <v>790</v>
      </c>
      <c r="G179" s="243" t="s">
        <v>791</v>
      </c>
      <c r="H179" s="163" t="s">
        <v>185</v>
      </c>
      <c r="I179" s="164" t="s">
        <v>185</v>
      </c>
      <c r="J179" s="200" t="s">
        <v>185</v>
      </c>
      <c r="K179" s="176" t="s">
        <v>185</v>
      </c>
      <c r="L179" s="176" t="s">
        <v>185</v>
      </c>
      <c r="M179" s="176" t="s">
        <v>185</v>
      </c>
      <c r="N179" s="165" t="s">
        <v>162</v>
      </c>
      <c r="O179" s="165" t="s">
        <v>162</v>
      </c>
      <c r="P179" s="165" t="s">
        <v>162</v>
      </c>
      <c r="Q179" s="165" t="s">
        <v>162</v>
      </c>
      <c r="R179" s="167"/>
      <c r="S179" s="165" t="s">
        <v>162</v>
      </c>
      <c r="T179" s="165" t="s">
        <v>162</v>
      </c>
      <c r="U179" s="158" t="s">
        <v>162</v>
      </c>
      <c r="V179" s="168"/>
      <c r="W179" s="158" t="s">
        <v>966</v>
      </c>
      <c r="X179" s="158" t="s">
        <v>185</v>
      </c>
      <c r="Y179" s="158" t="s">
        <v>185</v>
      </c>
      <c r="Z179" s="158" t="s">
        <v>185</v>
      </c>
      <c r="AA179" s="158" t="str">
        <f>IF(AWS[[#This Row],[Column14]]="-","", "v")</f>
        <v/>
      </c>
      <c r="AB179" s="158" t="str">
        <f>IF(AWS[[#This Row],[Column8]]="x","1",(IF(OR(AWS[[#This Row],[Column25]]=2,AWS[[#This Row],[Column26]]=2,AWS[[#This Row],[Column27]]=2),"1",(IF(AWS[[#This Row],[Column9]]="x","2",(IF(AWS[[#This Row],[Column10]]="x","3","")))))))</f>
        <v>1</v>
      </c>
      <c r="AC179" s="158" t="str">
        <f>IF(AWS[[#This Row],[Column14]] = "-", AWS[[#This Row],[Column14]], LEFT(AWS[[#This Row],[Column14]], SEARCH(" ", AWS[[#This Row],[Column14]] &amp; " ") - 1))</f>
        <v>-</v>
      </c>
    </row>
    <row r="180" spans="1:29" ht="45" hidden="1">
      <c r="A18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0" s="137" t="str">
        <f>AWS[[#This Row],[Column30]]</f>
        <v>-</v>
      </c>
      <c r="C180" s="137">
        <v>14.6</v>
      </c>
      <c r="D180" s="237" t="s">
        <v>781</v>
      </c>
      <c r="E180" s="162" t="s">
        <v>156</v>
      </c>
      <c r="F180" s="138" t="s">
        <v>792</v>
      </c>
      <c r="G180" s="241" t="s">
        <v>793</v>
      </c>
      <c r="H180" s="163" t="s">
        <v>185</v>
      </c>
      <c r="I180" s="164" t="s">
        <v>185</v>
      </c>
      <c r="J180" s="200" t="s">
        <v>185</v>
      </c>
      <c r="K180" s="176" t="s">
        <v>185</v>
      </c>
      <c r="L180" s="176" t="s">
        <v>185</v>
      </c>
      <c r="M180" s="176" t="s">
        <v>185</v>
      </c>
      <c r="N180" s="165" t="s">
        <v>162</v>
      </c>
      <c r="O180" s="165" t="s">
        <v>162</v>
      </c>
      <c r="P180" s="165" t="s">
        <v>162</v>
      </c>
      <c r="Q180" s="165" t="s">
        <v>162</v>
      </c>
      <c r="R180" s="167"/>
      <c r="S180" s="165" t="s">
        <v>162</v>
      </c>
      <c r="T180" s="165" t="s">
        <v>162</v>
      </c>
      <c r="U180" s="158" t="s">
        <v>162</v>
      </c>
      <c r="V180" s="168"/>
      <c r="W180" s="158" t="s">
        <v>966</v>
      </c>
      <c r="X180" s="158" t="s">
        <v>185</v>
      </c>
      <c r="Y180" s="158" t="s">
        <v>185</v>
      </c>
      <c r="Z180" s="158" t="s">
        <v>185</v>
      </c>
      <c r="AA180" s="158" t="str">
        <f>IF(AWS[[#This Row],[Column14]]="-","", "v")</f>
        <v/>
      </c>
      <c r="AB180" s="158" t="str">
        <f>IF(AWS[[#This Row],[Column8]]="x","1",(IF(OR(AWS[[#This Row],[Column25]]=2,AWS[[#This Row],[Column26]]=2,AWS[[#This Row],[Column27]]=2),"1",(IF(AWS[[#This Row],[Column9]]="x","2",(IF(AWS[[#This Row],[Column10]]="x","3","")))))))</f>
        <v>1</v>
      </c>
      <c r="AC180" s="158" t="str">
        <f>IF(AWS[[#This Row],[Column14]] = "-", AWS[[#This Row],[Column14]], LEFT(AWS[[#This Row],[Column14]], SEARCH(" ", AWS[[#This Row],[Column14]] &amp; " ") - 1))</f>
        <v>-</v>
      </c>
    </row>
    <row r="181" spans="1:29" ht="60" hidden="1">
      <c r="A18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1" s="137" t="str">
        <f>AWS[[#This Row],[Column30]]</f>
        <v>-</v>
      </c>
      <c r="C181" s="137">
        <v>14.7</v>
      </c>
      <c r="D181" s="237" t="s">
        <v>781</v>
      </c>
      <c r="E181" s="162" t="s">
        <v>156</v>
      </c>
      <c r="F181" s="139" t="s">
        <v>794</v>
      </c>
      <c r="G181" s="241" t="s">
        <v>795</v>
      </c>
      <c r="H181" s="163" t="s">
        <v>185</v>
      </c>
      <c r="I181" s="164" t="s">
        <v>185</v>
      </c>
      <c r="J181" s="200" t="s">
        <v>185</v>
      </c>
      <c r="K181" s="176" t="s">
        <v>185</v>
      </c>
      <c r="L181" s="176" t="s">
        <v>185</v>
      </c>
      <c r="M181" s="176" t="s">
        <v>185</v>
      </c>
      <c r="N181" s="165" t="s">
        <v>162</v>
      </c>
      <c r="O181" s="165" t="s">
        <v>162</v>
      </c>
      <c r="P181" s="165" t="s">
        <v>162</v>
      </c>
      <c r="Q181" s="165" t="s">
        <v>162</v>
      </c>
      <c r="R181" s="167"/>
      <c r="S181" s="165" t="s">
        <v>162</v>
      </c>
      <c r="T181" s="165" t="s">
        <v>162</v>
      </c>
      <c r="U181" s="158" t="s">
        <v>162</v>
      </c>
      <c r="V181" s="168"/>
      <c r="W181" s="158" t="s">
        <v>966</v>
      </c>
      <c r="X181" s="158" t="s">
        <v>185</v>
      </c>
      <c r="Y181" s="158" t="s">
        <v>185</v>
      </c>
      <c r="Z181" s="158" t="s">
        <v>185</v>
      </c>
      <c r="AA181" s="158" t="str">
        <f>IF(AWS[[#This Row],[Column14]]="-","", "v")</f>
        <v/>
      </c>
      <c r="AB181" s="158" t="str">
        <f>IF(AWS[[#This Row],[Column8]]="x","1",(IF(OR(AWS[[#This Row],[Column25]]=2,AWS[[#This Row],[Column26]]=2,AWS[[#This Row],[Column27]]=2),"1",(IF(AWS[[#This Row],[Column9]]="x","2",(IF(AWS[[#This Row],[Column10]]="x","3","")))))))</f>
        <v>1</v>
      </c>
      <c r="AC181" s="158" t="str">
        <f>IF(AWS[[#This Row],[Column14]] = "-", AWS[[#This Row],[Column14]], LEFT(AWS[[#This Row],[Column14]], SEARCH(" ", AWS[[#This Row],[Column14]] &amp; " ") - 1))</f>
        <v>-</v>
      </c>
    </row>
    <row r="182" spans="1:29" ht="60" hidden="1">
      <c r="A18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2" s="137" t="str">
        <f>AWS[[#This Row],[Column30]]</f>
        <v>-</v>
      </c>
      <c r="C182" s="137">
        <v>14.8</v>
      </c>
      <c r="D182" s="237" t="s">
        <v>781</v>
      </c>
      <c r="E182" s="162" t="s">
        <v>156</v>
      </c>
      <c r="F182" s="138" t="s">
        <v>796</v>
      </c>
      <c r="G182" s="241" t="s">
        <v>797</v>
      </c>
      <c r="H182" s="163" t="s">
        <v>185</v>
      </c>
      <c r="I182" s="164" t="s">
        <v>185</v>
      </c>
      <c r="J182" s="200" t="s">
        <v>185</v>
      </c>
      <c r="K182" s="176" t="s">
        <v>185</v>
      </c>
      <c r="L182" s="176" t="s">
        <v>185</v>
      </c>
      <c r="M182" s="176" t="s">
        <v>185</v>
      </c>
      <c r="N182" s="165" t="s">
        <v>162</v>
      </c>
      <c r="O182" s="165" t="s">
        <v>162</v>
      </c>
      <c r="P182" s="165" t="s">
        <v>162</v>
      </c>
      <c r="Q182" s="165" t="s">
        <v>162</v>
      </c>
      <c r="R182" s="167"/>
      <c r="S182" s="165" t="s">
        <v>162</v>
      </c>
      <c r="T182" s="165" t="s">
        <v>162</v>
      </c>
      <c r="U182" s="158" t="s">
        <v>162</v>
      </c>
      <c r="V182" s="168"/>
      <c r="W182" s="158" t="s">
        <v>966</v>
      </c>
      <c r="X182" s="158" t="s">
        <v>185</v>
      </c>
      <c r="Y182" s="158" t="s">
        <v>185</v>
      </c>
      <c r="Z182" s="158" t="s">
        <v>185</v>
      </c>
      <c r="AA182" s="158" t="str">
        <f>IF(AWS[[#This Row],[Column14]]="-","", "v")</f>
        <v/>
      </c>
      <c r="AB182" s="158" t="str">
        <f>IF(AWS[[#This Row],[Column8]]="x","1",(IF(OR(AWS[[#This Row],[Column25]]=2,AWS[[#This Row],[Column26]]=2,AWS[[#This Row],[Column27]]=2),"1",(IF(AWS[[#This Row],[Column9]]="x","2",(IF(AWS[[#This Row],[Column10]]="x","3","")))))))</f>
        <v>1</v>
      </c>
      <c r="AC182" s="158" t="str">
        <f>IF(AWS[[#This Row],[Column14]] = "-", AWS[[#This Row],[Column14]], LEFT(AWS[[#This Row],[Column14]], SEARCH(" ", AWS[[#This Row],[Column14]] &amp; " ") - 1))</f>
        <v>-</v>
      </c>
    </row>
    <row r="183" spans="1:29" ht="75" hidden="1">
      <c r="A18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3" s="137" t="str">
        <f>AWS[[#This Row],[Column30]]</f>
        <v>-</v>
      </c>
      <c r="C183" s="137">
        <v>14.9</v>
      </c>
      <c r="D183" s="237" t="s">
        <v>781</v>
      </c>
      <c r="E183" s="162" t="s">
        <v>156</v>
      </c>
      <c r="F183" s="138" t="s">
        <v>798</v>
      </c>
      <c r="G183" s="243" t="s">
        <v>799</v>
      </c>
      <c r="H183" s="204"/>
      <c r="I183" s="164" t="s">
        <v>185</v>
      </c>
      <c r="J183" s="200" t="s">
        <v>185</v>
      </c>
      <c r="K183" s="176" t="s">
        <v>185</v>
      </c>
      <c r="L183" s="176" t="s">
        <v>185</v>
      </c>
      <c r="M183" s="176" t="s">
        <v>185</v>
      </c>
      <c r="N183" s="165" t="s">
        <v>162</v>
      </c>
      <c r="O183" s="165" t="s">
        <v>162</v>
      </c>
      <c r="P183" s="165" t="s">
        <v>162</v>
      </c>
      <c r="Q183" s="165" t="s">
        <v>162</v>
      </c>
      <c r="R183" s="167"/>
      <c r="S183" s="165" t="s">
        <v>162</v>
      </c>
      <c r="T183" s="165" t="s">
        <v>162</v>
      </c>
      <c r="U183" s="158" t="s">
        <v>162</v>
      </c>
      <c r="V183" s="168"/>
      <c r="W183" s="158" t="s">
        <v>966</v>
      </c>
      <c r="X183" s="158" t="s">
        <v>185</v>
      </c>
      <c r="Y183" s="158" t="s">
        <v>185</v>
      </c>
      <c r="Z183" s="158" t="s">
        <v>185</v>
      </c>
      <c r="AA183" s="158" t="str">
        <f>IF(AWS[[#This Row],[Column14]]="-","", "v")</f>
        <v/>
      </c>
      <c r="AB183" s="158" t="str">
        <f>IF(AWS[[#This Row],[Column8]]="x","1",(IF(OR(AWS[[#This Row],[Column25]]=2,AWS[[#This Row],[Column26]]=2,AWS[[#This Row],[Column27]]=2),"1",(IF(AWS[[#This Row],[Column9]]="x","2",(IF(AWS[[#This Row],[Column10]]="x","3","")))))))</f>
        <v>2</v>
      </c>
      <c r="AC183" s="158" t="str">
        <f>IF(AWS[[#This Row],[Column14]] = "-", AWS[[#This Row],[Column14]], LEFT(AWS[[#This Row],[Column14]], SEARCH(" ", AWS[[#This Row],[Column14]] &amp; " ") - 1))</f>
        <v>-</v>
      </c>
    </row>
    <row r="184" spans="1:29" ht="60" hidden="1">
      <c r="A184" s="178" t="s">
        <v>942</v>
      </c>
      <c r="B184" s="154" t="s">
        <v>162</v>
      </c>
      <c r="C184" s="154" t="s">
        <v>162</v>
      </c>
      <c r="D184" s="245" t="s">
        <v>162</v>
      </c>
      <c r="E184" s="178"/>
      <c r="F184" s="156" t="s">
        <v>800</v>
      </c>
      <c r="G184" s="242" t="s">
        <v>801</v>
      </c>
      <c r="H184" s="245" t="s">
        <v>162</v>
      </c>
      <c r="I184" s="245" t="s">
        <v>162</v>
      </c>
      <c r="J184" s="245" t="s">
        <v>162</v>
      </c>
      <c r="K184" s="245" t="s">
        <v>162</v>
      </c>
      <c r="L184" s="245" t="s">
        <v>162</v>
      </c>
      <c r="M184" s="245" t="s">
        <v>162</v>
      </c>
      <c r="N184" s="245" t="s">
        <v>162</v>
      </c>
      <c r="O184" s="245" t="s">
        <v>162</v>
      </c>
      <c r="P184" s="245" t="s">
        <v>162</v>
      </c>
      <c r="Q184" s="245" t="s">
        <v>162</v>
      </c>
      <c r="R184" s="167"/>
      <c r="S184" s="245" t="s">
        <v>162</v>
      </c>
      <c r="T184" s="245" t="s">
        <v>162</v>
      </c>
      <c r="U184" s="245" t="s">
        <v>162</v>
      </c>
      <c r="V184" s="245" t="s">
        <v>162</v>
      </c>
      <c r="W184" s="245" t="s">
        <v>162</v>
      </c>
      <c r="X184" s="245" t="s">
        <v>162</v>
      </c>
      <c r="Y184" s="245" t="s">
        <v>162</v>
      </c>
      <c r="Z184" s="245" t="s">
        <v>162</v>
      </c>
      <c r="AA184" s="245" t="s">
        <v>162</v>
      </c>
      <c r="AB184" s="245" t="s">
        <v>162</v>
      </c>
      <c r="AC184" s="158" t="str">
        <f>IF(AWS[[#This Row],[Column14]] = "-", AWS[[#This Row],[Column14]], LEFT(AWS[[#This Row],[Column14]], SEARCH(" ", AWS[[#This Row],[Column14]] &amp; " ") - 1))</f>
        <v>-</v>
      </c>
    </row>
    <row r="185" spans="1:29" ht="60" hidden="1">
      <c r="A18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5" s="137" t="str">
        <f>AWS[[#This Row],[Column30]]</f>
        <v>-</v>
      </c>
      <c r="C185" s="137">
        <v>15.1</v>
      </c>
      <c r="D185" s="237" t="s">
        <v>781</v>
      </c>
      <c r="E185" s="162" t="s">
        <v>154</v>
      </c>
      <c r="F185" s="138" t="s">
        <v>802</v>
      </c>
      <c r="G185" s="243" t="s">
        <v>803</v>
      </c>
      <c r="H185" s="163" t="s">
        <v>185</v>
      </c>
      <c r="I185" s="164" t="s">
        <v>185</v>
      </c>
      <c r="J185" s="200" t="s">
        <v>185</v>
      </c>
      <c r="K185" s="176" t="s">
        <v>185</v>
      </c>
      <c r="L185" s="176" t="s">
        <v>185</v>
      </c>
      <c r="M185" s="176" t="s">
        <v>185</v>
      </c>
      <c r="N185" s="165" t="s">
        <v>162</v>
      </c>
      <c r="O185" s="165" t="s">
        <v>162</v>
      </c>
      <c r="P185" s="165" t="s">
        <v>162</v>
      </c>
      <c r="Q185" s="165" t="s">
        <v>162</v>
      </c>
      <c r="R185" s="167"/>
      <c r="S185" s="165" t="s">
        <v>162</v>
      </c>
      <c r="T185" s="165" t="s">
        <v>162</v>
      </c>
      <c r="U185" s="158" t="s">
        <v>162</v>
      </c>
      <c r="V185" s="168"/>
      <c r="W185" s="158" t="s">
        <v>966</v>
      </c>
      <c r="X185" s="158" t="s">
        <v>185</v>
      </c>
      <c r="Y185" s="158"/>
      <c r="Z185" s="158" t="s">
        <v>185</v>
      </c>
      <c r="AA185" s="158" t="str">
        <f>IF(AWS[[#This Row],[Column14]]="-","", "v")</f>
        <v/>
      </c>
      <c r="AB185" s="158" t="str">
        <f>IF(AWS[[#This Row],[Column8]]="x","1",(IF(OR(AWS[[#This Row],[Column25]]=2,AWS[[#This Row],[Column26]]=2,AWS[[#This Row],[Column27]]=2),"1",(IF(AWS[[#This Row],[Column9]]="x","2",(IF(AWS[[#This Row],[Column10]]="x","3","")))))))</f>
        <v>1</v>
      </c>
      <c r="AC185" s="158" t="str">
        <f>IF(AWS[[#This Row],[Column14]] = "-", AWS[[#This Row],[Column14]], LEFT(AWS[[#This Row],[Column14]], SEARCH(" ", AWS[[#This Row],[Column14]] &amp; " ") - 1))</f>
        <v>-</v>
      </c>
    </row>
    <row r="186" spans="1:29" ht="60" hidden="1">
      <c r="A18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6" s="137" t="str">
        <f>AWS[[#This Row],[Column30]]</f>
        <v>-</v>
      </c>
      <c r="C186" s="137">
        <v>15.2</v>
      </c>
      <c r="D186" s="237" t="s">
        <v>781</v>
      </c>
      <c r="E186" s="162" t="s">
        <v>154</v>
      </c>
      <c r="F186" s="138" t="s">
        <v>804</v>
      </c>
      <c r="G186" s="241" t="s">
        <v>805</v>
      </c>
      <c r="H186" s="204"/>
      <c r="I186" s="164" t="s">
        <v>185</v>
      </c>
      <c r="J186" s="200" t="s">
        <v>185</v>
      </c>
      <c r="K186" s="176" t="s">
        <v>185</v>
      </c>
      <c r="L186" s="176" t="s">
        <v>185</v>
      </c>
      <c r="M186" s="176" t="s">
        <v>185</v>
      </c>
      <c r="N186" s="165" t="s">
        <v>162</v>
      </c>
      <c r="O186" s="165" t="s">
        <v>162</v>
      </c>
      <c r="P186" s="165" t="s">
        <v>162</v>
      </c>
      <c r="Q186" s="165" t="s">
        <v>162</v>
      </c>
      <c r="R186" s="167"/>
      <c r="S186" s="165" t="s">
        <v>162</v>
      </c>
      <c r="T186" s="165" t="s">
        <v>162</v>
      </c>
      <c r="U186" s="158" t="s">
        <v>162</v>
      </c>
      <c r="V186" s="168"/>
      <c r="W186" s="158" t="s">
        <v>966</v>
      </c>
      <c r="X186" s="158" t="s">
        <v>185</v>
      </c>
      <c r="Y186" s="158"/>
      <c r="Z186" s="158" t="s">
        <v>185</v>
      </c>
      <c r="AA186" s="158" t="str">
        <f>IF(AWS[[#This Row],[Column14]]="-","", "v")</f>
        <v/>
      </c>
      <c r="AB186" s="158" t="str">
        <f>IF(AWS[[#This Row],[Column8]]="x","1",(IF(OR(AWS[[#This Row],[Column25]]=2,AWS[[#This Row],[Column26]]=2,AWS[[#This Row],[Column27]]=2),"1",(IF(AWS[[#This Row],[Column9]]="x","2",(IF(AWS[[#This Row],[Column10]]="x","3","")))))))</f>
        <v>2</v>
      </c>
      <c r="AC186" s="158" t="str">
        <f>IF(AWS[[#This Row],[Column14]] = "-", AWS[[#This Row],[Column14]], LEFT(AWS[[#This Row],[Column14]], SEARCH(" ", AWS[[#This Row],[Column14]] &amp; " ") - 1))</f>
        <v>-</v>
      </c>
    </row>
    <row r="187" spans="1:29" ht="75" hidden="1">
      <c r="A18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7" s="137" t="str">
        <f>AWS[[#This Row],[Column30]]</f>
        <v>-</v>
      </c>
      <c r="C187" s="137">
        <v>15.3</v>
      </c>
      <c r="D187" s="237" t="s">
        <v>781</v>
      </c>
      <c r="E187" s="162" t="s">
        <v>154</v>
      </c>
      <c r="F187" s="138" t="s">
        <v>806</v>
      </c>
      <c r="G187" s="241" t="s">
        <v>807</v>
      </c>
      <c r="H187" s="204"/>
      <c r="I187" s="164" t="s">
        <v>185</v>
      </c>
      <c r="J187" s="200" t="s">
        <v>185</v>
      </c>
      <c r="K187" s="176" t="s">
        <v>185</v>
      </c>
      <c r="L187" s="176" t="s">
        <v>185</v>
      </c>
      <c r="M187" s="176" t="s">
        <v>185</v>
      </c>
      <c r="N187" s="165" t="s">
        <v>162</v>
      </c>
      <c r="O187" s="165" t="s">
        <v>162</v>
      </c>
      <c r="P187" s="165" t="s">
        <v>162</v>
      </c>
      <c r="Q187" s="165" t="s">
        <v>162</v>
      </c>
      <c r="R187" s="167"/>
      <c r="S187" s="165" t="s">
        <v>162</v>
      </c>
      <c r="T187" s="165" t="s">
        <v>162</v>
      </c>
      <c r="U187" s="158" t="s">
        <v>162</v>
      </c>
      <c r="V187" s="168"/>
      <c r="W187" s="158" t="s">
        <v>966</v>
      </c>
      <c r="X187" s="158" t="s">
        <v>185</v>
      </c>
      <c r="Y187" s="158"/>
      <c r="Z187" s="158" t="s">
        <v>185</v>
      </c>
      <c r="AA187" s="158" t="str">
        <f>IF(AWS[[#This Row],[Column14]]="-","", "v")</f>
        <v/>
      </c>
      <c r="AB187" s="158" t="str">
        <f>IF(AWS[[#This Row],[Column8]]="x","1",(IF(OR(AWS[[#This Row],[Column25]]=2,AWS[[#This Row],[Column26]]=2,AWS[[#This Row],[Column27]]=2),"1",(IF(AWS[[#This Row],[Column9]]="x","2",(IF(AWS[[#This Row],[Column10]]="x","3","")))))))</f>
        <v>2</v>
      </c>
      <c r="AC187" s="158" t="str">
        <f>IF(AWS[[#This Row],[Column14]] = "-", AWS[[#This Row],[Column14]], LEFT(AWS[[#This Row],[Column14]], SEARCH(" ", AWS[[#This Row],[Column14]] &amp; " ") - 1))</f>
        <v>-</v>
      </c>
    </row>
    <row r="188" spans="1:29" ht="105" hidden="1">
      <c r="A18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8" s="137" t="str">
        <f>AWS[[#This Row],[Column30]]</f>
        <v>-</v>
      </c>
      <c r="C188" s="137">
        <v>15.4</v>
      </c>
      <c r="D188" s="237" t="s">
        <v>781</v>
      </c>
      <c r="E188" s="162" t="s">
        <v>156</v>
      </c>
      <c r="F188" s="138" t="s">
        <v>808</v>
      </c>
      <c r="G188" s="243" t="s">
        <v>809</v>
      </c>
      <c r="H188" s="204"/>
      <c r="I188" s="164" t="s">
        <v>185</v>
      </c>
      <c r="J188" s="200" t="s">
        <v>185</v>
      </c>
      <c r="K188" s="176" t="s">
        <v>185</v>
      </c>
      <c r="L188" s="176" t="s">
        <v>185</v>
      </c>
      <c r="M188" s="176" t="s">
        <v>185</v>
      </c>
      <c r="N188" s="165" t="s">
        <v>162</v>
      </c>
      <c r="O188" s="165" t="s">
        <v>162</v>
      </c>
      <c r="P188" s="165" t="s">
        <v>162</v>
      </c>
      <c r="Q188" s="165" t="s">
        <v>162</v>
      </c>
      <c r="R188" s="167"/>
      <c r="S188" s="165" t="s">
        <v>162</v>
      </c>
      <c r="T188" s="165" t="s">
        <v>162</v>
      </c>
      <c r="U188" s="158" t="s">
        <v>162</v>
      </c>
      <c r="V188" s="168"/>
      <c r="W188" s="158" t="s">
        <v>966</v>
      </c>
      <c r="X188" s="158" t="s">
        <v>185</v>
      </c>
      <c r="Y188" s="158"/>
      <c r="Z188" s="158" t="s">
        <v>185</v>
      </c>
      <c r="AA188" s="158" t="str">
        <f>IF(AWS[[#This Row],[Column14]]="-","", "v")</f>
        <v/>
      </c>
      <c r="AB188" s="158" t="str">
        <f>IF(AWS[[#This Row],[Column8]]="x","1",(IF(OR(AWS[[#This Row],[Column25]]=2,AWS[[#This Row],[Column26]]=2,AWS[[#This Row],[Column27]]=2),"1",(IF(AWS[[#This Row],[Column9]]="x","2",(IF(AWS[[#This Row],[Column10]]="x","3","")))))))</f>
        <v>2</v>
      </c>
      <c r="AC188" s="158" t="str">
        <f>IF(AWS[[#This Row],[Column14]] = "-", AWS[[#This Row],[Column14]], LEFT(AWS[[#This Row],[Column14]], SEARCH(" ", AWS[[#This Row],[Column14]] &amp; " ") - 1))</f>
        <v>-</v>
      </c>
    </row>
    <row r="189" spans="1:29" ht="105" hidden="1">
      <c r="A18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NOT(ISBLANK(K189)),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NOT(ISBLANK(L189)),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NOT(ISBLANK(M189)),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89" s="137" t="str">
        <f>AWS[[#This Row],[Column30]]</f>
        <v>-</v>
      </c>
      <c r="C189" s="137">
        <v>15.5</v>
      </c>
      <c r="D189" s="237" t="s">
        <v>781</v>
      </c>
      <c r="E189" s="162" t="s">
        <v>154</v>
      </c>
      <c r="F189" s="138" t="s">
        <v>810</v>
      </c>
      <c r="G189" s="243" t="s">
        <v>811</v>
      </c>
      <c r="H189" s="204"/>
      <c r="I189" s="204"/>
      <c r="J189" s="200" t="s">
        <v>185</v>
      </c>
      <c r="K189" s="176" t="s">
        <v>185</v>
      </c>
      <c r="L189" s="176" t="s">
        <v>185</v>
      </c>
      <c r="M189" s="176" t="s">
        <v>185</v>
      </c>
      <c r="N189" s="165" t="s">
        <v>162</v>
      </c>
      <c r="O189" s="165" t="s">
        <v>162</v>
      </c>
      <c r="P189" s="165" t="s">
        <v>162</v>
      </c>
      <c r="Q189" s="165" t="s">
        <v>162</v>
      </c>
      <c r="R189" s="167"/>
      <c r="S189" s="165" t="s">
        <v>162</v>
      </c>
      <c r="T189" s="165" t="s">
        <v>162</v>
      </c>
      <c r="U189" s="158" t="s">
        <v>162</v>
      </c>
      <c r="V189" s="168"/>
      <c r="W189" s="158" t="s">
        <v>966</v>
      </c>
      <c r="X189" s="158" t="s">
        <v>185</v>
      </c>
      <c r="Y189" s="158"/>
      <c r="Z189" s="158" t="s">
        <v>185</v>
      </c>
      <c r="AA189" s="158" t="str">
        <f>IF(AWS[[#This Row],[Column14]]="-","", "v")</f>
        <v/>
      </c>
      <c r="AB189" s="158" t="str">
        <f>IF(AWS[[#This Row],[Column8]]="x","1",(IF(OR(AWS[[#This Row],[Column25]]=2,AWS[[#This Row],[Column26]]=2,AWS[[#This Row],[Column27]]=2),"1",(IF(AWS[[#This Row],[Column9]]="x","2",(IF(AWS[[#This Row],[Column10]]="x","3","")))))))</f>
        <v>3</v>
      </c>
      <c r="AC189" s="158" t="str">
        <f>IF(AWS[[#This Row],[Column14]] = "-", AWS[[#This Row],[Column14]], LEFT(AWS[[#This Row],[Column14]], SEARCH(" ", AWS[[#This Row],[Column14]] &amp; " ") - 1))</f>
        <v>-</v>
      </c>
    </row>
    <row r="190" spans="1:29" ht="60" hidden="1">
      <c r="A19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0" s="137" t="str">
        <f>AWS[[#This Row],[Column30]]</f>
        <v>-</v>
      </c>
      <c r="C190" s="137">
        <v>15.6</v>
      </c>
      <c r="D190" s="237" t="s">
        <v>182</v>
      </c>
      <c r="E190" s="162" t="s">
        <v>155</v>
      </c>
      <c r="F190" s="138" t="s">
        <v>346</v>
      </c>
      <c r="G190" s="243" t="s">
        <v>347</v>
      </c>
      <c r="H190" s="204"/>
      <c r="I190" s="204"/>
      <c r="J190" s="200" t="s">
        <v>185</v>
      </c>
      <c r="K190" s="176" t="s">
        <v>185</v>
      </c>
      <c r="L190" s="176" t="s">
        <v>185</v>
      </c>
      <c r="M190" s="176" t="s">
        <v>185</v>
      </c>
      <c r="N190" s="165" t="s">
        <v>162</v>
      </c>
      <c r="O190" s="165" t="s">
        <v>162</v>
      </c>
      <c r="P190" s="165" t="s">
        <v>162</v>
      </c>
      <c r="Q190" s="165" t="s">
        <v>162</v>
      </c>
      <c r="R190" s="167"/>
      <c r="S190" s="165" t="s">
        <v>162</v>
      </c>
      <c r="T190" s="165" t="s">
        <v>162</v>
      </c>
      <c r="U190" s="158" t="s">
        <v>162</v>
      </c>
      <c r="V190" s="168"/>
      <c r="W190" s="158" t="s">
        <v>966</v>
      </c>
      <c r="X190" s="158" t="s">
        <v>185</v>
      </c>
      <c r="Y190" s="158"/>
      <c r="Z190" s="158" t="s">
        <v>185</v>
      </c>
      <c r="AA190" s="158" t="str">
        <f>IF(AWS[[#This Row],[Column14]]="-","", "v")</f>
        <v/>
      </c>
      <c r="AB190" s="158" t="str">
        <f>IF(AWS[[#This Row],[Column8]]="x","1",(IF(OR(AWS[[#This Row],[Column25]]=2,AWS[[#This Row],[Column26]]=2,AWS[[#This Row],[Column27]]=2),"1",(IF(AWS[[#This Row],[Column9]]="x","2",(IF(AWS[[#This Row],[Column10]]="x","3","")))))))</f>
        <v>3</v>
      </c>
      <c r="AC190" s="158" t="str">
        <f>IF(AWS[[#This Row],[Column14]] = "-", AWS[[#This Row],[Column14]], LEFT(AWS[[#This Row],[Column14]], SEARCH(" ", AWS[[#This Row],[Column14]] &amp; " ") - 1))</f>
        <v>-</v>
      </c>
    </row>
    <row r="191" spans="1:29" ht="45" hidden="1">
      <c r="A19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1" s="137" t="str">
        <f>AWS[[#This Row],[Column30]]</f>
        <v>-</v>
      </c>
      <c r="C191" s="137">
        <v>15.7</v>
      </c>
      <c r="D191" s="237" t="s">
        <v>182</v>
      </c>
      <c r="E191" s="162" t="s">
        <v>156</v>
      </c>
      <c r="F191" s="138" t="s">
        <v>348</v>
      </c>
      <c r="G191" s="243" t="s">
        <v>349</v>
      </c>
      <c r="H191" s="204"/>
      <c r="I191" s="204"/>
      <c r="J191" s="200" t="s">
        <v>185</v>
      </c>
      <c r="K191" s="176" t="s">
        <v>185</v>
      </c>
      <c r="L191" s="176" t="s">
        <v>185</v>
      </c>
      <c r="M191" s="176" t="s">
        <v>185</v>
      </c>
      <c r="N191" s="165" t="s">
        <v>162</v>
      </c>
      <c r="O191" s="165" t="s">
        <v>162</v>
      </c>
      <c r="P191" s="165" t="s">
        <v>162</v>
      </c>
      <c r="Q191" s="165" t="s">
        <v>162</v>
      </c>
      <c r="R191" s="167"/>
      <c r="S191" s="165" t="s">
        <v>162</v>
      </c>
      <c r="T191" s="165" t="s">
        <v>162</v>
      </c>
      <c r="U191" s="158" t="s">
        <v>162</v>
      </c>
      <c r="V191" s="168"/>
      <c r="W191" s="158" t="s">
        <v>966</v>
      </c>
      <c r="X191" s="158" t="s">
        <v>185</v>
      </c>
      <c r="Y191" s="158"/>
      <c r="Z191" s="158" t="s">
        <v>185</v>
      </c>
      <c r="AA191" s="158" t="str">
        <f>IF(AWS[[#This Row],[Column14]]="-","", "v")</f>
        <v/>
      </c>
      <c r="AB191" s="158" t="str">
        <f>IF(AWS[[#This Row],[Column8]]="x","1",(IF(OR(AWS[[#This Row],[Column25]]=2,AWS[[#This Row],[Column26]]=2,AWS[[#This Row],[Column27]]=2),"1",(IF(AWS[[#This Row],[Column9]]="x","2",(IF(AWS[[#This Row],[Column10]]="x","3","")))))))</f>
        <v>3</v>
      </c>
      <c r="AC191" s="158" t="str">
        <f>IF(AWS[[#This Row],[Column14]] = "-", AWS[[#This Row],[Column14]], LEFT(AWS[[#This Row],[Column14]], SEARCH(" ", AWS[[#This Row],[Column14]] &amp; " ") - 1))</f>
        <v>-</v>
      </c>
    </row>
    <row r="192" spans="1:29" ht="45" hidden="1">
      <c r="A192" s="178" t="s">
        <v>942</v>
      </c>
      <c r="B192" s="154" t="s">
        <v>162</v>
      </c>
      <c r="C192" s="154" t="s">
        <v>162</v>
      </c>
      <c r="D192" s="245" t="s">
        <v>162</v>
      </c>
      <c r="E192" s="178"/>
      <c r="F192" s="156" t="s">
        <v>812</v>
      </c>
      <c r="G192" s="242" t="s">
        <v>813</v>
      </c>
      <c r="H192" s="245" t="s">
        <v>162</v>
      </c>
      <c r="I192" s="245" t="s">
        <v>162</v>
      </c>
      <c r="J192" s="245" t="s">
        <v>162</v>
      </c>
      <c r="K192" s="245" t="s">
        <v>162</v>
      </c>
      <c r="L192" s="245" t="s">
        <v>162</v>
      </c>
      <c r="M192" s="245" t="s">
        <v>162</v>
      </c>
      <c r="N192" s="245" t="s">
        <v>162</v>
      </c>
      <c r="O192" s="245" t="s">
        <v>162</v>
      </c>
      <c r="P192" s="245" t="s">
        <v>162</v>
      </c>
      <c r="Q192" s="245" t="s">
        <v>162</v>
      </c>
      <c r="R192" s="167"/>
      <c r="S192" s="245" t="s">
        <v>162</v>
      </c>
      <c r="T192" s="245" t="s">
        <v>162</v>
      </c>
      <c r="U192" s="245" t="s">
        <v>162</v>
      </c>
      <c r="V192" s="245" t="s">
        <v>162</v>
      </c>
      <c r="W192" s="245" t="s">
        <v>162</v>
      </c>
      <c r="X192" s="245" t="s">
        <v>162</v>
      </c>
      <c r="Y192" s="245" t="s">
        <v>162</v>
      </c>
      <c r="Z192" s="245" t="s">
        <v>162</v>
      </c>
      <c r="AA192" s="245" t="s">
        <v>162</v>
      </c>
      <c r="AB192" s="245" t="s">
        <v>162</v>
      </c>
      <c r="AC192" s="158" t="str">
        <f>IF(AWS[[#This Row],[Column14]] = "-", AWS[[#This Row],[Column14]], LEFT(AWS[[#This Row],[Column14]], SEARCH(" ", AWS[[#This Row],[Column14]] &amp; " ") - 1))</f>
        <v>-</v>
      </c>
    </row>
    <row r="193" spans="1:29" ht="90" hidden="1">
      <c r="A19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3" s="137" t="str">
        <f>AWS[[#This Row],[Column30]]</f>
        <v>-</v>
      </c>
      <c r="C193" s="137">
        <v>16.100000000000001</v>
      </c>
      <c r="D193" s="237" t="s">
        <v>371</v>
      </c>
      <c r="E193" s="162" t="s">
        <v>156</v>
      </c>
      <c r="F193" s="138" t="s">
        <v>814</v>
      </c>
      <c r="G193" s="243" t="s">
        <v>815</v>
      </c>
      <c r="H193" s="204"/>
      <c r="I193" s="164" t="s">
        <v>185</v>
      </c>
      <c r="J193" s="200" t="s">
        <v>185</v>
      </c>
      <c r="K193" s="176" t="s">
        <v>185</v>
      </c>
      <c r="L193" s="176" t="s">
        <v>185</v>
      </c>
      <c r="M193" s="176" t="s">
        <v>185</v>
      </c>
      <c r="N193" s="165" t="s">
        <v>162</v>
      </c>
      <c r="O193" s="165" t="s">
        <v>162</v>
      </c>
      <c r="P193" s="165" t="s">
        <v>162</v>
      </c>
      <c r="Q193" s="165" t="s">
        <v>162</v>
      </c>
      <c r="R193" s="167"/>
      <c r="S193" s="165" t="s">
        <v>162</v>
      </c>
      <c r="T193" s="165" t="s">
        <v>162</v>
      </c>
      <c r="U193" s="158" t="s">
        <v>162</v>
      </c>
      <c r="V193" s="168"/>
      <c r="W193" s="158" t="s">
        <v>966</v>
      </c>
      <c r="X193" s="158" t="s">
        <v>185</v>
      </c>
      <c r="Y193" s="158" t="s">
        <v>185</v>
      </c>
      <c r="Z193" s="158"/>
      <c r="AA193" s="158" t="str">
        <f>IF(AWS[[#This Row],[Column14]]="-","", "v")</f>
        <v/>
      </c>
      <c r="AB193" s="158" t="str">
        <f>IF(AWS[[#This Row],[Column8]]="x","1",(IF(OR(AWS[[#This Row],[Column25]]=2,AWS[[#This Row],[Column26]]=2,AWS[[#This Row],[Column27]]=2),"1",(IF(AWS[[#This Row],[Column9]]="x","2",(IF(AWS[[#This Row],[Column10]]="x","3","")))))))</f>
        <v>2</v>
      </c>
      <c r="AC193" s="158" t="str">
        <f>IF(AWS[[#This Row],[Column14]] = "-", AWS[[#This Row],[Column14]], LEFT(AWS[[#This Row],[Column14]], SEARCH(" ", AWS[[#This Row],[Column14]] &amp; " ") - 1))</f>
        <v>-</v>
      </c>
    </row>
    <row r="194" spans="1:29" ht="180" hidden="1">
      <c r="A19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4" s="137" t="str">
        <f>AWS[[#This Row],[Column30]]</f>
        <v>-</v>
      </c>
      <c r="C194" s="137">
        <v>16.2</v>
      </c>
      <c r="D194" s="237" t="s">
        <v>371</v>
      </c>
      <c r="E194" s="162" t="s">
        <v>156</v>
      </c>
      <c r="F194" s="138" t="s">
        <v>816</v>
      </c>
      <c r="G194" s="243" t="s">
        <v>817</v>
      </c>
      <c r="H194" s="204"/>
      <c r="I194" s="164" t="s">
        <v>185</v>
      </c>
      <c r="J194" s="200" t="s">
        <v>185</v>
      </c>
      <c r="K194" s="176" t="s">
        <v>185</v>
      </c>
      <c r="L194" s="176" t="s">
        <v>185</v>
      </c>
      <c r="M194" s="176" t="s">
        <v>185</v>
      </c>
      <c r="N194" s="165" t="s">
        <v>162</v>
      </c>
      <c r="O194" s="165" t="s">
        <v>162</v>
      </c>
      <c r="P194" s="165" t="s">
        <v>162</v>
      </c>
      <c r="Q194" s="165" t="s">
        <v>162</v>
      </c>
      <c r="R194" s="167"/>
      <c r="S194" s="165" t="s">
        <v>162</v>
      </c>
      <c r="T194" s="165" t="s">
        <v>162</v>
      </c>
      <c r="U194" s="158" t="s">
        <v>162</v>
      </c>
      <c r="V194" s="168"/>
      <c r="W194" s="158" t="s">
        <v>966</v>
      </c>
      <c r="X194" s="158" t="s">
        <v>185</v>
      </c>
      <c r="Y194" s="158" t="s">
        <v>185</v>
      </c>
      <c r="Z194" s="158"/>
      <c r="AA194" s="158" t="str">
        <f>IF(AWS[[#This Row],[Column14]]="-","", "v")</f>
        <v/>
      </c>
      <c r="AB194" s="158" t="str">
        <f>IF(AWS[[#This Row],[Column8]]="x","1",(IF(OR(AWS[[#This Row],[Column25]]=2,AWS[[#This Row],[Column26]]=2,AWS[[#This Row],[Column27]]=2),"1",(IF(AWS[[#This Row],[Column9]]="x","2",(IF(AWS[[#This Row],[Column10]]="x","3","")))))))</f>
        <v>2</v>
      </c>
      <c r="AC194" s="158" t="str">
        <f>IF(AWS[[#This Row],[Column14]] = "-", AWS[[#This Row],[Column14]], LEFT(AWS[[#This Row],[Column14]], SEARCH(" ", AWS[[#This Row],[Column14]] &amp; " ") - 1))</f>
        <v>-</v>
      </c>
    </row>
    <row r="195" spans="1:29" ht="60" hidden="1">
      <c r="A19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5" s="137" t="str">
        <f>AWS[[#This Row],[Column30]]</f>
        <v>-</v>
      </c>
      <c r="C195" s="137">
        <v>16.3</v>
      </c>
      <c r="D195" s="237" t="s">
        <v>371</v>
      </c>
      <c r="E195" s="162" t="s">
        <v>156</v>
      </c>
      <c r="F195" s="138" t="s">
        <v>818</v>
      </c>
      <c r="G195" s="243" t="s">
        <v>819</v>
      </c>
      <c r="H195" s="204"/>
      <c r="I195" s="164" t="s">
        <v>185</v>
      </c>
      <c r="J195" s="200" t="s">
        <v>185</v>
      </c>
      <c r="K195" s="176" t="s">
        <v>185</v>
      </c>
      <c r="L195" s="176" t="s">
        <v>185</v>
      </c>
      <c r="M195" s="176" t="s">
        <v>185</v>
      </c>
      <c r="N195" s="165" t="s">
        <v>162</v>
      </c>
      <c r="O195" s="165" t="s">
        <v>162</v>
      </c>
      <c r="P195" s="165" t="s">
        <v>162</v>
      </c>
      <c r="Q195" s="165" t="s">
        <v>162</v>
      </c>
      <c r="R195" s="167"/>
      <c r="S195" s="165" t="s">
        <v>162</v>
      </c>
      <c r="T195" s="165" t="s">
        <v>162</v>
      </c>
      <c r="U195" s="158" t="s">
        <v>162</v>
      </c>
      <c r="V195" s="168"/>
      <c r="W195" s="158" t="s">
        <v>966</v>
      </c>
      <c r="X195" s="158" t="s">
        <v>185</v>
      </c>
      <c r="Y195" s="158" t="s">
        <v>185</v>
      </c>
      <c r="Z195" s="158"/>
      <c r="AA195" s="158" t="str">
        <f>IF(AWS[[#This Row],[Column14]]="-","", "v")</f>
        <v/>
      </c>
      <c r="AB195" s="158" t="str">
        <f>IF(AWS[[#This Row],[Column8]]="x","1",(IF(OR(AWS[[#This Row],[Column25]]=2,AWS[[#This Row],[Column26]]=2,AWS[[#This Row],[Column27]]=2),"1",(IF(AWS[[#This Row],[Column9]]="x","2",(IF(AWS[[#This Row],[Column10]]="x","3","")))))))</f>
        <v>2</v>
      </c>
      <c r="AC195" s="158" t="str">
        <f>IF(AWS[[#This Row],[Column14]] = "-", AWS[[#This Row],[Column14]], LEFT(AWS[[#This Row],[Column14]], SEARCH(" ", AWS[[#This Row],[Column14]] &amp; " ") - 1))</f>
        <v>-</v>
      </c>
    </row>
    <row r="196" spans="1:29" ht="90" hidden="1">
      <c r="A19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6" s="137" t="str">
        <f>AWS[[#This Row],[Column30]]</f>
        <v>-</v>
      </c>
      <c r="C196" s="137">
        <v>16.399999999999999</v>
      </c>
      <c r="D196" s="237" t="s">
        <v>371</v>
      </c>
      <c r="E196" s="162" t="s">
        <v>156</v>
      </c>
      <c r="F196" s="138" t="s">
        <v>820</v>
      </c>
      <c r="G196" s="243" t="s">
        <v>821</v>
      </c>
      <c r="H196" s="204"/>
      <c r="I196" s="164" t="s">
        <v>185</v>
      </c>
      <c r="J196" s="200" t="s">
        <v>185</v>
      </c>
      <c r="K196" s="176" t="s">
        <v>185</v>
      </c>
      <c r="L196" s="176" t="s">
        <v>185</v>
      </c>
      <c r="M196" s="176" t="s">
        <v>185</v>
      </c>
      <c r="N196" s="165" t="s">
        <v>162</v>
      </c>
      <c r="O196" s="165" t="s">
        <v>162</v>
      </c>
      <c r="P196" s="165" t="s">
        <v>162</v>
      </c>
      <c r="Q196" s="165" t="s">
        <v>162</v>
      </c>
      <c r="R196" s="167"/>
      <c r="S196" s="165" t="s">
        <v>162</v>
      </c>
      <c r="T196" s="165" t="s">
        <v>162</v>
      </c>
      <c r="U196" s="158" t="s">
        <v>162</v>
      </c>
      <c r="V196" s="168"/>
      <c r="W196" s="158" t="s">
        <v>966</v>
      </c>
      <c r="X196" s="158" t="s">
        <v>185</v>
      </c>
      <c r="Y196" s="158" t="s">
        <v>185</v>
      </c>
      <c r="Z196" s="158"/>
      <c r="AA196" s="158" t="str">
        <f>IF(AWS[[#This Row],[Column14]]="-","", "v")</f>
        <v/>
      </c>
      <c r="AB196" s="158" t="str">
        <f>IF(AWS[[#This Row],[Column8]]="x","1",(IF(OR(AWS[[#This Row],[Column25]]=2,AWS[[#This Row],[Column26]]=2,AWS[[#This Row],[Column27]]=2),"1",(IF(AWS[[#This Row],[Column9]]="x","2",(IF(AWS[[#This Row],[Column10]]="x","3","")))))))</f>
        <v>2</v>
      </c>
      <c r="AC196" s="158" t="str">
        <f>IF(AWS[[#This Row],[Column14]] = "-", AWS[[#This Row],[Column14]], LEFT(AWS[[#This Row],[Column14]], SEARCH(" ", AWS[[#This Row],[Column14]] &amp; " ") - 1))</f>
        <v>-</v>
      </c>
    </row>
    <row r="197" spans="1:29" ht="60" hidden="1">
      <c r="A19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7" s="137" t="str">
        <f>AWS[[#This Row],[Column30]]</f>
        <v>-</v>
      </c>
      <c r="C197" s="137">
        <v>16.5</v>
      </c>
      <c r="D197" s="237" t="s">
        <v>371</v>
      </c>
      <c r="E197" s="162" t="s">
        <v>156</v>
      </c>
      <c r="F197" s="138" t="s">
        <v>822</v>
      </c>
      <c r="G197" s="241" t="s">
        <v>823</v>
      </c>
      <c r="H197" s="204"/>
      <c r="I197" s="164" t="s">
        <v>185</v>
      </c>
      <c r="J197" s="200" t="s">
        <v>185</v>
      </c>
      <c r="K197" s="176" t="s">
        <v>185</v>
      </c>
      <c r="L197" s="176" t="s">
        <v>185</v>
      </c>
      <c r="M197" s="176" t="s">
        <v>185</v>
      </c>
      <c r="N197" s="165" t="s">
        <v>162</v>
      </c>
      <c r="O197" s="165" t="s">
        <v>162</v>
      </c>
      <c r="P197" s="165" t="s">
        <v>162</v>
      </c>
      <c r="Q197" s="165" t="s">
        <v>162</v>
      </c>
      <c r="R197" s="167"/>
      <c r="S197" s="165" t="s">
        <v>162</v>
      </c>
      <c r="T197" s="165" t="s">
        <v>162</v>
      </c>
      <c r="U197" s="158" t="s">
        <v>162</v>
      </c>
      <c r="V197" s="168"/>
      <c r="W197" s="158" t="s">
        <v>966</v>
      </c>
      <c r="X197" s="158" t="s">
        <v>185</v>
      </c>
      <c r="Y197" s="158" t="s">
        <v>185</v>
      </c>
      <c r="Z197" s="158"/>
      <c r="AA197" s="158" t="str">
        <f>IF(AWS[[#This Row],[Column14]]="-","", "v")</f>
        <v/>
      </c>
      <c r="AB197" s="158" t="str">
        <f>IF(AWS[[#This Row],[Column8]]="x","1",(IF(OR(AWS[[#This Row],[Column25]]=2,AWS[[#This Row],[Column26]]=2,AWS[[#This Row],[Column27]]=2),"1",(IF(AWS[[#This Row],[Column9]]="x","2",(IF(AWS[[#This Row],[Column10]]="x","3","")))))))</f>
        <v>2</v>
      </c>
      <c r="AC197" s="158" t="str">
        <f>IF(AWS[[#This Row],[Column14]] = "-", AWS[[#This Row],[Column14]], LEFT(AWS[[#This Row],[Column14]], SEARCH(" ", AWS[[#This Row],[Column14]] &amp; " ") - 1))</f>
        <v>-</v>
      </c>
    </row>
    <row r="198" spans="1:29" ht="105" hidden="1">
      <c r="A19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8" s="137" t="str">
        <f>AWS[[#This Row],[Column30]]</f>
        <v>-</v>
      </c>
      <c r="C198" s="137">
        <v>16.600000000000001</v>
      </c>
      <c r="D198" s="237" t="s">
        <v>371</v>
      </c>
      <c r="E198" s="162" t="s">
        <v>156</v>
      </c>
      <c r="F198" s="138" t="s">
        <v>824</v>
      </c>
      <c r="G198" s="241" t="s">
        <v>825</v>
      </c>
      <c r="H198" s="204"/>
      <c r="I198" s="164" t="s">
        <v>185</v>
      </c>
      <c r="J198" s="200" t="s">
        <v>185</v>
      </c>
      <c r="K198" s="176" t="s">
        <v>185</v>
      </c>
      <c r="L198" s="176" t="s">
        <v>185</v>
      </c>
      <c r="M198" s="176" t="s">
        <v>185</v>
      </c>
      <c r="N198" s="165" t="s">
        <v>162</v>
      </c>
      <c r="O198" s="165" t="s">
        <v>162</v>
      </c>
      <c r="P198" s="165" t="s">
        <v>162</v>
      </c>
      <c r="Q198" s="165" t="s">
        <v>162</v>
      </c>
      <c r="R198" s="167"/>
      <c r="S198" s="165" t="s">
        <v>162</v>
      </c>
      <c r="T198" s="165" t="s">
        <v>162</v>
      </c>
      <c r="U198" s="158" t="s">
        <v>162</v>
      </c>
      <c r="V198" s="168"/>
      <c r="W198" s="158" t="s">
        <v>966</v>
      </c>
      <c r="X198" s="158" t="s">
        <v>185</v>
      </c>
      <c r="Y198" s="158" t="s">
        <v>185</v>
      </c>
      <c r="Z198" s="158"/>
      <c r="AA198" s="158" t="str">
        <f>IF(AWS[[#This Row],[Column14]]="-","", "v")</f>
        <v/>
      </c>
      <c r="AB198" s="158" t="str">
        <f>IF(AWS[[#This Row],[Column8]]="x","1",(IF(OR(AWS[[#This Row],[Column25]]=2,AWS[[#This Row],[Column26]]=2,AWS[[#This Row],[Column27]]=2),"1",(IF(AWS[[#This Row],[Column9]]="x","2",(IF(AWS[[#This Row],[Column10]]="x","3","")))))))</f>
        <v>2</v>
      </c>
      <c r="AC198" s="158" t="str">
        <f>IF(AWS[[#This Row],[Column14]] = "-", AWS[[#This Row],[Column14]], LEFT(AWS[[#This Row],[Column14]], SEARCH(" ", AWS[[#This Row],[Column14]] &amp; " ") - 1))</f>
        <v>-</v>
      </c>
    </row>
    <row r="199" spans="1:29" ht="75" hidden="1">
      <c r="A19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NOT(ISBLANK(K199)),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NOT(ISBLANK(L199)),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NOT(ISBLANK(M199)),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199" s="137" t="str">
        <f>AWS[[#This Row],[Column30]]</f>
        <v>-</v>
      </c>
      <c r="C199" s="137">
        <v>16.7</v>
      </c>
      <c r="D199" s="237" t="s">
        <v>371</v>
      </c>
      <c r="E199" s="162" t="s">
        <v>156</v>
      </c>
      <c r="F199" s="138" t="s">
        <v>826</v>
      </c>
      <c r="G199" s="241" t="s">
        <v>827</v>
      </c>
      <c r="H199" s="204"/>
      <c r="I199" s="164" t="s">
        <v>185</v>
      </c>
      <c r="J199" s="200" t="s">
        <v>185</v>
      </c>
      <c r="K199" s="176" t="s">
        <v>185</v>
      </c>
      <c r="L199" s="176" t="s">
        <v>185</v>
      </c>
      <c r="M199" s="176" t="s">
        <v>185</v>
      </c>
      <c r="N199" s="165" t="s">
        <v>162</v>
      </c>
      <c r="O199" s="165" t="s">
        <v>162</v>
      </c>
      <c r="P199" s="165" t="s">
        <v>162</v>
      </c>
      <c r="Q199" s="165" t="s">
        <v>162</v>
      </c>
      <c r="R199" s="167"/>
      <c r="S199" s="165" t="s">
        <v>162</v>
      </c>
      <c r="T199" s="165" t="s">
        <v>162</v>
      </c>
      <c r="U199" s="158" t="s">
        <v>162</v>
      </c>
      <c r="V199" s="168"/>
      <c r="W199" s="158" t="s">
        <v>966</v>
      </c>
      <c r="X199" s="158" t="s">
        <v>185</v>
      </c>
      <c r="Y199" s="158" t="s">
        <v>185</v>
      </c>
      <c r="Z199" s="158"/>
      <c r="AA199" s="158" t="str">
        <f>IF(AWS[[#This Row],[Column14]]="-","", "v")</f>
        <v/>
      </c>
      <c r="AB199" s="158" t="str">
        <f>IF(AWS[[#This Row],[Column8]]="x","1",(IF(OR(AWS[[#This Row],[Column25]]=2,AWS[[#This Row],[Column26]]=2,AWS[[#This Row],[Column27]]=2),"1",(IF(AWS[[#This Row],[Column9]]="x","2",(IF(AWS[[#This Row],[Column10]]="x","3","")))))))</f>
        <v>2</v>
      </c>
      <c r="AC199" s="158" t="str">
        <f>IF(AWS[[#This Row],[Column14]] = "-", AWS[[#This Row],[Column14]], LEFT(AWS[[#This Row],[Column14]], SEARCH(" ", AWS[[#This Row],[Column14]] &amp; " ") - 1))</f>
        <v>-</v>
      </c>
    </row>
    <row r="200" spans="1:29" ht="30" hidden="1">
      <c r="A20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00" s="137" t="str">
        <f>AWS[[#This Row],[Column30]]</f>
        <v>-</v>
      </c>
      <c r="C200" s="137">
        <v>16.8</v>
      </c>
      <c r="D200" s="237" t="s">
        <v>371</v>
      </c>
      <c r="E200" s="162" t="s">
        <v>156</v>
      </c>
      <c r="F200" s="138" t="s">
        <v>828</v>
      </c>
      <c r="G200" s="241" t="s">
        <v>829</v>
      </c>
      <c r="H200" s="204"/>
      <c r="I200" s="164" t="s">
        <v>185</v>
      </c>
      <c r="J200" s="200" t="s">
        <v>185</v>
      </c>
      <c r="K200" s="176" t="s">
        <v>185</v>
      </c>
      <c r="L200" s="176" t="s">
        <v>185</v>
      </c>
      <c r="M200" s="176" t="s">
        <v>185</v>
      </c>
      <c r="N200" s="165" t="s">
        <v>162</v>
      </c>
      <c r="O200" s="165" t="s">
        <v>162</v>
      </c>
      <c r="P200" s="165" t="s">
        <v>162</v>
      </c>
      <c r="Q200" s="165" t="s">
        <v>162</v>
      </c>
      <c r="R200" s="167"/>
      <c r="S200" s="165" t="s">
        <v>162</v>
      </c>
      <c r="T200" s="165" t="s">
        <v>162</v>
      </c>
      <c r="U200" s="158" t="s">
        <v>162</v>
      </c>
      <c r="V200" s="168"/>
      <c r="W200" s="158" t="s">
        <v>966</v>
      </c>
      <c r="X200" s="158" t="s">
        <v>185</v>
      </c>
      <c r="Y200" s="158" t="s">
        <v>185</v>
      </c>
      <c r="Z200" s="158"/>
      <c r="AA200" s="158" t="str">
        <f>IF(AWS[[#This Row],[Column14]]="-","", "v")</f>
        <v/>
      </c>
      <c r="AB200" s="158" t="str">
        <f>IF(AWS[[#This Row],[Column8]]="x","1",(IF(OR(AWS[[#This Row],[Column25]]=2,AWS[[#This Row],[Column26]]=2,AWS[[#This Row],[Column27]]=2),"1",(IF(AWS[[#This Row],[Column9]]="x","2",(IF(AWS[[#This Row],[Column10]]="x","3","")))))))</f>
        <v>2</v>
      </c>
      <c r="AC200" s="158" t="str">
        <f>IF(AWS[[#This Row],[Column14]] = "-", AWS[[#This Row],[Column14]], LEFT(AWS[[#This Row],[Column14]], SEARCH(" ", AWS[[#This Row],[Column14]] &amp; " ") - 1))</f>
        <v>-</v>
      </c>
    </row>
    <row r="201" spans="1:29" ht="90" hidden="1">
      <c r="A20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01" s="137" t="str">
        <f>AWS[[#This Row],[Column30]]</f>
        <v>-</v>
      </c>
      <c r="C201" s="137">
        <v>16.899999999999999</v>
      </c>
      <c r="D201" s="237" t="s">
        <v>371</v>
      </c>
      <c r="E201" s="162" t="s">
        <v>156</v>
      </c>
      <c r="F201" s="138" t="s">
        <v>830</v>
      </c>
      <c r="G201" s="241" t="s">
        <v>831</v>
      </c>
      <c r="H201" s="204"/>
      <c r="I201" s="164" t="s">
        <v>185</v>
      </c>
      <c r="J201" s="200" t="s">
        <v>185</v>
      </c>
      <c r="K201" s="176" t="s">
        <v>185</v>
      </c>
      <c r="L201" s="176" t="s">
        <v>185</v>
      </c>
      <c r="M201" s="176" t="s">
        <v>185</v>
      </c>
      <c r="N201" s="165" t="s">
        <v>162</v>
      </c>
      <c r="O201" s="165" t="s">
        <v>162</v>
      </c>
      <c r="P201" s="165" t="s">
        <v>162</v>
      </c>
      <c r="Q201" s="165" t="s">
        <v>162</v>
      </c>
      <c r="R201" s="167"/>
      <c r="S201" s="165" t="s">
        <v>162</v>
      </c>
      <c r="T201" s="165" t="s">
        <v>162</v>
      </c>
      <c r="U201" s="158" t="s">
        <v>162</v>
      </c>
      <c r="V201" s="168"/>
      <c r="W201" s="158" t="s">
        <v>966</v>
      </c>
      <c r="X201" s="158" t="s">
        <v>185</v>
      </c>
      <c r="Y201" s="158" t="s">
        <v>185</v>
      </c>
      <c r="Z201" s="158"/>
      <c r="AA201" s="158" t="str">
        <f>IF(AWS[[#This Row],[Column14]]="-","", "v")</f>
        <v/>
      </c>
      <c r="AB201" s="158" t="str">
        <f>IF(AWS[[#This Row],[Column8]]="x","1",(IF(OR(AWS[[#This Row],[Column25]]=2,AWS[[#This Row],[Column26]]=2,AWS[[#This Row],[Column27]]=2),"1",(IF(AWS[[#This Row],[Column9]]="x","2",(IF(AWS[[#This Row],[Column10]]="x","3","")))))))</f>
        <v>2</v>
      </c>
      <c r="AC201" s="158" t="str">
        <f>IF(AWS[[#This Row],[Column14]] = "-", AWS[[#This Row],[Column14]], LEFT(AWS[[#This Row],[Column14]], SEARCH(" ", AWS[[#This Row],[Column14]] &amp; " ") - 1))</f>
        <v>-</v>
      </c>
    </row>
    <row r="202" spans="1:29" ht="135" hidden="1">
      <c r="A20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02" s="137" t="str">
        <f>AWS[[#This Row],[Column30]]</f>
        <v>-</v>
      </c>
      <c r="C202" s="140">
        <v>16.100000000000001</v>
      </c>
      <c r="D202" s="237" t="s">
        <v>371</v>
      </c>
      <c r="E202" s="162" t="s">
        <v>156</v>
      </c>
      <c r="F202" s="138" t="s">
        <v>832</v>
      </c>
      <c r="G202" s="241" t="s">
        <v>833</v>
      </c>
      <c r="H202" s="204"/>
      <c r="I202" s="164" t="s">
        <v>185</v>
      </c>
      <c r="J202" s="200" t="s">
        <v>185</v>
      </c>
      <c r="K202" s="176" t="s">
        <v>185</v>
      </c>
      <c r="L202" s="176" t="s">
        <v>185</v>
      </c>
      <c r="M202" s="176" t="s">
        <v>185</v>
      </c>
      <c r="N202" s="165" t="s">
        <v>162</v>
      </c>
      <c r="O202" s="165" t="s">
        <v>162</v>
      </c>
      <c r="P202" s="165" t="s">
        <v>162</v>
      </c>
      <c r="Q202" s="165" t="s">
        <v>162</v>
      </c>
      <c r="R202" s="167"/>
      <c r="S202" s="165" t="s">
        <v>162</v>
      </c>
      <c r="T202" s="165" t="s">
        <v>162</v>
      </c>
      <c r="U202" s="158" t="s">
        <v>162</v>
      </c>
      <c r="V202" s="168"/>
      <c r="W202" s="158" t="s">
        <v>966</v>
      </c>
      <c r="X202" s="158" t="s">
        <v>185</v>
      </c>
      <c r="Y202" s="158" t="s">
        <v>185</v>
      </c>
      <c r="Z202" s="158"/>
      <c r="AA202" s="158" t="str">
        <f>IF(AWS[[#This Row],[Column14]]="-","", "v")</f>
        <v/>
      </c>
      <c r="AB202" s="158" t="str">
        <f>IF(AWS[[#This Row],[Column8]]="x","1",(IF(OR(AWS[[#This Row],[Column25]]=2,AWS[[#This Row],[Column26]]=2,AWS[[#This Row],[Column27]]=2),"1",(IF(AWS[[#This Row],[Column9]]="x","2",(IF(AWS[[#This Row],[Column10]]="x","3","")))))))</f>
        <v>2</v>
      </c>
      <c r="AC202" s="158" t="str">
        <f>IF(AWS[[#This Row],[Column14]] = "-", AWS[[#This Row],[Column14]], LEFT(AWS[[#This Row],[Column14]], SEARCH(" ", AWS[[#This Row],[Column14]] &amp; " ") - 1))</f>
        <v>-</v>
      </c>
    </row>
    <row r="203" spans="1:29" ht="135" hidden="1">
      <c r="A20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03" s="137" t="str">
        <f>AWS[[#This Row],[Column30]]</f>
        <v>-</v>
      </c>
      <c r="C203" s="137">
        <v>16.11</v>
      </c>
      <c r="D203" s="237" t="s">
        <v>371</v>
      </c>
      <c r="E203" s="162" t="s">
        <v>156</v>
      </c>
      <c r="F203" s="138" t="s">
        <v>834</v>
      </c>
      <c r="G203" s="241" t="s">
        <v>835</v>
      </c>
      <c r="H203" s="204"/>
      <c r="I203" s="164" t="s">
        <v>185</v>
      </c>
      <c r="J203" s="200" t="s">
        <v>185</v>
      </c>
      <c r="K203" s="176" t="s">
        <v>185</v>
      </c>
      <c r="L203" s="176" t="s">
        <v>185</v>
      </c>
      <c r="M203" s="176" t="s">
        <v>185</v>
      </c>
      <c r="N203" s="165" t="s">
        <v>162</v>
      </c>
      <c r="O203" s="165" t="s">
        <v>162</v>
      </c>
      <c r="P203" s="165" t="s">
        <v>162</v>
      </c>
      <c r="Q203" s="165" t="s">
        <v>162</v>
      </c>
      <c r="R203" s="167"/>
      <c r="S203" s="165" t="s">
        <v>162</v>
      </c>
      <c r="T203" s="165" t="s">
        <v>162</v>
      </c>
      <c r="U203" s="158" t="s">
        <v>162</v>
      </c>
      <c r="V203" s="168"/>
      <c r="W203" s="158" t="s">
        <v>966</v>
      </c>
      <c r="X203" s="158" t="s">
        <v>185</v>
      </c>
      <c r="Y203" s="158" t="s">
        <v>185</v>
      </c>
      <c r="Z203" s="158"/>
      <c r="AA203" s="158" t="str">
        <f>IF(AWS[[#This Row],[Column14]]="-","", "v")</f>
        <v/>
      </c>
      <c r="AB203" s="158" t="str">
        <f>IF(AWS[[#This Row],[Column8]]="x","1",(IF(OR(AWS[[#This Row],[Column25]]=2,AWS[[#This Row],[Column26]]=2,AWS[[#This Row],[Column27]]=2),"1",(IF(AWS[[#This Row],[Column9]]="x","2",(IF(AWS[[#This Row],[Column10]]="x","3","")))))))</f>
        <v>2</v>
      </c>
      <c r="AC203" s="158" t="str">
        <f>IF(AWS[[#This Row],[Column14]] = "-", AWS[[#This Row],[Column14]], LEFT(AWS[[#This Row],[Column14]], SEARCH(" ", AWS[[#This Row],[Column14]] &amp; " ") - 1))</f>
        <v>-</v>
      </c>
    </row>
    <row r="204" spans="1:29" ht="30" hidden="1">
      <c r="A20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204" s="137" t="str">
        <f>AWS[[#This Row],[Column30]]</f>
        <v>-</v>
      </c>
      <c r="C204" s="137">
        <v>16.12</v>
      </c>
      <c r="D204" s="237" t="s">
        <v>371</v>
      </c>
      <c r="E204" s="162" t="s">
        <v>156</v>
      </c>
      <c r="F204" s="138" t="s">
        <v>836</v>
      </c>
      <c r="G204" s="243" t="s">
        <v>837</v>
      </c>
      <c r="H204" s="204"/>
      <c r="I204" s="204"/>
      <c r="J204" s="200" t="s">
        <v>185</v>
      </c>
      <c r="K204" s="176" t="s">
        <v>185</v>
      </c>
      <c r="L204" s="176" t="s">
        <v>185</v>
      </c>
      <c r="M204" s="176" t="s">
        <v>185</v>
      </c>
      <c r="N204" s="165" t="s">
        <v>162</v>
      </c>
      <c r="O204" s="165" t="s">
        <v>162</v>
      </c>
      <c r="P204" s="165" t="s">
        <v>162</v>
      </c>
      <c r="Q204" s="165" t="s">
        <v>162</v>
      </c>
      <c r="R204" s="167"/>
      <c r="S204" s="165" t="s">
        <v>162</v>
      </c>
      <c r="T204" s="165" t="s">
        <v>162</v>
      </c>
      <c r="U204" s="158" t="s">
        <v>162</v>
      </c>
      <c r="V204" s="168"/>
      <c r="W204" s="158" t="s">
        <v>966</v>
      </c>
      <c r="X204" s="158" t="s">
        <v>185</v>
      </c>
      <c r="Y204" s="158" t="s">
        <v>185</v>
      </c>
      <c r="Z204" s="158"/>
      <c r="AA204" s="158" t="str">
        <f>IF(AWS[[#This Row],[Column14]]="-","", "v")</f>
        <v/>
      </c>
      <c r="AB204" s="158" t="str">
        <f>IF(AWS[[#This Row],[Column8]]="x","1",(IF(OR(AWS[[#This Row],[Column25]]=2,AWS[[#This Row],[Column26]]=2,AWS[[#This Row],[Column27]]=2),"1",(IF(AWS[[#This Row],[Column9]]="x","2",(IF(AWS[[#This Row],[Column10]]="x","3","")))))))</f>
        <v>3</v>
      </c>
      <c r="AC204" s="158" t="str">
        <f>IF(AWS[[#This Row],[Column14]] = "-", AWS[[#This Row],[Column14]], LEFT(AWS[[#This Row],[Column14]], SEARCH(" ", AWS[[#This Row],[Column14]] &amp; " ") - 1))</f>
        <v>-</v>
      </c>
    </row>
    <row r="205" spans="1:29" ht="75" hidden="1">
      <c r="A20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205" s="137" t="str">
        <f>AWS[[#This Row],[Column30]]</f>
        <v>-</v>
      </c>
      <c r="C205" s="137">
        <v>16.13</v>
      </c>
      <c r="D205" s="237" t="s">
        <v>371</v>
      </c>
      <c r="E205" s="162" t="s">
        <v>156</v>
      </c>
      <c r="F205" s="138" t="s">
        <v>838</v>
      </c>
      <c r="G205" s="241" t="s">
        <v>839</v>
      </c>
      <c r="H205" s="204"/>
      <c r="I205" s="204"/>
      <c r="J205" s="200" t="s">
        <v>185</v>
      </c>
      <c r="K205" s="176" t="s">
        <v>185</v>
      </c>
      <c r="L205" s="176" t="s">
        <v>185</v>
      </c>
      <c r="M205" s="176" t="s">
        <v>185</v>
      </c>
      <c r="N205" s="165" t="s">
        <v>162</v>
      </c>
      <c r="O205" s="165" t="s">
        <v>162</v>
      </c>
      <c r="P205" s="165" t="s">
        <v>162</v>
      </c>
      <c r="Q205" s="165" t="s">
        <v>162</v>
      </c>
      <c r="R205" s="167"/>
      <c r="S205" s="165" t="s">
        <v>162</v>
      </c>
      <c r="T205" s="165" t="s">
        <v>162</v>
      </c>
      <c r="U205" s="158" t="s">
        <v>162</v>
      </c>
      <c r="V205" s="168"/>
      <c r="W205" s="158" t="s">
        <v>966</v>
      </c>
      <c r="X205" s="158" t="s">
        <v>185</v>
      </c>
      <c r="Y205" s="158" t="s">
        <v>185</v>
      </c>
      <c r="Z205" s="158"/>
      <c r="AA205" s="158" t="str">
        <f>IF(AWS[[#This Row],[Column14]]="-","", "v")</f>
        <v/>
      </c>
      <c r="AB205" s="158" t="str">
        <f>IF(AWS[[#This Row],[Column8]]="x","1",(IF(OR(AWS[[#This Row],[Column25]]=2,AWS[[#This Row],[Column26]]=2,AWS[[#This Row],[Column27]]=2),"1",(IF(AWS[[#This Row],[Column9]]="x","2",(IF(AWS[[#This Row],[Column10]]="x","3","")))))))</f>
        <v>3</v>
      </c>
      <c r="AC205" s="158" t="str">
        <f>IF(AWS[[#This Row],[Column14]] = "-", AWS[[#This Row],[Column14]], LEFT(AWS[[#This Row],[Column14]], SEARCH(" ", AWS[[#This Row],[Column14]] &amp; " ") - 1))</f>
        <v>-</v>
      </c>
    </row>
    <row r="206" spans="1:29" ht="90" hidden="1">
      <c r="A20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206" s="137" t="str">
        <f>AWS[[#This Row],[Column30]]</f>
        <v>-</v>
      </c>
      <c r="C206" s="137">
        <v>16.14</v>
      </c>
      <c r="D206" s="237" t="s">
        <v>371</v>
      </c>
      <c r="E206" s="162" t="s">
        <v>156</v>
      </c>
      <c r="F206" s="138" t="s">
        <v>840</v>
      </c>
      <c r="G206" s="241" t="s">
        <v>841</v>
      </c>
      <c r="H206" s="204"/>
      <c r="I206" s="204"/>
      <c r="J206" s="200" t="s">
        <v>185</v>
      </c>
      <c r="K206" s="176" t="s">
        <v>185</v>
      </c>
      <c r="L206" s="176" t="s">
        <v>185</v>
      </c>
      <c r="M206" s="176" t="s">
        <v>185</v>
      </c>
      <c r="N206" s="165" t="s">
        <v>162</v>
      </c>
      <c r="O206" s="165" t="s">
        <v>162</v>
      </c>
      <c r="P206" s="165" t="s">
        <v>162</v>
      </c>
      <c r="Q206" s="165" t="s">
        <v>162</v>
      </c>
      <c r="R206" s="167"/>
      <c r="S206" s="165" t="s">
        <v>162</v>
      </c>
      <c r="T206" s="165" t="s">
        <v>162</v>
      </c>
      <c r="U206" s="158" t="s">
        <v>162</v>
      </c>
      <c r="V206" s="168"/>
      <c r="W206" s="158" t="s">
        <v>966</v>
      </c>
      <c r="X206" s="158" t="s">
        <v>185</v>
      </c>
      <c r="Y206" s="158" t="s">
        <v>185</v>
      </c>
      <c r="Z206" s="158"/>
      <c r="AA206" s="158" t="str">
        <f>IF(AWS[[#This Row],[Column14]]="-","", "v")</f>
        <v/>
      </c>
      <c r="AB206" s="158" t="str">
        <f>IF(AWS[[#This Row],[Column8]]="x","1",(IF(OR(AWS[[#This Row],[Column25]]=2,AWS[[#This Row],[Column26]]=2,AWS[[#This Row],[Column27]]=2),"1",(IF(AWS[[#This Row],[Column9]]="x","2",(IF(AWS[[#This Row],[Column10]]="x","3","")))))))</f>
        <v>3</v>
      </c>
      <c r="AC206" s="158" t="str">
        <f>IF(AWS[[#This Row],[Column14]] = "-", AWS[[#This Row],[Column14]], LEFT(AWS[[#This Row],[Column14]], SEARCH(" ", AWS[[#This Row],[Column14]] &amp; " ") - 1))</f>
        <v>-</v>
      </c>
    </row>
    <row r="207" spans="1:29" ht="45" hidden="1">
      <c r="A207" s="178" t="s">
        <v>942</v>
      </c>
      <c r="B207" s="154" t="s">
        <v>162</v>
      </c>
      <c r="C207" s="154" t="s">
        <v>162</v>
      </c>
      <c r="D207" s="245" t="s">
        <v>162</v>
      </c>
      <c r="E207" s="178"/>
      <c r="F207" s="156" t="s">
        <v>842</v>
      </c>
      <c r="G207" s="242" t="s">
        <v>843</v>
      </c>
      <c r="H207" s="245" t="s">
        <v>162</v>
      </c>
      <c r="I207" s="245" t="s">
        <v>162</v>
      </c>
      <c r="J207" s="245" t="s">
        <v>162</v>
      </c>
      <c r="K207" s="245" t="s">
        <v>162</v>
      </c>
      <c r="L207" s="245" t="s">
        <v>162</v>
      </c>
      <c r="M207" s="245" t="s">
        <v>162</v>
      </c>
      <c r="N207" s="245" t="s">
        <v>162</v>
      </c>
      <c r="O207" s="245" t="s">
        <v>162</v>
      </c>
      <c r="P207" s="245" t="s">
        <v>162</v>
      </c>
      <c r="Q207" s="245" t="s">
        <v>162</v>
      </c>
      <c r="R207" s="167"/>
      <c r="S207" s="245" t="s">
        <v>162</v>
      </c>
      <c r="T207" s="245" t="s">
        <v>162</v>
      </c>
      <c r="U207" s="245" t="s">
        <v>162</v>
      </c>
      <c r="V207" s="245" t="s">
        <v>162</v>
      </c>
      <c r="W207" s="245" t="s">
        <v>162</v>
      </c>
      <c r="X207" s="245" t="s">
        <v>162</v>
      </c>
      <c r="Y207" s="245" t="s">
        <v>162</v>
      </c>
      <c r="Z207" s="245" t="s">
        <v>162</v>
      </c>
      <c r="AA207" s="245" t="s">
        <v>162</v>
      </c>
      <c r="AB207" s="245" t="s">
        <v>162</v>
      </c>
      <c r="AC207" s="158" t="str">
        <f>IF(AWS[[#This Row],[Column14]] = "-", AWS[[#This Row],[Column14]], LEFT(AWS[[#This Row],[Column14]], SEARCH(" ", AWS[[#This Row],[Column14]] &amp; " ") - 1))</f>
        <v>-</v>
      </c>
    </row>
    <row r="208" spans="1:29" ht="105" hidden="1">
      <c r="A20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08" s="137" t="str">
        <f>AWS[[#This Row],[Column30]]</f>
        <v>-</v>
      </c>
      <c r="C208" s="137">
        <v>17.100000000000001</v>
      </c>
      <c r="D208" s="237" t="s">
        <v>781</v>
      </c>
      <c r="E208" s="162" t="s">
        <v>157</v>
      </c>
      <c r="F208" s="138" t="s">
        <v>844</v>
      </c>
      <c r="G208" s="241" t="s">
        <v>845</v>
      </c>
      <c r="H208" s="163" t="s">
        <v>185</v>
      </c>
      <c r="I208" s="164" t="s">
        <v>185</v>
      </c>
      <c r="J208" s="200" t="s">
        <v>185</v>
      </c>
      <c r="K208" s="176" t="s">
        <v>185</v>
      </c>
      <c r="L208" s="176" t="s">
        <v>185</v>
      </c>
      <c r="M208" s="176" t="s">
        <v>185</v>
      </c>
      <c r="N208" s="165" t="s">
        <v>162</v>
      </c>
      <c r="O208" s="165" t="s">
        <v>162</v>
      </c>
      <c r="P208" s="165" t="s">
        <v>162</v>
      </c>
      <c r="Q208" s="165" t="s">
        <v>162</v>
      </c>
      <c r="R208" s="167"/>
      <c r="S208" s="165" t="s">
        <v>162</v>
      </c>
      <c r="T208" s="165" t="s">
        <v>162</v>
      </c>
      <c r="U208" s="158" t="s">
        <v>162</v>
      </c>
      <c r="V208" s="168"/>
      <c r="W208" s="158" t="s">
        <v>966</v>
      </c>
      <c r="X208" s="158" t="s">
        <v>185</v>
      </c>
      <c r="Y208" s="158"/>
      <c r="Z208" s="158" t="s">
        <v>185</v>
      </c>
      <c r="AA208" s="158" t="str">
        <f>IF(AWS[[#This Row],[Column14]]="-","", "v")</f>
        <v/>
      </c>
      <c r="AB208" s="158" t="str">
        <f>IF(AWS[[#This Row],[Column8]]="x","1",(IF(OR(AWS[[#This Row],[Column25]]=2,AWS[[#This Row],[Column26]]=2,AWS[[#This Row],[Column27]]=2),"1",(IF(AWS[[#This Row],[Column9]]="x","2",(IF(AWS[[#This Row],[Column10]]="x","3","")))))))</f>
        <v>1</v>
      </c>
      <c r="AC208" s="158" t="str">
        <f>IF(AWS[[#This Row],[Column14]] = "-", AWS[[#This Row],[Column14]], LEFT(AWS[[#This Row],[Column14]], SEARCH(" ", AWS[[#This Row],[Column14]] &amp; " ") - 1))</f>
        <v>-</v>
      </c>
    </row>
    <row r="209" spans="1:29" ht="409.5" hidden="1">
      <c r="A209"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NOT(ISBLANK(K209)),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NOT(ISBLANK(L209)),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NOT(ISBLANK(M209)),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09" s="137" t="str">
        <f>AWS[[#This Row],[Column30]]</f>
        <v>1.1</v>
      </c>
      <c r="C209" s="137">
        <v>17.2</v>
      </c>
      <c r="D209" s="237" t="s">
        <v>781</v>
      </c>
      <c r="E209" s="162" t="s">
        <v>157</v>
      </c>
      <c r="F209" s="138" t="s">
        <v>846</v>
      </c>
      <c r="G209" s="241" t="s">
        <v>847</v>
      </c>
      <c r="H209" s="163" t="s">
        <v>185</v>
      </c>
      <c r="I209" s="164" t="s">
        <v>185</v>
      </c>
      <c r="J209" s="200" t="s">
        <v>185</v>
      </c>
      <c r="K209" s="176" t="s">
        <v>185</v>
      </c>
      <c r="L209" s="176" t="s">
        <v>185</v>
      </c>
      <c r="M209" s="176" t="s">
        <v>185</v>
      </c>
      <c r="N209" s="165" t="s">
        <v>848</v>
      </c>
      <c r="O209" s="197" t="s">
        <v>198</v>
      </c>
      <c r="P209" s="166" t="s">
        <v>849</v>
      </c>
      <c r="Q209" s="166" t="s">
        <v>850</v>
      </c>
      <c r="R209" s="167" t="s">
        <v>851</v>
      </c>
      <c r="S209" s="166" t="s">
        <v>852</v>
      </c>
      <c r="T209" s="166" t="str">
        <f>HYPERLINK("#", "https://docs.aws.amazon.com/awsaccountbilling/latest/aboutv2/manage-account-payment.html#contact-info")</f>
        <v>https://docs.aws.amazon.com/awsaccountbilling/latest/aboutv2/manage-account-payment.html#contact-info</v>
      </c>
      <c r="U209" s="158" t="s">
        <v>975</v>
      </c>
      <c r="V209" s="168" t="s">
        <v>924</v>
      </c>
      <c r="W209" s="158" t="s">
        <v>967</v>
      </c>
      <c r="X209" s="158" t="s">
        <v>185</v>
      </c>
      <c r="Y209" s="158"/>
      <c r="Z209" s="158" t="s">
        <v>185</v>
      </c>
      <c r="AA209" s="158" t="str">
        <f>IF(AWS[[#This Row],[Column14]]="-","", "v")</f>
        <v>v</v>
      </c>
      <c r="AB209" s="158" t="str">
        <f>IF(AWS[[#This Row],[Column8]]="x","1",(IF(OR(AWS[[#This Row],[Column25]]=2,AWS[[#This Row],[Column26]]=2,AWS[[#This Row],[Column27]]=2),"1",(IF(AWS[[#This Row],[Column9]]="x","2",(IF(AWS[[#This Row],[Column10]]="x","3","")))))))</f>
        <v>1</v>
      </c>
      <c r="AC209" s="158" t="str">
        <f>IF(AWS[[#This Row],[Column14]] = "-", AWS[[#This Row],[Column14]], LEFT(AWS[[#This Row],[Column14]], SEARCH(" ", AWS[[#This Row],[Column14]] &amp; " ") - 1))</f>
        <v>1.1</v>
      </c>
    </row>
    <row r="210" spans="1:29" ht="270.75" hidden="1">
      <c r="A21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0" s="137" t="str">
        <f>AWS[[#This Row],[Column30]]</f>
        <v>1.2</v>
      </c>
      <c r="C210" s="137">
        <v>17.2</v>
      </c>
      <c r="D210" s="237" t="s">
        <v>781</v>
      </c>
      <c r="E210" s="162" t="s">
        <v>157</v>
      </c>
      <c r="F210" s="138" t="s">
        <v>846</v>
      </c>
      <c r="G210" s="241" t="s">
        <v>847</v>
      </c>
      <c r="H210" s="163" t="s">
        <v>185</v>
      </c>
      <c r="I210" s="164" t="s">
        <v>185</v>
      </c>
      <c r="J210" s="200" t="s">
        <v>185</v>
      </c>
      <c r="K210" s="176" t="s">
        <v>185</v>
      </c>
      <c r="L210" s="176" t="s">
        <v>185</v>
      </c>
      <c r="M210" s="176" t="s">
        <v>185</v>
      </c>
      <c r="N210" s="165" t="s">
        <v>853</v>
      </c>
      <c r="O210" s="197" t="s">
        <v>198</v>
      </c>
      <c r="P210" s="166" t="s">
        <v>854</v>
      </c>
      <c r="Q210" s="166" t="s">
        <v>855</v>
      </c>
      <c r="R210" s="167" t="s">
        <v>856</v>
      </c>
      <c r="S210" s="166" t="s">
        <v>857</v>
      </c>
      <c r="T210" s="166" t="s">
        <v>858</v>
      </c>
      <c r="U210" s="158" t="s">
        <v>975</v>
      </c>
      <c r="V210" s="168" t="s">
        <v>924</v>
      </c>
      <c r="W210" s="158" t="s">
        <v>967</v>
      </c>
      <c r="X210" s="158" t="s">
        <v>185</v>
      </c>
      <c r="Y210" s="158"/>
      <c r="Z210" s="158" t="s">
        <v>185</v>
      </c>
      <c r="AA210" s="158" t="str">
        <f>IF(AWS[[#This Row],[Column14]]="-","", "v")</f>
        <v>v</v>
      </c>
      <c r="AB210" s="158" t="str">
        <f>IF(AWS[[#This Row],[Column8]]="x","1",(IF(OR(AWS[[#This Row],[Column25]]=2,AWS[[#This Row],[Column26]]=2,AWS[[#This Row],[Column27]]=2),"1",(IF(AWS[[#This Row],[Column9]]="x","2",(IF(AWS[[#This Row],[Column10]]="x","3","")))))))</f>
        <v>1</v>
      </c>
      <c r="AC210" s="158" t="str">
        <f>IF(AWS[[#This Row],[Column14]] = "-", AWS[[#This Row],[Column14]], LEFT(AWS[[#This Row],[Column14]], SEARCH(" ", AWS[[#This Row],[Column14]] &amp; " ") - 1))</f>
        <v>1.2</v>
      </c>
    </row>
    <row r="211" spans="1:29" ht="409.5" hidden="1">
      <c r="A21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1" s="137" t="str">
        <f>AWS[[#This Row],[Column30]]</f>
        <v>1.3</v>
      </c>
      <c r="C211" s="137">
        <v>17.2</v>
      </c>
      <c r="D211" s="237" t="s">
        <v>781</v>
      </c>
      <c r="E211" s="162" t="s">
        <v>157</v>
      </c>
      <c r="F211" s="138" t="s">
        <v>846</v>
      </c>
      <c r="G211" s="241" t="s">
        <v>847</v>
      </c>
      <c r="H211" s="163" t="s">
        <v>185</v>
      </c>
      <c r="I211" s="164" t="s">
        <v>185</v>
      </c>
      <c r="J211" s="200" t="s">
        <v>185</v>
      </c>
      <c r="K211" s="176" t="s">
        <v>185</v>
      </c>
      <c r="L211" s="176" t="s">
        <v>185</v>
      </c>
      <c r="M211" s="176" t="s">
        <v>185</v>
      </c>
      <c r="N211" s="165" t="s">
        <v>859</v>
      </c>
      <c r="O211" s="197" t="s">
        <v>198</v>
      </c>
      <c r="P211" s="166" t="s">
        <v>860</v>
      </c>
      <c r="Q211" s="166" t="s">
        <v>861</v>
      </c>
      <c r="R211" s="167" t="s">
        <v>862</v>
      </c>
      <c r="S211" s="166" t="s">
        <v>863</v>
      </c>
      <c r="T211" s="166"/>
      <c r="U211" s="158" t="s">
        <v>975</v>
      </c>
      <c r="V211" s="168" t="s">
        <v>925</v>
      </c>
      <c r="W211" s="158" t="s">
        <v>967</v>
      </c>
      <c r="X211" s="158" t="s">
        <v>185</v>
      </c>
      <c r="Y211" s="158"/>
      <c r="Z211" s="158" t="s">
        <v>185</v>
      </c>
      <c r="AA211" s="158" t="str">
        <f>IF(AWS[[#This Row],[Column14]]="-","", "v")</f>
        <v>v</v>
      </c>
      <c r="AB211" s="158" t="str">
        <f>IF(AWS[[#This Row],[Column8]]="x","1",(IF(OR(AWS[[#This Row],[Column25]]=2,AWS[[#This Row],[Column26]]=2,AWS[[#This Row],[Column27]]=2),"1",(IF(AWS[[#This Row],[Column9]]="x","2",(IF(AWS[[#This Row],[Column10]]="x","3","")))))))</f>
        <v>1</v>
      </c>
      <c r="AC211" s="158" t="str">
        <f>IF(AWS[[#This Row],[Column14]] = "-", AWS[[#This Row],[Column14]], LEFT(AWS[[#This Row],[Column14]], SEARCH(" ", AWS[[#This Row],[Column14]] &amp; " ") - 1))</f>
        <v>1.3</v>
      </c>
    </row>
    <row r="212" spans="1:29" ht="75" hidden="1">
      <c r="A21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2" s="137" t="str">
        <f>AWS[[#This Row],[Column30]]</f>
        <v>-</v>
      </c>
      <c r="C212" s="137">
        <v>17.3</v>
      </c>
      <c r="D212" s="237" t="s">
        <v>781</v>
      </c>
      <c r="E212" s="162" t="s">
        <v>157</v>
      </c>
      <c r="F212" s="138" t="s">
        <v>864</v>
      </c>
      <c r="G212" s="241" t="s">
        <v>865</v>
      </c>
      <c r="H212" s="163" t="s">
        <v>185</v>
      </c>
      <c r="I212" s="164" t="s">
        <v>185</v>
      </c>
      <c r="J212" s="200" t="s">
        <v>185</v>
      </c>
      <c r="K212" s="176" t="s">
        <v>185</v>
      </c>
      <c r="L212" s="176" t="s">
        <v>185</v>
      </c>
      <c r="M212" s="176" t="s">
        <v>185</v>
      </c>
      <c r="N212" s="165" t="s">
        <v>162</v>
      </c>
      <c r="O212" s="165" t="s">
        <v>162</v>
      </c>
      <c r="P212" s="165" t="s">
        <v>162</v>
      </c>
      <c r="Q212" s="165" t="s">
        <v>162</v>
      </c>
      <c r="R212" s="167"/>
      <c r="S212" s="165" t="s">
        <v>162</v>
      </c>
      <c r="T212" s="165" t="s">
        <v>162</v>
      </c>
      <c r="U212" s="158" t="s">
        <v>162</v>
      </c>
      <c r="V212" s="168"/>
      <c r="W212" s="158" t="s">
        <v>966</v>
      </c>
      <c r="X212" s="158" t="s">
        <v>185</v>
      </c>
      <c r="Y212" s="158"/>
      <c r="Z212" s="158" t="s">
        <v>185</v>
      </c>
      <c r="AA212" s="158" t="str">
        <f>IF(AWS[[#This Row],[Column14]]="-","", "v")</f>
        <v/>
      </c>
      <c r="AB212" s="158" t="str">
        <f>IF(AWS[[#This Row],[Column8]]="x","1",(IF(OR(AWS[[#This Row],[Column25]]=2,AWS[[#This Row],[Column26]]=2,AWS[[#This Row],[Column27]]=2),"1",(IF(AWS[[#This Row],[Column9]]="x","2",(IF(AWS[[#This Row],[Column10]]="x","3","")))))))</f>
        <v>1</v>
      </c>
      <c r="AC212" s="158" t="str">
        <f>IF(AWS[[#This Row],[Column14]] = "-", AWS[[#This Row],[Column14]], LEFT(AWS[[#This Row],[Column14]], SEARCH(" ", AWS[[#This Row],[Column14]] &amp; " ") - 1))</f>
        <v>-</v>
      </c>
    </row>
    <row r="213" spans="1:29" ht="60" hidden="1">
      <c r="A21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3" s="137" t="str">
        <f>AWS[[#This Row],[Column30]]</f>
        <v>-</v>
      </c>
      <c r="C213" s="137">
        <v>17.399999999999999</v>
      </c>
      <c r="D213" s="237" t="s">
        <v>781</v>
      </c>
      <c r="E213" s="162" t="s">
        <v>157</v>
      </c>
      <c r="F213" s="138" t="s">
        <v>866</v>
      </c>
      <c r="G213" s="241" t="s">
        <v>867</v>
      </c>
      <c r="H213" s="204"/>
      <c r="I213" s="164" t="s">
        <v>185</v>
      </c>
      <c r="J213" s="200" t="s">
        <v>185</v>
      </c>
      <c r="K213" s="176" t="s">
        <v>185</v>
      </c>
      <c r="L213" s="176" t="s">
        <v>185</v>
      </c>
      <c r="M213" s="176" t="s">
        <v>185</v>
      </c>
      <c r="N213" s="165" t="s">
        <v>162</v>
      </c>
      <c r="O213" s="165" t="s">
        <v>162</v>
      </c>
      <c r="P213" s="165" t="s">
        <v>162</v>
      </c>
      <c r="Q213" s="165" t="s">
        <v>162</v>
      </c>
      <c r="R213" s="167"/>
      <c r="S213" s="165" t="s">
        <v>162</v>
      </c>
      <c r="T213" s="165" t="s">
        <v>162</v>
      </c>
      <c r="U213" s="158" t="s">
        <v>162</v>
      </c>
      <c r="V213" s="168"/>
      <c r="W213" s="158" t="s">
        <v>966</v>
      </c>
      <c r="X213" s="158" t="s">
        <v>185</v>
      </c>
      <c r="Y213" s="158"/>
      <c r="Z213" s="158" t="s">
        <v>185</v>
      </c>
      <c r="AA213" s="158" t="str">
        <f>IF(AWS[[#This Row],[Column14]]="-","", "v")</f>
        <v/>
      </c>
      <c r="AB213" s="158" t="str">
        <f>IF(AWS[[#This Row],[Column8]]="x","1",(IF(OR(AWS[[#This Row],[Column25]]=2,AWS[[#This Row],[Column26]]=2,AWS[[#This Row],[Column27]]=2),"1",(IF(AWS[[#This Row],[Column9]]="x","2",(IF(AWS[[#This Row],[Column10]]="x","3","")))))))</f>
        <v>2</v>
      </c>
      <c r="AC213" s="158" t="str">
        <f>IF(AWS[[#This Row],[Column14]] = "-", AWS[[#This Row],[Column14]], LEFT(AWS[[#This Row],[Column14]], SEARCH(" ", AWS[[#This Row],[Column14]] &amp; " ") - 1))</f>
        <v>-</v>
      </c>
    </row>
    <row r="214" spans="1:29" ht="60" hidden="1">
      <c r="A21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4" s="137" t="str">
        <f>AWS[[#This Row],[Column30]]</f>
        <v>-</v>
      </c>
      <c r="C214" s="137">
        <v>17.5</v>
      </c>
      <c r="D214" s="237" t="s">
        <v>781</v>
      </c>
      <c r="E214" s="162" t="s">
        <v>157</v>
      </c>
      <c r="F214" s="138" t="s">
        <v>868</v>
      </c>
      <c r="G214" s="243" t="s">
        <v>869</v>
      </c>
      <c r="H214" s="204"/>
      <c r="I214" s="164" t="s">
        <v>185</v>
      </c>
      <c r="J214" s="200" t="s">
        <v>185</v>
      </c>
      <c r="K214" s="176" t="s">
        <v>185</v>
      </c>
      <c r="L214" s="176" t="s">
        <v>185</v>
      </c>
      <c r="M214" s="176" t="s">
        <v>185</v>
      </c>
      <c r="N214" s="165" t="s">
        <v>162</v>
      </c>
      <c r="O214" s="165" t="s">
        <v>162</v>
      </c>
      <c r="P214" s="165" t="s">
        <v>162</v>
      </c>
      <c r="Q214" s="165" t="s">
        <v>162</v>
      </c>
      <c r="R214" s="167"/>
      <c r="S214" s="165" t="s">
        <v>162</v>
      </c>
      <c r="T214" s="165" t="s">
        <v>162</v>
      </c>
      <c r="U214" s="158" t="s">
        <v>162</v>
      </c>
      <c r="V214" s="168"/>
      <c r="W214" s="158" t="s">
        <v>966</v>
      </c>
      <c r="X214" s="158" t="s">
        <v>185</v>
      </c>
      <c r="Y214" s="158"/>
      <c r="Z214" s="158" t="s">
        <v>185</v>
      </c>
      <c r="AA214" s="158" t="str">
        <f>IF(AWS[[#This Row],[Column14]]="-","", "v")</f>
        <v/>
      </c>
      <c r="AB214" s="158" t="str">
        <f>IF(AWS[[#This Row],[Column8]]="x","1",(IF(OR(AWS[[#This Row],[Column25]]=2,AWS[[#This Row],[Column26]]=2,AWS[[#This Row],[Column27]]=2),"1",(IF(AWS[[#This Row],[Column9]]="x","2",(IF(AWS[[#This Row],[Column10]]="x","3","")))))))</f>
        <v>2</v>
      </c>
      <c r="AC214" s="158" t="str">
        <f>IF(AWS[[#This Row],[Column14]] = "-", AWS[[#This Row],[Column14]], LEFT(AWS[[#This Row],[Column14]], SEARCH(" ", AWS[[#This Row],[Column14]] &amp; " ") - 1))</f>
        <v>-</v>
      </c>
    </row>
    <row r="215" spans="1:29" ht="270.75" hidden="1">
      <c r="A215"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NOT(ISBLANK(M215)),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5" s="137" t="str">
        <f>AWS[[#This Row],[Column30]]</f>
        <v>1.2</v>
      </c>
      <c r="C215" s="137">
        <v>17.600000000000001</v>
      </c>
      <c r="D215" s="237" t="s">
        <v>781</v>
      </c>
      <c r="E215" s="162" t="s">
        <v>157</v>
      </c>
      <c r="F215" s="138" t="s">
        <v>870</v>
      </c>
      <c r="G215" s="241" t="s">
        <v>871</v>
      </c>
      <c r="H215" s="204"/>
      <c r="I215" s="164" t="s">
        <v>185</v>
      </c>
      <c r="J215" s="200" t="s">
        <v>185</v>
      </c>
      <c r="K215" s="176" t="s">
        <v>185</v>
      </c>
      <c r="L215" s="176" t="s">
        <v>185</v>
      </c>
      <c r="M215" s="176" t="s">
        <v>185</v>
      </c>
      <c r="N215" s="165" t="s">
        <v>853</v>
      </c>
      <c r="O215" s="197" t="s">
        <v>198</v>
      </c>
      <c r="P215" s="166" t="s">
        <v>854</v>
      </c>
      <c r="Q215" s="166" t="s">
        <v>855</v>
      </c>
      <c r="R215" s="167" t="s">
        <v>856</v>
      </c>
      <c r="S215" s="166" t="s">
        <v>857</v>
      </c>
      <c r="T215" s="166"/>
      <c r="U215" s="158" t="s">
        <v>975</v>
      </c>
      <c r="V215" s="168" t="s">
        <v>924</v>
      </c>
      <c r="W215" s="158" t="s">
        <v>967</v>
      </c>
      <c r="X215" s="158" t="s">
        <v>185</v>
      </c>
      <c r="Y215" s="158"/>
      <c r="Z215" s="158" t="s">
        <v>185</v>
      </c>
      <c r="AA215" s="158" t="str">
        <f>IF(AWS[[#This Row],[Column14]]="-","", "v")</f>
        <v>v</v>
      </c>
      <c r="AB215" s="158" t="str">
        <f>IF(AWS[[#This Row],[Column8]]="x","1",(IF(OR(AWS[[#This Row],[Column25]]=2,AWS[[#This Row],[Column26]]=2,AWS[[#This Row],[Column27]]=2),"1",(IF(AWS[[#This Row],[Column9]]="x","2",(IF(AWS[[#This Row],[Column10]]="x","3","")))))))</f>
        <v>2</v>
      </c>
      <c r="AC215" s="158" t="str">
        <f>IF(AWS[[#This Row],[Column14]] = "-", AWS[[#This Row],[Column14]], LEFT(AWS[[#This Row],[Column14]], SEARCH(" ", AWS[[#This Row],[Column14]] &amp; " ") - 1))</f>
        <v>1.2</v>
      </c>
    </row>
    <row r="216" spans="1:29" ht="60" hidden="1">
      <c r="A216"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NOT(ISBLANK(M216)),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6" s="137" t="str">
        <f>AWS[[#This Row],[Column30]]</f>
        <v>-</v>
      </c>
      <c r="C216" s="137">
        <v>17.7</v>
      </c>
      <c r="D216" s="237" t="s">
        <v>781</v>
      </c>
      <c r="E216" s="169" t="s">
        <v>158</v>
      </c>
      <c r="F216" s="138" t="s">
        <v>872</v>
      </c>
      <c r="G216" s="241" t="s">
        <v>873</v>
      </c>
      <c r="H216" s="204"/>
      <c r="I216" s="164" t="s">
        <v>185</v>
      </c>
      <c r="J216" s="200" t="s">
        <v>185</v>
      </c>
      <c r="K216" s="176" t="s">
        <v>185</v>
      </c>
      <c r="L216" s="176" t="s">
        <v>185</v>
      </c>
      <c r="M216" s="176" t="s">
        <v>185</v>
      </c>
      <c r="N216" s="165" t="s">
        <v>162</v>
      </c>
      <c r="O216" s="165" t="s">
        <v>162</v>
      </c>
      <c r="P216" s="165" t="s">
        <v>162</v>
      </c>
      <c r="Q216" s="165" t="s">
        <v>162</v>
      </c>
      <c r="R216" s="167"/>
      <c r="S216" s="165" t="s">
        <v>162</v>
      </c>
      <c r="T216" s="165" t="s">
        <v>162</v>
      </c>
      <c r="U216" s="158" t="s">
        <v>162</v>
      </c>
      <c r="V216" s="168"/>
      <c r="W216" s="158" t="s">
        <v>966</v>
      </c>
      <c r="X216" s="158" t="s">
        <v>185</v>
      </c>
      <c r="Y216" s="158"/>
      <c r="Z216" s="158" t="s">
        <v>185</v>
      </c>
      <c r="AA216" s="158" t="str">
        <f>IF(AWS[[#This Row],[Column14]]="-","", "v")</f>
        <v/>
      </c>
      <c r="AB216" s="158" t="str">
        <f>IF(AWS[[#This Row],[Column8]]="x","1",(IF(OR(AWS[[#This Row],[Column25]]=2,AWS[[#This Row],[Column26]]=2,AWS[[#This Row],[Column27]]=2),"1",(IF(AWS[[#This Row],[Column9]]="x","2",(IF(AWS[[#This Row],[Column10]]="x","3","")))))))</f>
        <v>2</v>
      </c>
      <c r="AC216" s="158" t="str">
        <f>IF(AWS[[#This Row],[Column14]] = "-", AWS[[#This Row],[Column14]], LEFT(AWS[[#This Row],[Column14]], SEARCH(" ", AWS[[#This Row],[Column14]] &amp; " ") - 1))</f>
        <v>-</v>
      </c>
    </row>
    <row r="217" spans="1:29" ht="30" hidden="1">
      <c r="A217"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NOT(ISBLANK(M217)),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7" s="137" t="str">
        <f>AWS[[#This Row],[Column30]]</f>
        <v>-</v>
      </c>
      <c r="C217" s="137">
        <v>17.8</v>
      </c>
      <c r="D217" s="237" t="s">
        <v>781</v>
      </c>
      <c r="E217" s="169" t="s">
        <v>158</v>
      </c>
      <c r="F217" s="138" t="s">
        <v>874</v>
      </c>
      <c r="G217" s="241" t="s">
        <v>875</v>
      </c>
      <c r="H217" s="204"/>
      <c r="I217" s="164" t="s">
        <v>185</v>
      </c>
      <c r="J217" s="200" t="s">
        <v>185</v>
      </c>
      <c r="K217" s="176" t="s">
        <v>185</v>
      </c>
      <c r="L217" s="176" t="s">
        <v>185</v>
      </c>
      <c r="M217" s="176" t="s">
        <v>185</v>
      </c>
      <c r="N217" s="165" t="s">
        <v>162</v>
      </c>
      <c r="O217" s="165" t="s">
        <v>162</v>
      </c>
      <c r="P217" s="165" t="s">
        <v>162</v>
      </c>
      <c r="Q217" s="165" t="s">
        <v>162</v>
      </c>
      <c r="R217" s="167"/>
      <c r="S217" s="165" t="s">
        <v>162</v>
      </c>
      <c r="T217" s="165" t="s">
        <v>162</v>
      </c>
      <c r="U217" s="158" t="s">
        <v>162</v>
      </c>
      <c r="V217" s="168"/>
      <c r="W217" s="158" t="s">
        <v>966</v>
      </c>
      <c r="X217" s="158" t="s">
        <v>185</v>
      </c>
      <c r="Y217" s="158"/>
      <c r="Z217" s="158" t="s">
        <v>185</v>
      </c>
      <c r="AA217" s="158" t="str">
        <f>IF(AWS[[#This Row],[Column14]]="-","", "v")</f>
        <v/>
      </c>
      <c r="AB217" s="158" t="str">
        <f>IF(AWS[[#This Row],[Column8]]="x","1",(IF(OR(AWS[[#This Row],[Column25]]=2,AWS[[#This Row],[Column26]]=2,AWS[[#This Row],[Column27]]=2),"1",(IF(AWS[[#This Row],[Column9]]="x","2",(IF(AWS[[#This Row],[Column10]]="x","3","")))))))</f>
        <v>2</v>
      </c>
      <c r="AC217" s="158" t="str">
        <f>IF(AWS[[#This Row],[Column14]] = "-", AWS[[#This Row],[Column14]], LEFT(AWS[[#This Row],[Column14]], SEARCH(" ", AWS[[#This Row],[Column14]] &amp; " ") - 1))</f>
        <v>-</v>
      </c>
    </row>
    <row r="218" spans="1:29" ht="75" hidden="1">
      <c r="A218"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NOT(ISBLANK(M218)),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18" s="137" t="str">
        <f>AWS[[#This Row],[Column30]]</f>
        <v>-</v>
      </c>
      <c r="C218" s="137">
        <v>17.899999999999999</v>
      </c>
      <c r="D218" s="237" t="s">
        <v>781</v>
      </c>
      <c r="E218" s="169" t="s">
        <v>158</v>
      </c>
      <c r="F218" s="138" t="s">
        <v>876</v>
      </c>
      <c r="G218" s="243" t="s">
        <v>877</v>
      </c>
      <c r="H218" s="204"/>
      <c r="I218" s="204"/>
      <c r="J218" s="200" t="s">
        <v>185</v>
      </c>
      <c r="K218" s="176" t="s">
        <v>185</v>
      </c>
      <c r="L218" s="176" t="s">
        <v>185</v>
      </c>
      <c r="M218" s="176" t="s">
        <v>185</v>
      </c>
      <c r="N218" s="165" t="s">
        <v>162</v>
      </c>
      <c r="O218" s="165" t="s">
        <v>162</v>
      </c>
      <c r="P218" s="165" t="s">
        <v>162</v>
      </c>
      <c r="Q218" s="165" t="s">
        <v>162</v>
      </c>
      <c r="R218" s="167"/>
      <c r="S218" s="165" t="s">
        <v>162</v>
      </c>
      <c r="T218" s="165" t="s">
        <v>162</v>
      </c>
      <c r="U218" s="158" t="s">
        <v>162</v>
      </c>
      <c r="V218" s="168"/>
      <c r="W218" s="158" t="s">
        <v>966</v>
      </c>
      <c r="X218" s="158" t="s">
        <v>185</v>
      </c>
      <c r="Y218" s="158"/>
      <c r="Z218" s="158" t="s">
        <v>185</v>
      </c>
      <c r="AA218" s="158" t="str">
        <f>IF(AWS[[#This Row],[Column14]]="-","", "v")</f>
        <v/>
      </c>
      <c r="AB218" s="158" t="str">
        <f>IF(AWS[[#This Row],[Column8]]="x","1",(IF(OR(AWS[[#This Row],[Column25]]=2,AWS[[#This Row],[Column26]]=2,AWS[[#This Row],[Column27]]=2),"1",(IF(AWS[[#This Row],[Column9]]="x","2",(IF(AWS[[#This Row],[Column10]]="x","3","")))))))</f>
        <v>3</v>
      </c>
      <c r="AC218" s="158" t="str">
        <f>IF(AWS[[#This Row],[Column14]] = "-", AWS[[#This Row],[Column14]], LEFT(AWS[[#This Row],[Column14]], SEARCH(" ", AWS[[#This Row],[Column14]] &amp; " ") - 1))</f>
        <v>-</v>
      </c>
    </row>
    <row r="219" spans="1:29" ht="45" hidden="1">
      <c r="A219" s="178" t="s">
        <v>942</v>
      </c>
      <c r="B219" s="154" t="s">
        <v>162</v>
      </c>
      <c r="C219" s="154" t="s">
        <v>162</v>
      </c>
      <c r="D219" s="245" t="s">
        <v>162</v>
      </c>
      <c r="E219" s="178"/>
      <c r="F219" s="156" t="s">
        <v>878</v>
      </c>
      <c r="G219" s="242" t="s">
        <v>879</v>
      </c>
      <c r="H219" s="245" t="s">
        <v>162</v>
      </c>
      <c r="I219" s="245" t="s">
        <v>162</v>
      </c>
      <c r="J219" s="245" t="s">
        <v>162</v>
      </c>
      <c r="K219" s="245" t="s">
        <v>162</v>
      </c>
      <c r="L219" s="245" t="s">
        <v>162</v>
      </c>
      <c r="M219" s="245" t="s">
        <v>162</v>
      </c>
      <c r="N219" s="245" t="s">
        <v>162</v>
      </c>
      <c r="O219" s="245" t="s">
        <v>162</v>
      </c>
      <c r="P219" s="245" t="s">
        <v>162</v>
      </c>
      <c r="Q219" s="245" t="s">
        <v>162</v>
      </c>
      <c r="R219" s="167"/>
      <c r="S219" s="245" t="s">
        <v>162</v>
      </c>
      <c r="T219" s="245" t="s">
        <v>162</v>
      </c>
      <c r="U219" s="245" t="s">
        <v>162</v>
      </c>
      <c r="V219" s="245" t="s">
        <v>162</v>
      </c>
      <c r="W219" s="245" t="s">
        <v>162</v>
      </c>
      <c r="X219" s="245" t="s">
        <v>162</v>
      </c>
      <c r="Y219" s="245" t="s">
        <v>162</v>
      </c>
      <c r="Z219" s="245" t="s">
        <v>162</v>
      </c>
      <c r="AA219" s="245" t="s">
        <v>162</v>
      </c>
      <c r="AB219" s="245" t="s">
        <v>162</v>
      </c>
      <c r="AC219" s="158" t="str">
        <f>IF(AWS[[#This Row],[Column14]] = "-", AWS[[#This Row],[Column14]], LEFT(AWS[[#This Row],[Column14]], SEARCH(" ", AWS[[#This Row],[Column14]] &amp; " ") - 1))</f>
        <v>-</v>
      </c>
    </row>
    <row r="220" spans="1:29" ht="105" hidden="1">
      <c r="A220"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NOT(ISBLANK(M220)),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20" s="137" t="str">
        <f>AWS[[#This Row],[Column30]]</f>
        <v>-</v>
      </c>
      <c r="C220" s="137">
        <v>18.100000000000001</v>
      </c>
      <c r="D220" s="237" t="s">
        <v>781</v>
      </c>
      <c r="E220" s="162" t="s">
        <v>154</v>
      </c>
      <c r="F220" s="138" t="s">
        <v>880</v>
      </c>
      <c r="G220" s="241" t="s">
        <v>881</v>
      </c>
      <c r="H220" s="137"/>
      <c r="I220" s="164" t="s">
        <v>185</v>
      </c>
      <c r="J220" s="200" t="s">
        <v>185</v>
      </c>
      <c r="K220" s="176" t="s">
        <v>185</v>
      </c>
      <c r="L220" s="176" t="s">
        <v>185</v>
      </c>
      <c r="M220" s="176" t="s">
        <v>185</v>
      </c>
      <c r="N220" s="165" t="s">
        <v>162</v>
      </c>
      <c r="O220" s="165" t="s">
        <v>162</v>
      </c>
      <c r="P220" s="165" t="s">
        <v>162</v>
      </c>
      <c r="Q220" s="165" t="s">
        <v>162</v>
      </c>
      <c r="R220" s="167"/>
      <c r="S220" s="165" t="s">
        <v>162</v>
      </c>
      <c r="T220" s="165" t="s">
        <v>162</v>
      </c>
      <c r="U220" s="158" t="s">
        <v>162</v>
      </c>
      <c r="V220" s="168"/>
      <c r="W220" s="158" t="s">
        <v>966</v>
      </c>
      <c r="X220" s="158" t="s">
        <v>185</v>
      </c>
      <c r="Y220" s="158" t="s">
        <v>185</v>
      </c>
      <c r="Z220" s="158"/>
      <c r="AA220" s="158" t="str">
        <f>IF(AWS[[#This Row],[Column14]]="-","", "v")</f>
        <v/>
      </c>
      <c r="AB220" s="158" t="str">
        <f>IF(AWS[[#This Row],[Column8]]="x","1",(IF(OR(AWS[[#This Row],[Column25]]=2,AWS[[#This Row],[Column26]]=2,AWS[[#This Row],[Column27]]=2),"1",(IF(AWS[[#This Row],[Column9]]="x","2",(IF(AWS[[#This Row],[Column10]]="x","3","")))))))</f>
        <v>2</v>
      </c>
      <c r="AC220" s="158" t="str">
        <f>IF(AWS[[#This Row],[Column14]] = "-", AWS[[#This Row],[Column14]], LEFT(AWS[[#This Row],[Column14]], SEARCH(" ", AWS[[#This Row],[Column14]] &amp; " ") - 1))</f>
        <v>-</v>
      </c>
    </row>
    <row r="221" spans="1:29" ht="75" hidden="1">
      <c r="A221"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NOT(ISBLANK(M221)),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21" s="137" t="str">
        <f>AWS[[#This Row],[Column30]]</f>
        <v>-</v>
      </c>
      <c r="C221" s="137">
        <v>18.2</v>
      </c>
      <c r="D221" s="237" t="s">
        <v>390</v>
      </c>
      <c r="E221" s="162" t="s">
        <v>154</v>
      </c>
      <c r="F221" s="138" t="s">
        <v>882</v>
      </c>
      <c r="G221" s="241" t="s">
        <v>883</v>
      </c>
      <c r="H221" s="137"/>
      <c r="I221" s="164" t="s">
        <v>185</v>
      </c>
      <c r="J221" s="200" t="s">
        <v>185</v>
      </c>
      <c r="K221" s="176" t="s">
        <v>185</v>
      </c>
      <c r="L221" s="176" t="s">
        <v>185</v>
      </c>
      <c r="M221" s="176" t="s">
        <v>185</v>
      </c>
      <c r="N221" s="165" t="s">
        <v>162</v>
      </c>
      <c r="O221" s="165" t="s">
        <v>162</v>
      </c>
      <c r="P221" s="165" t="s">
        <v>162</v>
      </c>
      <c r="Q221" s="165" t="s">
        <v>162</v>
      </c>
      <c r="R221" s="167"/>
      <c r="S221" s="165" t="s">
        <v>162</v>
      </c>
      <c r="T221" s="165" t="s">
        <v>162</v>
      </c>
      <c r="U221" s="158" t="s">
        <v>162</v>
      </c>
      <c r="V221" s="168"/>
      <c r="W221" s="158" t="s">
        <v>966</v>
      </c>
      <c r="X221" s="158" t="s">
        <v>185</v>
      </c>
      <c r="Y221" s="158" t="s">
        <v>185</v>
      </c>
      <c r="Z221" s="158"/>
      <c r="AA221" s="158" t="str">
        <f>IF(AWS[[#This Row],[Column14]]="-","", "v")</f>
        <v/>
      </c>
      <c r="AB221" s="158" t="str">
        <f>IF(AWS[[#This Row],[Column8]]="x","1",(IF(OR(AWS[[#This Row],[Column25]]=2,AWS[[#This Row],[Column26]]=2,AWS[[#This Row],[Column27]]=2),"1",(IF(AWS[[#This Row],[Column9]]="x","2",(IF(AWS[[#This Row],[Column10]]="x","3","")))))))</f>
        <v>2</v>
      </c>
      <c r="AC221" s="158" t="str">
        <f>IF(AWS[[#This Row],[Column14]] = "-", AWS[[#This Row],[Column14]], LEFT(AWS[[#This Row],[Column14]], SEARCH(" ", AWS[[#This Row],[Column14]] &amp; " ") - 1))</f>
        <v>-</v>
      </c>
    </row>
    <row r="222" spans="1:29" ht="30" hidden="1">
      <c r="A222"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NOT(ISBLANK(M222)),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Yes</v>
      </c>
      <c r="B222" s="137" t="str">
        <f>AWS[[#This Row],[Column30]]</f>
        <v>-</v>
      </c>
      <c r="C222" s="137">
        <v>18.3</v>
      </c>
      <c r="D222" s="237" t="s">
        <v>390</v>
      </c>
      <c r="E222" s="162" t="s">
        <v>156</v>
      </c>
      <c r="F222" s="138" t="s">
        <v>884</v>
      </c>
      <c r="G222" s="241" t="s">
        <v>885</v>
      </c>
      <c r="H222" s="137"/>
      <c r="I222" s="164" t="s">
        <v>185</v>
      </c>
      <c r="J222" s="200" t="s">
        <v>185</v>
      </c>
      <c r="K222" s="176" t="s">
        <v>185</v>
      </c>
      <c r="L222" s="176" t="s">
        <v>185</v>
      </c>
      <c r="M222" s="176" t="s">
        <v>185</v>
      </c>
      <c r="N222" s="165" t="s">
        <v>162</v>
      </c>
      <c r="O222" s="165" t="s">
        <v>162</v>
      </c>
      <c r="P222" s="165" t="s">
        <v>162</v>
      </c>
      <c r="Q222" s="165" t="s">
        <v>162</v>
      </c>
      <c r="R222" s="167"/>
      <c r="S222" s="165" t="s">
        <v>162</v>
      </c>
      <c r="T222" s="165" t="s">
        <v>162</v>
      </c>
      <c r="U222" s="158" t="s">
        <v>162</v>
      </c>
      <c r="V222" s="168"/>
      <c r="W222" s="158" t="s">
        <v>966</v>
      </c>
      <c r="X222" s="158" t="s">
        <v>185</v>
      </c>
      <c r="Y222" s="158" t="s">
        <v>185</v>
      </c>
      <c r="Z222" s="158"/>
      <c r="AA222" s="158" t="str">
        <f>IF(AWS[[#This Row],[Column14]]="-","", "v")</f>
        <v/>
      </c>
      <c r="AB222" s="158" t="str">
        <f>IF(AWS[[#This Row],[Column8]]="x","1",(IF(OR(AWS[[#This Row],[Column25]]=2,AWS[[#This Row],[Column26]]=2,AWS[[#This Row],[Column27]]=2),"1",(IF(AWS[[#This Row],[Column9]]="x","2",(IF(AWS[[#This Row],[Column10]]="x","3","")))))))</f>
        <v>2</v>
      </c>
      <c r="AC222" s="158" t="str">
        <f>IF(AWS[[#This Row],[Column14]] = "-", AWS[[#This Row],[Column14]], LEFT(AWS[[#This Row],[Column14]], SEARCH(" ", AWS[[#This Row],[Column14]] &amp; " ") - 1))</f>
        <v>-</v>
      </c>
    </row>
    <row r="223" spans="1:29" ht="30" hidden="1">
      <c r="A223"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NOT(ISBLANK(M223)),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223" s="137" t="str">
        <f>AWS[[#This Row],[Column30]]</f>
        <v>-</v>
      </c>
      <c r="C223" s="137">
        <v>18.399999999999999</v>
      </c>
      <c r="D223" s="237" t="s">
        <v>390</v>
      </c>
      <c r="E223" s="162" t="s">
        <v>156</v>
      </c>
      <c r="F223" s="138" t="s">
        <v>886</v>
      </c>
      <c r="G223" s="241" t="s">
        <v>887</v>
      </c>
      <c r="H223" s="204"/>
      <c r="I223" s="204"/>
      <c r="J223" s="200" t="s">
        <v>185</v>
      </c>
      <c r="K223" s="176" t="s">
        <v>185</v>
      </c>
      <c r="L223" s="176" t="s">
        <v>185</v>
      </c>
      <c r="M223" s="176" t="s">
        <v>185</v>
      </c>
      <c r="N223" s="165" t="s">
        <v>162</v>
      </c>
      <c r="O223" s="165" t="s">
        <v>162</v>
      </c>
      <c r="P223" s="165" t="s">
        <v>162</v>
      </c>
      <c r="Q223" s="165" t="s">
        <v>162</v>
      </c>
      <c r="R223" s="167"/>
      <c r="S223" s="165" t="s">
        <v>162</v>
      </c>
      <c r="T223" s="165" t="s">
        <v>162</v>
      </c>
      <c r="U223" s="158" t="s">
        <v>162</v>
      </c>
      <c r="V223" s="168"/>
      <c r="W223" s="158" t="s">
        <v>966</v>
      </c>
      <c r="X223" s="158" t="s">
        <v>185</v>
      </c>
      <c r="Y223" s="158" t="s">
        <v>185</v>
      </c>
      <c r="Z223" s="158"/>
      <c r="AA223" s="158" t="str">
        <f>IF(AWS[[#This Row],[Column14]]="-","", "v")</f>
        <v/>
      </c>
      <c r="AB223" s="158" t="str">
        <f>IF(AWS[[#This Row],[Column8]]="x","1",(IF(OR(AWS[[#This Row],[Column25]]=2,AWS[[#This Row],[Column26]]=2,AWS[[#This Row],[Column27]]=2),"1",(IF(AWS[[#This Row],[Column9]]="x","2",(IF(AWS[[#This Row],[Column10]]="x","3","")))))))</f>
        <v>3</v>
      </c>
      <c r="AC223" s="158" t="str">
        <f>IF(AWS[[#This Row],[Column14]] = "-", AWS[[#This Row],[Column14]], LEFT(AWS[[#This Row],[Column14]], SEARCH(" ", AWS[[#This Row],[Column14]] &amp; " ") - 1))</f>
        <v>-</v>
      </c>
    </row>
    <row r="224" spans="1:29" ht="30" hidden="1">
      <c r="A224" s="168" t="str">
        <f>IF(
    AND(
        חישובים!$C$2 = חישובים!$A$2,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$K$2 = חישובים!$C$2, NOT(ISBLANK(K224)),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$L$2 = חישובים!$C$2, NOT(ISBLANK(L224)),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IF(
                AND(
                    $M$2 = חישובים!$C$2, NOT(ISBLANK(M224)),
                    OR(
                        AND(NOT(ISBLANK(AWS[[#This Row],[Column25]])), ('חישובים ונתונים'!$R$42 &gt;= _xlfn.NUMBERVALUE(AWS[[#This Row],[Column29]]))),
                        AND(NOT(ISBLANK(AWS[[#This Row],[Column26]])), ('חישובים ונתונים'!$R$43 &gt;= _xlfn.NUMBERVALUE(AWS[[#This Row],[Column29]]))),
                        AND(NOT(ISBLANK(AWS[[#This Row],[Column27]])), ('חישובים ונתונים'!$R$44 &gt;= _xlfn.NUMBERVALUE(AWS[[#This Row],[Column29]])))
                    )
                ),
                "Yes",
                "No"
            )
        )
    )
)</f>
        <v>No</v>
      </c>
      <c r="B224" s="137" t="str">
        <f>AWS[[#This Row],[Column30]]</f>
        <v>-</v>
      </c>
      <c r="C224" s="170">
        <v>18.5</v>
      </c>
      <c r="D224" s="238" t="s">
        <v>781</v>
      </c>
      <c r="E224" s="172" t="s">
        <v>154</v>
      </c>
      <c r="F224" s="171" t="s">
        <v>888</v>
      </c>
      <c r="G224" s="244" t="s">
        <v>889</v>
      </c>
      <c r="H224" s="170"/>
      <c r="I224" s="170"/>
      <c r="J224" s="202" t="s">
        <v>185</v>
      </c>
      <c r="K224" s="177" t="s">
        <v>185</v>
      </c>
      <c r="L224" s="177" t="s">
        <v>185</v>
      </c>
      <c r="M224" s="177" t="s">
        <v>185</v>
      </c>
      <c r="N224" s="165" t="s">
        <v>162</v>
      </c>
      <c r="O224" s="165" t="s">
        <v>162</v>
      </c>
      <c r="P224" s="165" t="s">
        <v>162</v>
      </c>
      <c r="Q224" s="165" t="s">
        <v>162</v>
      </c>
      <c r="R224" s="167"/>
      <c r="S224" s="165" t="s">
        <v>162</v>
      </c>
      <c r="T224" s="165" t="s">
        <v>162</v>
      </c>
      <c r="U224" s="158" t="s">
        <v>162</v>
      </c>
      <c r="V224" s="174"/>
      <c r="W224" s="173" t="s">
        <v>966</v>
      </c>
      <c r="X224" s="173" t="s">
        <v>185</v>
      </c>
      <c r="Y224" s="173" t="s">
        <v>185</v>
      </c>
      <c r="Z224" s="173"/>
      <c r="AA224" s="158" t="str">
        <f>IF(AWS[[#This Row],[Column14]]="-","", "v")</f>
        <v/>
      </c>
      <c r="AB224" s="173" t="str">
        <f>IF(AWS[[#This Row],[Column8]]="x","1",(IF(OR(AWS[[#This Row],[Column25]]=2,AWS[[#This Row],[Column26]]=2,AWS[[#This Row],[Column27]]=2),"1",(IF(AWS[[#This Row],[Column9]]="x","2",(IF(AWS[[#This Row],[Column10]]="x","3","")))))))</f>
        <v>3</v>
      </c>
      <c r="AC224" s="158" t="str">
        <f>IF(AWS[[#This Row],[Column14]] = "-", AWS[[#This Row],[Column14]], LEFT(AWS[[#This Row],[Column14]], SEARCH(" ", AWS[[#This Row],[Column14]] &amp; " ") - 1))</f>
        <v>-</v>
      </c>
    </row>
  </sheetData>
  <conditionalFormatting sqref="E4:E8 E10:E16 E49:E60 E88:E94">
    <cfRule type="containsText" dxfId="295" priority="31" operator="containsText" text="Protect">
      <formula>NOT(ISERROR(SEARCH("Protect",E4)))</formula>
    </cfRule>
    <cfRule type="containsText" dxfId="294" priority="32" operator="containsText" text="Respond">
      <formula>NOT(ISERROR(SEARCH("Respond",E4)))</formula>
    </cfRule>
    <cfRule type="containsText" dxfId="293" priority="33" operator="containsText" text="Detect">
      <formula>NOT(ISERROR(SEARCH("Detect",E4)))</formula>
    </cfRule>
    <cfRule type="containsText" dxfId="292" priority="34" operator="containsText" text="Identify">
      <formula>NOT(ISERROR(SEARCH("Identify",E4)))</formula>
    </cfRule>
    <cfRule type="containsText" dxfId="291" priority="35" operator="containsText" text="Identity">
      <formula>NOT(ISERROR(SEARCH("Identity",E4)))</formula>
    </cfRule>
  </conditionalFormatting>
  <conditionalFormatting sqref="E18:E47">
    <cfRule type="containsText" dxfId="290" priority="24" operator="containsText" text="Identify">
      <formula>NOT(ISERROR(SEARCH("Identify",E18)))</formula>
    </cfRule>
    <cfRule type="containsText" dxfId="289" priority="21" operator="containsText" text="Protect">
      <formula>NOT(ISERROR(SEARCH("Protect",E18)))</formula>
    </cfRule>
    <cfRule type="containsText" dxfId="288" priority="22" operator="containsText" text="Respond">
      <formula>NOT(ISERROR(SEARCH("Respond",E18)))</formula>
    </cfRule>
    <cfRule type="containsText" dxfId="287" priority="23" operator="containsText" text="Detect">
      <formula>NOT(ISERROR(SEARCH("Detect",E18)))</formula>
    </cfRule>
    <cfRule type="containsText" dxfId="286" priority="25" operator="containsText" text="Identity">
      <formula>NOT(ISERROR(SEARCH("Identity",E18)))</formula>
    </cfRule>
  </conditionalFormatting>
  <conditionalFormatting sqref="E62:E74">
    <cfRule type="containsText" dxfId="285" priority="1" operator="containsText" text="Protect">
      <formula>NOT(ISERROR(SEARCH("Protect",E62)))</formula>
    </cfRule>
    <cfRule type="containsText" dxfId="284" priority="2" operator="containsText" text="Respond">
      <formula>NOT(ISERROR(SEARCH("Respond",E62)))</formula>
    </cfRule>
    <cfRule type="containsText" dxfId="283" priority="3" operator="containsText" text="Detect">
      <formula>NOT(ISERROR(SEARCH("Detect",E62)))</formula>
    </cfRule>
    <cfRule type="containsText" dxfId="282" priority="4" operator="containsText" text="Identify">
      <formula>NOT(ISERROR(SEARCH("Identify",E62)))</formula>
    </cfRule>
    <cfRule type="containsText" dxfId="281" priority="5" operator="containsText" text="Identity">
      <formula>NOT(ISERROR(SEARCH("Identity",E62)))</formula>
    </cfRule>
  </conditionalFormatting>
  <conditionalFormatting sqref="E76:E86 E96:E128 E130:E136 E138:E144 E152:E159 E161:E173 E175:E183 E185:E191 E193:E206 E220:E224">
    <cfRule type="containsText" dxfId="280" priority="41" operator="containsText" text="Protect">
      <formula>NOT(ISERROR(SEARCH("Protect",E76)))</formula>
    </cfRule>
    <cfRule type="containsText" dxfId="279" priority="42" operator="containsText" text="Respond">
      <formula>NOT(ISERROR(SEARCH("Respond",E76)))</formula>
    </cfRule>
    <cfRule type="containsText" dxfId="278" priority="43" operator="containsText" text="Detect">
      <formula>NOT(ISERROR(SEARCH("Detect",E76)))</formula>
    </cfRule>
    <cfRule type="containsText" dxfId="277" priority="44" operator="containsText" text="Identify">
      <formula>NOT(ISERROR(SEARCH("Identify",E76)))</formula>
    </cfRule>
    <cfRule type="containsText" dxfId="276" priority="45" operator="containsText" text="Identity">
      <formula>NOT(ISERROR(SEARCH("Identity",E76)))</formula>
    </cfRule>
  </conditionalFormatting>
  <conditionalFormatting sqref="E146:E150">
    <cfRule type="containsText" dxfId="275" priority="36" operator="containsText" text="Protect">
      <formula>NOT(ISERROR(SEARCH("Protect",E146)))</formula>
    </cfRule>
    <cfRule type="containsText" dxfId="274" priority="37" operator="containsText" text="Respond">
      <formula>NOT(ISERROR(SEARCH("Respond",E146)))</formula>
    </cfRule>
    <cfRule type="containsText" dxfId="273" priority="38" operator="containsText" text="Detect">
      <formula>NOT(ISERROR(SEARCH("Detect",E146)))</formula>
    </cfRule>
    <cfRule type="containsText" dxfId="272" priority="39" operator="containsText" text="Identify">
      <formula>NOT(ISERROR(SEARCH("Identify",E146)))</formula>
    </cfRule>
    <cfRule type="containsText" dxfId="271" priority="40" operator="containsText" text="Identity">
      <formula>NOT(ISERROR(SEARCH("Identity",E146)))</formula>
    </cfRule>
  </conditionalFormatting>
  <conditionalFormatting sqref="E208:E218">
    <cfRule type="containsText" dxfId="270" priority="27" operator="containsText" text="Respond">
      <formula>NOT(ISERROR(SEARCH("Respond",E208)))</formula>
    </cfRule>
    <cfRule type="containsText" dxfId="269" priority="28" operator="containsText" text="Detect">
      <formula>NOT(ISERROR(SEARCH("Detect",E208)))</formula>
    </cfRule>
    <cfRule type="containsText" dxfId="268" priority="29" operator="containsText" text="Identify">
      <formula>NOT(ISERROR(SEARCH("Identify",E208)))</formula>
    </cfRule>
    <cfRule type="containsText" dxfId="267" priority="30" operator="containsText" text="Identity">
      <formula>NOT(ISERROR(SEARCH("Identity",E208)))</formula>
    </cfRule>
    <cfRule type="containsText" dxfId="266" priority="26" operator="containsText" text="Protect">
      <formula>NOT(ISERROR(SEARCH("Protect",E208)))</formula>
    </cfRule>
  </conditionalFormatting>
  <pageMargins left="0.7" right="0.7" top="0.75" bottom="0.75" header="0.3" footer="0.3"/>
  <pageSetup paperSize="9" orientation="portrait"/>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A12A0-1D5A-4537-9DFB-9574D29ADDC2}">
  <sheetPr codeName="Sheet18"/>
  <dimension ref="A1:AE224"/>
  <sheetViews>
    <sheetView rightToLeft="1" zoomScale="50" zoomScaleNormal="70" workbookViewId="0">
      <pane ySplit="2" topLeftCell="A216" activePane="bottomLeft" state="frozen"/>
      <selection activeCell="A4" sqref="A4"/>
      <selection pane="bottomLeft" activeCell="F2" sqref="F2:F224"/>
    </sheetView>
  </sheetViews>
  <sheetFormatPr defaultColWidth="9.125" defaultRowHeight="14.25"/>
  <cols>
    <col min="1" max="1" width="11.875" style="175" customWidth="1"/>
    <col min="2" max="2" width="12.125" style="175" customWidth="1"/>
    <col min="3" max="4" width="13.875" style="175" bestFit="1" customWidth="1"/>
    <col min="5" max="5" width="14.5" style="175" customWidth="1"/>
    <col min="6" max="6" width="26.875" style="175" customWidth="1"/>
    <col min="7" max="7" width="73.5" style="175" customWidth="1"/>
    <col min="8" max="13" width="7.125" style="448" customWidth="1"/>
    <col min="14" max="14" width="13.125" style="449" customWidth="1"/>
    <col min="15" max="15" width="9.5" style="450" customWidth="1"/>
    <col min="16" max="16" width="33" style="451" customWidth="1"/>
    <col min="17" max="17" width="16.125" style="451" customWidth="1"/>
    <col min="18" max="18" width="43.5" style="201" hidden="1" customWidth="1"/>
    <col min="19" max="19" width="39.125" style="451" customWidth="1"/>
    <col min="20" max="20" width="31.875" style="451" customWidth="1"/>
    <col min="21" max="21" width="13.125" style="175" customWidth="1"/>
    <col min="22" max="22" width="13.125" style="450" customWidth="1"/>
    <col min="23" max="23" width="13.125" style="448" customWidth="1"/>
    <col min="24" max="27" width="9.125" style="448" customWidth="1"/>
    <col min="28" max="28" width="16.375" style="448" bestFit="1" customWidth="1"/>
    <col min="29" max="16384" width="9.125" style="175"/>
  </cols>
  <sheetData>
    <row r="1" spans="1:31" ht="15" customHeight="1">
      <c r="A1" s="196" t="s">
        <v>938</v>
      </c>
      <c r="B1" s="196" t="s">
        <v>939</v>
      </c>
      <c r="C1" s="196" t="s">
        <v>940</v>
      </c>
      <c r="D1" s="196" t="s">
        <v>941</v>
      </c>
      <c r="E1" s="196" t="s">
        <v>944</v>
      </c>
      <c r="F1" s="196" t="s">
        <v>945</v>
      </c>
      <c r="G1" s="196" t="s">
        <v>946</v>
      </c>
      <c r="H1" s="158" t="s">
        <v>947</v>
      </c>
      <c r="I1" s="158" t="s">
        <v>948</v>
      </c>
      <c r="J1" s="158" t="s">
        <v>949</v>
      </c>
      <c r="K1" s="158" t="s">
        <v>950</v>
      </c>
      <c r="L1" s="158" t="s">
        <v>951</v>
      </c>
      <c r="M1" s="158" t="s">
        <v>952</v>
      </c>
      <c r="N1" s="165" t="s">
        <v>953</v>
      </c>
      <c r="O1" s="197" t="s">
        <v>954</v>
      </c>
      <c r="P1" s="197" t="s">
        <v>955</v>
      </c>
      <c r="Q1" s="197" t="s">
        <v>956</v>
      </c>
      <c r="R1" s="198" t="s">
        <v>957</v>
      </c>
      <c r="S1" s="197" t="s">
        <v>958</v>
      </c>
      <c r="T1" s="197" t="s">
        <v>959</v>
      </c>
      <c r="U1" s="199" t="s">
        <v>960</v>
      </c>
      <c r="V1" s="159" t="s">
        <v>961</v>
      </c>
      <c r="W1" s="160" t="s">
        <v>962</v>
      </c>
      <c r="X1" s="148" t="s">
        <v>963</v>
      </c>
      <c r="Y1" s="148" t="s">
        <v>964</v>
      </c>
      <c r="Z1" s="148" t="s">
        <v>965</v>
      </c>
      <c r="AA1" s="148" t="s">
        <v>970</v>
      </c>
      <c r="AB1" s="148" t="s">
        <v>979</v>
      </c>
      <c r="AC1" s="452" t="s">
        <v>2022</v>
      </c>
    </row>
    <row r="2" spans="1:31" ht="60">
      <c r="A2" s="136" t="s">
        <v>942</v>
      </c>
      <c r="B2" s="136" t="s">
        <v>2026</v>
      </c>
      <c r="C2" s="136" t="s">
        <v>974</v>
      </c>
      <c r="D2" s="136" t="s">
        <v>1501</v>
      </c>
      <c r="E2" s="136" t="s">
        <v>973</v>
      </c>
      <c r="F2" s="136" t="s">
        <v>83</v>
      </c>
      <c r="G2" s="136" t="s">
        <v>1502</v>
      </c>
      <c r="H2" s="136" t="s">
        <v>174</v>
      </c>
      <c r="I2" s="136" t="s">
        <v>175</v>
      </c>
      <c r="J2" s="136" t="s">
        <v>176</v>
      </c>
      <c r="K2" s="136" t="s">
        <v>159</v>
      </c>
      <c r="L2" s="136" t="s">
        <v>160</v>
      </c>
      <c r="M2" s="136" t="s">
        <v>161</v>
      </c>
      <c r="N2" s="179" t="s">
        <v>1503</v>
      </c>
      <c r="O2" s="179" t="s">
        <v>1504</v>
      </c>
      <c r="P2" s="179" t="s">
        <v>83</v>
      </c>
      <c r="Q2" s="179" t="s">
        <v>1505</v>
      </c>
      <c r="R2" s="180" t="s">
        <v>179</v>
      </c>
      <c r="S2" s="179" t="s">
        <v>1506</v>
      </c>
      <c r="T2" s="179" t="s">
        <v>1507</v>
      </c>
      <c r="U2" s="199" t="s">
        <v>981</v>
      </c>
      <c r="V2" s="159" t="s">
        <v>926</v>
      </c>
      <c r="W2" s="160" t="s">
        <v>1508</v>
      </c>
      <c r="X2" s="181" t="s">
        <v>164</v>
      </c>
      <c r="Y2" s="181" t="s">
        <v>165</v>
      </c>
      <c r="Z2" s="181" t="s">
        <v>166</v>
      </c>
      <c r="AA2" s="203" t="s">
        <v>972</v>
      </c>
      <c r="AB2" s="181" t="s">
        <v>980</v>
      </c>
      <c r="AC2" s="453" t="str">
        <f>IF(AWS_2[[#This Row],[Column14]] = "-", AWS_2[[#This Row],[Column14]], LEFT(AWS_2[[#This Row],[Column14]], SEARCH(" ", AWS_2[[#This Row],[Column14]] &amp; " ") - 1))</f>
        <v>תיאור</v>
      </c>
    </row>
    <row r="3" spans="1:31" ht="105">
      <c r="A3" s="154" t="s">
        <v>942</v>
      </c>
      <c r="B3" s="154" t="s">
        <v>162</v>
      </c>
      <c r="C3" s="154" t="s">
        <v>162</v>
      </c>
      <c r="D3" s="154" t="s">
        <v>162</v>
      </c>
      <c r="E3" s="154" t="s">
        <v>162</v>
      </c>
      <c r="F3" s="156" t="s">
        <v>993</v>
      </c>
      <c r="G3" s="157" t="s">
        <v>351</v>
      </c>
      <c r="H3" s="154"/>
      <c r="I3" s="154"/>
      <c r="J3" s="154"/>
      <c r="K3" s="154"/>
      <c r="L3" s="154"/>
      <c r="M3" s="154"/>
      <c r="N3" s="154" t="s">
        <v>162</v>
      </c>
      <c r="O3" s="154" t="s">
        <v>162</v>
      </c>
      <c r="P3" s="154" t="s">
        <v>162</v>
      </c>
      <c r="Q3" s="154" t="s">
        <v>162</v>
      </c>
      <c r="R3" s="154" t="s">
        <v>162</v>
      </c>
      <c r="S3" s="154" t="s">
        <v>162</v>
      </c>
      <c r="T3" s="154" t="s">
        <v>162</v>
      </c>
      <c r="U3" s="245" t="s">
        <v>162</v>
      </c>
      <c r="V3" s="245" t="s">
        <v>162</v>
      </c>
      <c r="W3" s="245" t="s">
        <v>162</v>
      </c>
      <c r="X3" s="245" t="s">
        <v>162</v>
      </c>
      <c r="Y3" s="245" t="s">
        <v>162</v>
      </c>
      <c r="Z3" s="245" t="s">
        <v>162</v>
      </c>
      <c r="AA3" s="154" t="s">
        <v>162</v>
      </c>
      <c r="AB3" s="154" t="s">
        <v>162</v>
      </c>
      <c r="AC3" s="454" t="str">
        <f>IF(AWS_2[[#This Row],[Column14]] = "-", AWS_2[[#This Row],[Column14]], LEFT(AWS_2[[#This Row],[Column14]], SEARCH(" ", AWS_2[[#This Row],[Column14]] &amp; " ") - 1))</f>
        <v>-</v>
      </c>
    </row>
    <row r="4" spans="1:31" ht="409.5">
      <c r="A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 s="137" t="str">
        <f>AWS_2[[#This Row],[Column30]]</f>
        <v>3.5</v>
      </c>
      <c r="C4" s="137">
        <v>1.1000000000000001</v>
      </c>
      <c r="D4" s="138" t="s">
        <v>352</v>
      </c>
      <c r="E4" s="162" t="s">
        <v>154</v>
      </c>
      <c r="F4" s="138" t="s">
        <v>988</v>
      </c>
      <c r="G4" s="138" t="s">
        <v>354</v>
      </c>
      <c r="H4" s="163" t="s">
        <v>185</v>
      </c>
      <c r="I4" s="164" t="s">
        <v>185</v>
      </c>
      <c r="J4" s="200" t="s">
        <v>185</v>
      </c>
      <c r="K4" s="176" t="s">
        <v>185</v>
      </c>
      <c r="L4" s="176" t="s">
        <v>185</v>
      </c>
      <c r="M4" s="176"/>
      <c r="N4" s="165" t="s">
        <v>355</v>
      </c>
      <c r="O4" s="197" t="s">
        <v>187</v>
      </c>
      <c r="P4" s="166" t="s">
        <v>356</v>
      </c>
      <c r="Q4" s="166" t="s">
        <v>357</v>
      </c>
      <c r="R4" s="167" t="s">
        <v>358</v>
      </c>
      <c r="S4" s="166" t="s">
        <v>359</v>
      </c>
      <c r="T4" s="166" t="s">
        <v>360</v>
      </c>
      <c r="U4" s="158" t="s">
        <v>975</v>
      </c>
      <c r="V4" s="168" t="s">
        <v>890</v>
      </c>
      <c r="W4" s="158" t="s">
        <v>966</v>
      </c>
      <c r="X4" s="158" t="s">
        <v>185</v>
      </c>
      <c r="Y4" s="158"/>
      <c r="Z4" s="158" t="s">
        <v>185</v>
      </c>
      <c r="AA4" s="158" t="str">
        <f>IF(AWS_2[[#This Row],[Column14]]="-","", "v")</f>
        <v>v</v>
      </c>
      <c r="AB4" s="158" t="str">
        <f>IF(AWS_2[[#This Row],[Column8]]="x","1",(IF(OR(AWS_2[[#This Row],[Column25]]=2,AWS_2[[#This Row],[Column26]]=2,AWS_2[[#This Row],[Column27]]=2),"1",(IF(AWS_2[[#This Row],[Column9]]="x","2",(IF(AWS_2[[#This Row],[Column10]]="x","3","")))))))</f>
        <v>1</v>
      </c>
      <c r="AC4" s="454" t="str">
        <f>IF(AWS_2[[#This Row],[Column14]] = "-", AWS_2[[#This Row],[Column14]], LEFT(AWS_2[[#This Row],[Column14]], SEARCH(" ", AWS_2[[#This Row],[Column14]] &amp; " ") - 1))</f>
        <v>3.5</v>
      </c>
    </row>
    <row r="5" spans="1:31" ht="45">
      <c r="A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 s="137" t="str">
        <f>AWS_2[[#This Row],[Column30]]</f>
        <v>-</v>
      </c>
      <c r="C5" s="137">
        <v>1.2</v>
      </c>
      <c r="D5" s="138" t="s">
        <v>352</v>
      </c>
      <c r="E5" s="162" t="s">
        <v>157</v>
      </c>
      <c r="F5" s="138" t="s">
        <v>989</v>
      </c>
      <c r="G5" s="138" t="s">
        <v>362</v>
      </c>
      <c r="H5" s="163" t="s">
        <v>185</v>
      </c>
      <c r="I5" s="164" t="s">
        <v>185</v>
      </c>
      <c r="J5" s="200" t="s">
        <v>185</v>
      </c>
      <c r="K5" s="176" t="s">
        <v>185</v>
      </c>
      <c r="L5" s="176" t="s">
        <v>185</v>
      </c>
      <c r="M5" s="176"/>
      <c r="N5" s="165" t="s">
        <v>162</v>
      </c>
      <c r="O5" s="165" t="s">
        <v>162</v>
      </c>
      <c r="P5" s="165" t="s">
        <v>162</v>
      </c>
      <c r="Q5" s="165" t="s">
        <v>162</v>
      </c>
      <c r="R5" s="167"/>
      <c r="S5" s="165" t="s">
        <v>162</v>
      </c>
      <c r="T5" s="165" t="s">
        <v>162</v>
      </c>
      <c r="U5" s="158" t="s">
        <v>162</v>
      </c>
      <c r="V5" s="168"/>
      <c r="W5" s="158" t="s">
        <v>966</v>
      </c>
      <c r="X5" s="158" t="s">
        <v>185</v>
      </c>
      <c r="Y5" s="158"/>
      <c r="Z5" s="158" t="s">
        <v>185</v>
      </c>
      <c r="AA5" s="158" t="str">
        <f>IF(AWS_2[[#This Row],[Column14]]="-","", "v")</f>
        <v/>
      </c>
      <c r="AB5" s="158" t="str">
        <f>IF(AWS_2[[#This Row],[Column8]]="x","1",(IF(OR(AWS_2[[#This Row],[Column25]]=2,AWS_2[[#This Row],[Column26]]=2,AWS_2[[#This Row],[Column27]]=2),"1",(IF(AWS_2[[#This Row],[Column9]]="x","2",(IF(AWS_2[[#This Row],[Column10]]="x","3","")))))))</f>
        <v>1</v>
      </c>
      <c r="AC5" s="454" t="str">
        <f>IF(AWS_2[[#This Row],[Column14]] = "-", AWS_2[[#This Row],[Column14]], LEFT(AWS_2[[#This Row],[Column14]], SEARCH(" ", AWS_2[[#This Row],[Column14]] &amp; " ") - 1))</f>
        <v>-</v>
      </c>
      <c r="AE5" s="195"/>
    </row>
    <row r="6" spans="1:31" ht="30">
      <c r="A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 s="137" t="str">
        <f>AWS_2[[#This Row],[Column30]]</f>
        <v>-</v>
      </c>
      <c r="C6" s="137">
        <v>1.3</v>
      </c>
      <c r="D6" s="138" t="s">
        <v>352</v>
      </c>
      <c r="E6" s="162" t="s">
        <v>155</v>
      </c>
      <c r="F6" s="138" t="s">
        <v>990</v>
      </c>
      <c r="G6" s="138" t="s">
        <v>364</v>
      </c>
      <c r="H6" s="137"/>
      <c r="I6" s="164" t="s">
        <v>185</v>
      </c>
      <c r="J6" s="200" t="s">
        <v>185</v>
      </c>
      <c r="K6" s="176" t="s">
        <v>185</v>
      </c>
      <c r="L6" s="176" t="s">
        <v>185</v>
      </c>
      <c r="M6" s="176"/>
      <c r="N6" s="165" t="s">
        <v>162</v>
      </c>
      <c r="O6" s="165" t="s">
        <v>162</v>
      </c>
      <c r="P6" s="165" t="s">
        <v>162</v>
      </c>
      <c r="Q6" s="165" t="s">
        <v>162</v>
      </c>
      <c r="R6" s="167"/>
      <c r="S6" s="165" t="s">
        <v>162</v>
      </c>
      <c r="T6" s="165" t="s">
        <v>162</v>
      </c>
      <c r="U6" s="158" t="s">
        <v>162</v>
      </c>
      <c r="V6" s="168"/>
      <c r="W6" s="158" t="s">
        <v>966</v>
      </c>
      <c r="X6" s="158" t="s">
        <v>185</v>
      </c>
      <c r="Y6" s="158"/>
      <c r="Z6" s="158" t="s">
        <v>185</v>
      </c>
      <c r="AA6" s="158" t="str">
        <f>IF(AWS_2[[#This Row],[Column14]]="-","", "v")</f>
        <v/>
      </c>
      <c r="AB6" s="158" t="str">
        <f>IF(AWS_2[[#This Row],[Column8]]="x","1",(IF(OR(AWS_2[[#This Row],[Column25]]=2,AWS_2[[#This Row],[Column26]]=2,AWS_2[[#This Row],[Column27]]=2),"1",(IF(AWS_2[[#This Row],[Column9]]="x","2",(IF(AWS_2[[#This Row],[Column10]]="x","3","")))))))</f>
        <v>2</v>
      </c>
      <c r="AC6" s="454" t="str">
        <f>IF(AWS_2[[#This Row],[Column14]] = "-", AWS_2[[#This Row],[Column14]], LEFT(AWS_2[[#This Row],[Column14]], SEARCH(" ", AWS_2[[#This Row],[Column14]] &amp; " ") - 1))</f>
        <v>-</v>
      </c>
    </row>
    <row r="7" spans="1:31" ht="60">
      <c r="A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 s="137" t="str">
        <f>AWS_2[[#This Row],[Column30]]</f>
        <v>-</v>
      </c>
      <c r="C7" s="137">
        <v>1.4</v>
      </c>
      <c r="D7" s="138" t="s">
        <v>352</v>
      </c>
      <c r="E7" s="162" t="s">
        <v>154</v>
      </c>
      <c r="F7" s="138" t="s">
        <v>991</v>
      </c>
      <c r="G7" s="138" t="s">
        <v>366</v>
      </c>
      <c r="H7" s="137"/>
      <c r="I7" s="164" t="s">
        <v>185</v>
      </c>
      <c r="J7" s="200" t="s">
        <v>185</v>
      </c>
      <c r="K7" s="176" t="s">
        <v>185</v>
      </c>
      <c r="L7" s="176" t="s">
        <v>185</v>
      </c>
      <c r="M7" s="176"/>
      <c r="N7" s="165" t="s">
        <v>162</v>
      </c>
      <c r="O7" s="165" t="s">
        <v>162</v>
      </c>
      <c r="P7" s="165" t="s">
        <v>162</v>
      </c>
      <c r="Q7" s="165" t="s">
        <v>162</v>
      </c>
      <c r="R7" s="167"/>
      <c r="S7" s="165" t="s">
        <v>162</v>
      </c>
      <c r="T7" s="165" t="s">
        <v>162</v>
      </c>
      <c r="U7" s="158" t="s">
        <v>162</v>
      </c>
      <c r="V7" s="168"/>
      <c r="W7" s="158" t="s">
        <v>966</v>
      </c>
      <c r="X7" s="158" t="s">
        <v>185</v>
      </c>
      <c r="Y7" s="158"/>
      <c r="Z7" s="158" t="s">
        <v>185</v>
      </c>
      <c r="AA7" s="158" t="str">
        <f>IF(AWS_2[[#This Row],[Column14]]="-","", "v")</f>
        <v/>
      </c>
      <c r="AB7" s="158" t="str">
        <f>IF(AWS_2[[#This Row],[Column8]]="x","1",(IF(OR(AWS_2[[#This Row],[Column25]]=2,AWS_2[[#This Row],[Column26]]=2,AWS_2[[#This Row],[Column27]]=2),"1",(IF(AWS_2[[#This Row],[Column9]]="x","2",(IF(AWS_2[[#This Row],[Column10]]="x","3","")))))))</f>
        <v>2</v>
      </c>
      <c r="AC7" s="454" t="str">
        <f>IF(AWS_2[[#This Row],[Column14]] = "-", AWS_2[[#This Row],[Column14]], LEFT(AWS_2[[#This Row],[Column14]], SEARCH(" ", AWS_2[[#This Row],[Column14]] &amp; " ") - 1))</f>
        <v>-</v>
      </c>
    </row>
    <row r="8" spans="1:31" ht="45">
      <c r="A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 s="137" t="str">
        <f>AWS_2[[#This Row],[Column30]]</f>
        <v>-</v>
      </c>
      <c r="C8" s="137">
        <v>1.5</v>
      </c>
      <c r="D8" s="138" t="s">
        <v>352</v>
      </c>
      <c r="E8" s="162" t="s">
        <v>155</v>
      </c>
      <c r="F8" s="138" t="s">
        <v>992</v>
      </c>
      <c r="G8" s="138" t="s">
        <v>368</v>
      </c>
      <c r="H8" s="137"/>
      <c r="I8" s="137"/>
      <c r="J8" s="200" t="s">
        <v>185</v>
      </c>
      <c r="K8" s="176" t="s">
        <v>185</v>
      </c>
      <c r="L8" s="176" t="s">
        <v>185</v>
      </c>
      <c r="M8" s="176"/>
      <c r="N8" s="165" t="s">
        <v>162</v>
      </c>
      <c r="O8" s="165" t="s">
        <v>162</v>
      </c>
      <c r="P8" s="165" t="s">
        <v>162</v>
      </c>
      <c r="Q8" s="165" t="s">
        <v>162</v>
      </c>
      <c r="R8" s="167"/>
      <c r="S8" s="165" t="s">
        <v>162</v>
      </c>
      <c r="T8" s="165" t="s">
        <v>162</v>
      </c>
      <c r="U8" s="158" t="s">
        <v>162</v>
      </c>
      <c r="V8" s="168"/>
      <c r="W8" s="158" t="s">
        <v>966</v>
      </c>
      <c r="X8" s="158" t="s">
        <v>185</v>
      </c>
      <c r="Y8" s="158"/>
      <c r="Z8" s="158" t="s">
        <v>185</v>
      </c>
      <c r="AA8" s="158" t="str">
        <f>IF(AWS_2[[#This Row],[Column14]]="-","", "v")</f>
        <v/>
      </c>
      <c r="AB8" s="158" t="str">
        <f>IF(AWS_2[[#This Row],[Column8]]="x","1",(IF(OR(AWS_2[[#This Row],[Column25]]=2,AWS_2[[#This Row],[Column26]]=2,AWS_2[[#This Row],[Column27]]=2),"1",(IF(AWS_2[[#This Row],[Column9]]="x","2",(IF(AWS_2[[#This Row],[Column10]]="x","3","")))))))</f>
        <v>3</v>
      </c>
      <c r="AC8" s="454" t="str">
        <f>IF(AWS_2[[#This Row],[Column14]] = "-", AWS_2[[#This Row],[Column14]], LEFT(AWS_2[[#This Row],[Column14]], SEARCH(" ", AWS_2[[#This Row],[Column14]] &amp; " ") - 1))</f>
        <v>-</v>
      </c>
    </row>
    <row r="9" spans="1:31" ht="75">
      <c r="A9" s="178" t="s">
        <v>942</v>
      </c>
      <c r="B9" s="154" t="s">
        <v>162</v>
      </c>
      <c r="C9" s="154" t="s">
        <v>162</v>
      </c>
      <c r="D9" s="154" t="s">
        <v>162</v>
      </c>
      <c r="E9" s="154" t="s">
        <v>162</v>
      </c>
      <c r="F9" s="156" t="s">
        <v>994</v>
      </c>
      <c r="G9" s="157" t="s">
        <v>370</v>
      </c>
      <c r="H9" s="154"/>
      <c r="I9" s="154"/>
      <c r="J9" s="154"/>
      <c r="K9" s="154"/>
      <c r="L9" s="154"/>
      <c r="M9" s="154"/>
      <c r="N9" s="154" t="s">
        <v>162</v>
      </c>
      <c r="O9" s="154" t="s">
        <v>162</v>
      </c>
      <c r="P9" s="154" t="s">
        <v>162</v>
      </c>
      <c r="Q9" s="154" t="s">
        <v>162</v>
      </c>
      <c r="R9" s="154" t="s">
        <v>162</v>
      </c>
      <c r="S9" s="154" t="s">
        <v>162</v>
      </c>
      <c r="T9" s="154" t="s">
        <v>162</v>
      </c>
      <c r="U9" s="245" t="s">
        <v>162</v>
      </c>
      <c r="V9" s="245" t="s">
        <v>162</v>
      </c>
      <c r="W9" s="245" t="s">
        <v>162</v>
      </c>
      <c r="X9" s="245" t="s">
        <v>162</v>
      </c>
      <c r="Y9" s="245" t="s">
        <v>162</v>
      </c>
      <c r="Z9" s="245" t="s">
        <v>162</v>
      </c>
      <c r="AA9" s="154" t="s">
        <v>162</v>
      </c>
      <c r="AB9" s="154" t="s">
        <v>162</v>
      </c>
      <c r="AC9" s="454" t="str">
        <f>IF(AWS_2[[#This Row],[Column14]] = "-", AWS_2[[#This Row],[Column14]], LEFT(AWS_2[[#This Row],[Column14]], SEARCH(" ", AWS_2[[#This Row],[Column14]] &amp; " ") - 1))</f>
        <v>-</v>
      </c>
    </row>
    <row r="10" spans="1:31" ht="90">
      <c r="A1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 s="137" t="str">
        <f>AWS_2[[#This Row],[Column30]]</f>
        <v>-</v>
      </c>
      <c r="C10" s="137">
        <v>2.1</v>
      </c>
      <c r="D10" s="138" t="s">
        <v>371</v>
      </c>
      <c r="E10" s="162" t="s">
        <v>154</v>
      </c>
      <c r="F10" s="138" t="s">
        <v>995</v>
      </c>
      <c r="G10" s="138" t="s">
        <v>373</v>
      </c>
      <c r="H10" s="163" t="s">
        <v>185</v>
      </c>
      <c r="I10" s="164" t="s">
        <v>185</v>
      </c>
      <c r="J10" s="200" t="s">
        <v>185</v>
      </c>
      <c r="K10" s="176" t="s">
        <v>185</v>
      </c>
      <c r="L10" s="176" t="s">
        <v>185</v>
      </c>
      <c r="M10" s="176" t="s">
        <v>185</v>
      </c>
      <c r="N10" s="165" t="s">
        <v>162</v>
      </c>
      <c r="O10" s="165" t="s">
        <v>162</v>
      </c>
      <c r="P10" s="165" t="s">
        <v>162</v>
      </c>
      <c r="Q10" s="165" t="s">
        <v>162</v>
      </c>
      <c r="R10" s="167"/>
      <c r="S10" s="165" t="s">
        <v>162</v>
      </c>
      <c r="T10" s="165" t="s">
        <v>162</v>
      </c>
      <c r="U10" s="158" t="s">
        <v>162</v>
      </c>
      <c r="V10" s="168"/>
      <c r="W10" s="158" t="s">
        <v>966</v>
      </c>
      <c r="X10" s="158" t="s">
        <v>185</v>
      </c>
      <c r="Y10" s="158"/>
      <c r="Z10" s="158" t="s">
        <v>185</v>
      </c>
      <c r="AA10" s="158" t="str">
        <f>IF(AWS_2[[#This Row],[Column14]]="-","", "v")</f>
        <v/>
      </c>
      <c r="AB10" s="158" t="str">
        <f>IF(AWS_2[[#This Row],[Column8]]="x","1",(IF(OR(AWS_2[[#This Row],[Column25]]=2,AWS_2[[#This Row],[Column26]]=2,AWS_2[[#This Row],[Column27]]=2),"1",(IF(AWS_2[[#This Row],[Column9]]="x","2",(IF(AWS_2[[#This Row],[Column10]]="x","3","")))))))</f>
        <v>1</v>
      </c>
      <c r="AC10" s="454" t="str">
        <f>IF(AWS_2[[#This Row],[Column14]] = "-", AWS_2[[#This Row],[Column14]], LEFT(AWS_2[[#This Row],[Column14]], SEARCH(" ", AWS_2[[#This Row],[Column14]] &amp; " ") - 1))</f>
        <v>-</v>
      </c>
    </row>
    <row r="11" spans="1:31" ht="90">
      <c r="A1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 s="137" t="str">
        <f>AWS_2[[#This Row],[Column30]]</f>
        <v>-</v>
      </c>
      <c r="C11" s="137">
        <v>2.2000000000000002</v>
      </c>
      <c r="D11" s="138" t="s">
        <v>371</v>
      </c>
      <c r="E11" s="162" t="s">
        <v>154</v>
      </c>
      <c r="F11" s="138" t="s">
        <v>996</v>
      </c>
      <c r="G11" s="139" t="s">
        <v>375</v>
      </c>
      <c r="H11" s="163" t="s">
        <v>185</v>
      </c>
      <c r="I11" s="164" t="s">
        <v>185</v>
      </c>
      <c r="J11" s="200" t="s">
        <v>185</v>
      </c>
      <c r="K11" s="176" t="s">
        <v>185</v>
      </c>
      <c r="L11" s="176" t="s">
        <v>185</v>
      </c>
      <c r="M11" s="176" t="s">
        <v>185</v>
      </c>
      <c r="N11" s="165" t="s">
        <v>162</v>
      </c>
      <c r="O11" s="165" t="s">
        <v>162</v>
      </c>
      <c r="P11" s="165" t="s">
        <v>162</v>
      </c>
      <c r="Q11" s="165" t="s">
        <v>162</v>
      </c>
      <c r="R11" s="167"/>
      <c r="S11" s="165" t="s">
        <v>162</v>
      </c>
      <c r="T11" s="165" t="s">
        <v>162</v>
      </c>
      <c r="U11" s="158" t="s">
        <v>162</v>
      </c>
      <c r="V11" s="168"/>
      <c r="W11" s="158" t="s">
        <v>966</v>
      </c>
      <c r="X11" s="158" t="s">
        <v>185</v>
      </c>
      <c r="Y11" s="158"/>
      <c r="Z11" s="158" t="s">
        <v>185</v>
      </c>
      <c r="AA11" s="158" t="str">
        <f>IF(AWS_2[[#This Row],[Column14]]="-","", "v")</f>
        <v/>
      </c>
      <c r="AB11" s="158" t="str">
        <f>IF(AWS_2[[#This Row],[Column8]]="x","1",(IF(OR(AWS_2[[#This Row],[Column25]]=2,AWS_2[[#This Row],[Column26]]=2,AWS_2[[#This Row],[Column27]]=2),"1",(IF(AWS_2[[#This Row],[Column9]]="x","2",(IF(AWS_2[[#This Row],[Column10]]="x","3","")))))))</f>
        <v>1</v>
      </c>
      <c r="AC11" s="454" t="str">
        <f>IF(AWS_2[[#This Row],[Column14]] = "-", AWS_2[[#This Row],[Column14]], LEFT(AWS_2[[#This Row],[Column14]], SEARCH(" ", AWS_2[[#This Row],[Column14]] &amp; " ") - 1))</f>
        <v>-</v>
      </c>
    </row>
    <row r="12" spans="1:31" ht="30">
      <c r="A1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 s="137" t="str">
        <f>AWS_2[[#This Row],[Column30]]</f>
        <v>-</v>
      </c>
      <c r="C12" s="137">
        <v>2.2999999999999998</v>
      </c>
      <c r="D12" s="138" t="s">
        <v>371</v>
      </c>
      <c r="E12" s="162" t="s">
        <v>157</v>
      </c>
      <c r="F12" s="138" t="s">
        <v>997</v>
      </c>
      <c r="G12" s="138" t="s">
        <v>377</v>
      </c>
      <c r="H12" s="163" t="s">
        <v>185</v>
      </c>
      <c r="I12" s="164" t="s">
        <v>185</v>
      </c>
      <c r="J12" s="200" t="s">
        <v>185</v>
      </c>
      <c r="K12" s="176" t="s">
        <v>185</v>
      </c>
      <c r="L12" s="176" t="s">
        <v>185</v>
      </c>
      <c r="M12" s="176" t="s">
        <v>185</v>
      </c>
      <c r="N12" s="165" t="s">
        <v>162</v>
      </c>
      <c r="O12" s="165" t="s">
        <v>162</v>
      </c>
      <c r="P12" s="165" t="s">
        <v>162</v>
      </c>
      <c r="Q12" s="165" t="s">
        <v>162</v>
      </c>
      <c r="R12" s="167"/>
      <c r="S12" s="165" t="s">
        <v>162</v>
      </c>
      <c r="T12" s="165" t="s">
        <v>162</v>
      </c>
      <c r="U12" s="158" t="s">
        <v>162</v>
      </c>
      <c r="V12" s="168"/>
      <c r="W12" s="158" t="s">
        <v>966</v>
      </c>
      <c r="X12" s="158" t="s">
        <v>185</v>
      </c>
      <c r="Y12" s="158"/>
      <c r="Z12" s="158" t="s">
        <v>185</v>
      </c>
      <c r="AA12" s="158" t="str">
        <f>IF(AWS_2[[#This Row],[Column14]]="-","", "v")</f>
        <v/>
      </c>
      <c r="AB12" s="158" t="str">
        <f>IF(AWS_2[[#This Row],[Column8]]="x","1",(IF(OR(AWS_2[[#This Row],[Column25]]=2,AWS_2[[#This Row],[Column26]]=2,AWS_2[[#This Row],[Column27]]=2),"1",(IF(AWS_2[[#This Row],[Column9]]="x","2",(IF(AWS_2[[#This Row],[Column10]]="x","3","")))))))</f>
        <v>1</v>
      </c>
      <c r="AC12" s="454" t="str">
        <f>IF(AWS_2[[#This Row],[Column14]] = "-", AWS_2[[#This Row],[Column14]], LEFT(AWS_2[[#This Row],[Column14]], SEARCH(" ", AWS_2[[#This Row],[Column14]] &amp; " ") - 1))</f>
        <v>-</v>
      </c>
    </row>
    <row r="13" spans="1:31" ht="30">
      <c r="A1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 s="137" t="str">
        <f>AWS_2[[#This Row],[Column30]]</f>
        <v>-</v>
      </c>
      <c r="C13" s="137">
        <v>2.4</v>
      </c>
      <c r="D13" s="138" t="s">
        <v>371</v>
      </c>
      <c r="E13" s="162" t="s">
        <v>155</v>
      </c>
      <c r="F13" s="138" t="s">
        <v>998</v>
      </c>
      <c r="G13" s="138" t="s">
        <v>379</v>
      </c>
      <c r="H13" s="137"/>
      <c r="I13" s="164" t="s">
        <v>185</v>
      </c>
      <c r="J13" s="200" t="s">
        <v>185</v>
      </c>
      <c r="K13" s="176" t="s">
        <v>185</v>
      </c>
      <c r="L13" s="176" t="s">
        <v>185</v>
      </c>
      <c r="M13" s="176" t="s">
        <v>185</v>
      </c>
      <c r="N13" s="165" t="s">
        <v>162</v>
      </c>
      <c r="O13" s="165" t="s">
        <v>162</v>
      </c>
      <c r="P13" s="165" t="s">
        <v>162</v>
      </c>
      <c r="Q13" s="165" t="s">
        <v>162</v>
      </c>
      <c r="R13" s="167"/>
      <c r="S13" s="165" t="s">
        <v>162</v>
      </c>
      <c r="T13" s="165" t="s">
        <v>162</v>
      </c>
      <c r="U13" s="158" t="s">
        <v>162</v>
      </c>
      <c r="V13" s="168"/>
      <c r="W13" s="158" t="s">
        <v>966</v>
      </c>
      <c r="X13" s="158" t="s">
        <v>185</v>
      </c>
      <c r="Y13" s="158"/>
      <c r="Z13" s="158" t="s">
        <v>185</v>
      </c>
      <c r="AA13" s="158" t="str">
        <f>IF(AWS_2[[#This Row],[Column14]]="-","", "v")</f>
        <v/>
      </c>
      <c r="AB13" s="158" t="str">
        <f>IF(AWS_2[[#This Row],[Column8]]="x","1",(IF(OR(AWS_2[[#This Row],[Column25]]=2,AWS_2[[#This Row],[Column26]]=2,AWS_2[[#This Row],[Column27]]=2),"1",(IF(AWS_2[[#This Row],[Column9]]="x","2",(IF(AWS_2[[#This Row],[Column10]]="x","3","")))))))</f>
        <v>2</v>
      </c>
      <c r="AC13" s="454" t="str">
        <f>IF(AWS_2[[#This Row],[Column14]] = "-", AWS_2[[#This Row],[Column14]], LEFT(AWS_2[[#This Row],[Column14]], SEARCH(" ", AWS_2[[#This Row],[Column14]] &amp; " ") - 1))</f>
        <v>-</v>
      </c>
    </row>
    <row r="14" spans="1:31" ht="45">
      <c r="A1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 s="137" t="str">
        <f>AWS_2[[#This Row],[Column30]]</f>
        <v>-</v>
      </c>
      <c r="C14" s="137">
        <v>2.5</v>
      </c>
      <c r="D14" s="138" t="s">
        <v>371</v>
      </c>
      <c r="E14" s="162" t="s">
        <v>156</v>
      </c>
      <c r="F14" s="138" t="s">
        <v>999</v>
      </c>
      <c r="G14" s="138" t="s">
        <v>381</v>
      </c>
      <c r="H14" s="137"/>
      <c r="I14" s="164" t="s">
        <v>185</v>
      </c>
      <c r="J14" s="200" t="s">
        <v>185</v>
      </c>
      <c r="K14" s="176" t="s">
        <v>185</v>
      </c>
      <c r="L14" s="176" t="s">
        <v>185</v>
      </c>
      <c r="M14" s="176"/>
      <c r="N14" s="165" t="s">
        <v>162</v>
      </c>
      <c r="O14" s="165" t="s">
        <v>162</v>
      </c>
      <c r="P14" s="165" t="s">
        <v>162</v>
      </c>
      <c r="Q14" s="165" t="s">
        <v>162</v>
      </c>
      <c r="R14" s="167"/>
      <c r="S14" s="165" t="s">
        <v>162</v>
      </c>
      <c r="T14" s="165" t="s">
        <v>162</v>
      </c>
      <c r="U14" s="158" t="s">
        <v>162</v>
      </c>
      <c r="V14" s="168"/>
      <c r="W14" s="158" t="s">
        <v>966</v>
      </c>
      <c r="X14" s="158" t="s">
        <v>185</v>
      </c>
      <c r="Y14" s="158"/>
      <c r="Z14" s="158" t="s">
        <v>185</v>
      </c>
      <c r="AA14" s="158" t="str">
        <f>IF(AWS_2[[#This Row],[Column14]]="-","", "v")</f>
        <v/>
      </c>
      <c r="AB14" s="158" t="str">
        <f>IF(AWS_2[[#This Row],[Column8]]="x","1",(IF(OR(AWS_2[[#This Row],[Column25]]=2,AWS_2[[#This Row],[Column26]]=2,AWS_2[[#This Row],[Column27]]=2),"1",(IF(AWS_2[[#This Row],[Column9]]="x","2",(IF(AWS_2[[#This Row],[Column10]]="x","3","")))))))</f>
        <v>2</v>
      </c>
      <c r="AC14" s="454" t="str">
        <f>IF(AWS_2[[#This Row],[Column14]] = "-", AWS_2[[#This Row],[Column14]], LEFT(AWS_2[[#This Row],[Column14]], SEARCH(" ", AWS_2[[#This Row],[Column14]] &amp; " ") - 1))</f>
        <v>-</v>
      </c>
    </row>
    <row r="15" spans="1:31" ht="60">
      <c r="A1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 s="137" t="str">
        <f>AWS_2[[#This Row],[Column30]]</f>
        <v>-</v>
      </c>
      <c r="C15" s="137">
        <v>2.6</v>
      </c>
      <c r="D15" s="138" t="s">
        <v>371</v>
      </c>
      <c r="E15" s="162" t="s">
        <v>156</v>
      </c>
      <c r="F15" s="138" t="s">
        <v>1000</v>
      </c>
      <c r="G15" s="139" t="s">
        <v>383</v>
      </c>
      <c r="H15" s="137"/>
      <c r="I15" s="164" t="s">
        <v>185</v>
      </c>
      <c r="J15" s="200" t="s">
        <v>185</v>
      </c>
      <c r="K15" s="176" t="s">
        <v>185</v>
      </c>
      <c r="L15" s="176" t="s">
        <v>185</v>
      </c>
      <c r="M15" s="176"/>
      <c r="N15" s="165" t="s">
        <v>162</v>
      </c>
      <c r="O15" s="165" t="s">
        <v>162</v>
      </c>
      <c r="P15" s="165" t="s">
        <v>162</v>
      </c>
      <c r="Q15" s="165" t="s">
        <v>162</v>
      </c>
      <c r="R15" s="167"/>
      <c r="S15" s="165" t="s">
        <v>162</v>
      </c>
      <c r="T15" s="165" t="s">
        <v>162</v>
      </c>
      <c r="U15" s="158" t="s">
        <v>162</v>
      </c>
      <c r="V15" s="168"/>
      <c r="W15" s="158" t="s">
        <v>967</v>
      </c>
      <c r="X15" s="158" t="s">
        <v>185</v>
      </c>
      <c r="Y15" s="158"/>
      <c r="Z15" s="158" t="s">
        <v>185</v>
      </c>
      <c r="AA15" s="158" t="str">
        <f>IF(AWS_2[[#This Row],[Column14]]="-","", "v")</f>
        <v/>
      </c>
      <c r="AB15" s="158" t="str">
        <f>IF(AWS_2[[#This Row],[Column8]]="x","1",(IF(OR(AWS_2[[#This Row],[Column25]]=2,AWS_2[[#This Row],[Column26]]=2,AWS_2[[#This Row],[Column27]]=2),"1",(IF(AWS_2[[#This Row],[Column9]]="x","2",(IF(AWS_2[[#This Row],[Column10]]="x","3","")))))))</f>
        <v>2</v>
      </c>
      <c r="AC15" s="454" t="str">
        <f>IF(AWS_2[[#This Row],[Column14]] = "-", AWS_2[[#This Row],[Column14]], LEFT(AWS_2[[#This Row],[Column14]], SEARCH(" ", AWS_2[[#This Row],[Column14]] &amp; " ") - 1))</f>
        <v>-</v>
      </c>
    </row>
    <row r="16" spans="1:31" ht="60">
      <c r="A1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 s="137" t="str">
        <f>AWS_2[[#This Row],[Column30]]</f>
        <v>-</v>
      </c>
      <c r="C16" s="137">
        <v>2.7</v>
      </c>
      <c r="D16" s="138" t="s">
        <v>371</v>
      </c>
      <c r="E16" s="162" t="s">
        <v>156</v>
      </c>
      <c r="F16" s="138" t="s">
        <v>1001</v>
      </c>
      <c r="G16" s="139" t="s">
        <v>385</v>
      </c>
      <c r="H16" s="137"/>
      <c r="I16" s="204"/>
      <c r="J16" s="200" t="s">
        <v>185</v>
      </c>
      <c r="K16" s="176" t="s">
        <v>185</v>
      </c>
      <c r="L16" s="176" t="s">
        <v>185</v>
      </c>
      <c r="M16" s="176"/>
      <c r="N16" s="165" t="s">
        <v>162</v>
      </c>
      <c r="O16" s="165" t="s">
        <v>162</v>
      </c>
      <c r="P16" s="165" t="s">
        <v>162</v>
      </c>
      <c r="Q16" s="165" t="s">
        <v>162</v>
      </c>
      <c r="R16" s="167"/>
      <c r="S16" s="165" t="s">
        <v>162</v>
      </c>
      <c r="T16" s="165" t="s">
        <v>162</v>
      </c>
      <c r="U16" s="158" t="s">
        <v>162</v>
      </c>
      <c r="V16" s="168"/>
      <c r="W16" s="158" t="s">
        <v>966</v>
      </c>
      <c r="X16" s="158" t="s">
        <v>185</v>
      </c>
      <c r="Y16" s="158"/>
      <c r="Z16" s="158" t="s">
        <v>185</v>
      </c>
      <c r="AA16" s="158" t="str">
        <f>IF(AWS_2[[#This Row],[Column14]]="-","", "v")</f>
        <v/>
      </c>
      <c r="AB16" s="158" t="str">
        <f>IF(AWS_2[[#This Row],[Column8]]="x","1",(IF(OR(AWS_2[[#This Row],[Column25]]=2,AWS_2[[#This Row],[Column26]]=2,AWS_2[[#This Row],[Column27]]=2),"1",(IF(AWS_2[[#This Row],[Column9]]="x","2",(IF(AWS_2[[#This Row],[Column10]]="x","3","")))))))</f>
        <v>3</v>
      </c>
      <c r="AC16" s="454" t="str">
        <f>IF(AWS_2[[#This Row],[Column14]] = "-", AWS_2[[#This Row],[Column14]], LEFT(AWS_2[[#This Row],[Column14]], SEARCH(" ", AWS_2[[#This Row],[Column14]] &amp; " ") - 1))</f>
        <v>-</v>
      </c>
    </row>
    <row r="17" spans="1:29" ht="30">
      <c r="A17" s="178" t="s">
        <v>942</v>
      </c>
      <c r="B17" s="154" t="s">
        <v>162</v>
      </c>
      <c r="C17" s="154" t="s">
        <v>162</v>
      </c>
      <c r="D17" s="154" t="s">
        <v>162</v>
      </c>
      <c r="E17" s="154" t="s">
        <v>162</v>
      </c>
      <c r="F17" s="488" t="s">
        <v>2092</v>
      </c>
      <c r="G17" s="157" t="s">
        <v>387</v>
      </c>
      <c r="H17" s="154"/>
      <c r="I17" s="154"/>
      <c r="J17" s="154"/>
      <c r="K17" s="154"/>
      <c r="L17" s="154"/>
      <c r="M17" s="154"/>
      <c r="N17" s="154" t="s">
        <v>162</v>
      </c>
      <c r="O17" s="154" t="s">
        <v>162</v>
      </c>
      <c r="P17" s="154" t="s">
        <v>162</v>
      </c>
      <c r="Q17" s="154" t="s">
        <v>162</v>
      </c>
      <c r="R17" s="154" t="s">
        <v>162</v>
      </c>
      <c r="S17" s="154" t="s">
        <v>162</v>
      </c>
      <c r="T17" s="154" t="s">
        <v>162</v>
      </c>
      <c r="U17" s="245" t="s">
        <v>162</v>
      </c>
      <c r="V17" s="245" t="s">
        <v>162</v>
      </c>
      <c r="W17" s="245" t="s">
        <v>162</v>
      </c>
      <c r="X17" s="245" t="s">
        <v>162</v>
      </c>
      <c r="Y17" s="245" t="s">
        <v>162</v>
      </c>
      <c r="Z17" s="245" t="s">
        <v>162</v>
      </c>
      <c r="AA17" s="154" t="s">
        <v>162</v>
      </c>
      <c r="AB17" s="154" t="s">
        <v>162</v>
      </c>
      <c r="AC17" s="454" t="str">
        <f>IF(AWS_2[[#This Row],[Column14]] = "-", AWS_2[[#This Row],[Column14]], LEFT(AWS_2[[#This Row],[Column14]], SEARCH(" ", AWS_2[[#This Row],[Column14]] &amp; " ") - 1))</f>
        <v>-</v>
      </c>
    </row>
    <row r="18" spans="1:29" ht="409.5">
      <c r="A1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 s="137" t="str">
        <f>AWS_2[[#This Row],[Column30]]</f>
        <v>2.1.3</v>
      </c>
      <c r="C18" s="137">
        <v>3.1</v>
      </c>
      <c r="D18" s="138" t="s">
        <v>182</v>
      </c>
      <c r="E18" s="162" t="s">
        <v>154</v>
      </c>
      <c r="F18" s="489" t="s">
        <v>2093</v>
      </c>
      <c r="G18" s="138" t="s">
        <v>184</v>
      </c>
      <c r="H18" s="163" t="s">
        <v>185</v>
      </c>
      <c r="I18" s="164" t="s">
        <v>185</v>
      </c>
      <c r="J18" s="200" t="s">
        <v>185</v>
      </c>
      <c r="K18" s="176" t="s">
        <v>185</v>
      </c>
      <c r="L18" s="176" t="s">
        <v>185</v>
      </c>
      <c r="M18" s="176" t="s">
        <v>185</v>
      </c>
      <c r="N18" s="165" t="s">
        <v>186</v>
      </c>
      <c r="O18" s="197" t="s">
        <v>187</v>
      </c>
      <c r="P18" s="166" t="s">
        <v>188</v>
      </c>
      <c r="Q18" s="166" t="s">
        <v>189</v>
      </c>
      <c r="R18" s="167" t="s">
        <v>190</v>
      </c>
      <c r="S18" s="166" t="s">
        <v>191</v>
      </c>
      <c r="T18" s="166" t="s">
        <v>192</v>
      </c>
      <c r="U18" s="158" t="s">
        <v>975</v>
      </c>
      <c r="V18" s="168" t="s">
        <v>892</v>
      </c>
      <c r="W18" s="158" t="s">
        <v>967</v>
      </c>
      <c r="X18" s="158" t="s">
        <v>185</v>
      </c>
      <c r="Y18" s="158" t="s">
        <v>185</v>
      </c>
      <c r="Z18" s="158"/>
      <c r="AA18" s="158" t="str">
        <f>IF(AWS_2[[#This Row],[Column14]]="-","", "v")</f>
        <v>v</v>
      </c>
      <c r="AB18" s="158" t="str">
        <f>IF(AWS_2[[#This Row],[Column8]]="x","1",(IF(OR(AWS_2[[#This Row],[Column25]]=2,AWS_2[[#This Row],[Column26]]=2,AWS_2[[#This Row],[Column27]]=2),"1",(IF(AWS_2[[#This Row],[Column9]]="x","2",(IF(AWS_2[[#This Row],[Column10]]="x","3","")))))))</f>
        <v>1</v>
      </c>
      <c r="AC18" s="454" t="str">
        <f>IF(AWS_2[[#This Row],[Column14]] = "-", AWS_2[[#This Row],[Column14]], LEFT(AWS_2[[#This Row],[Column14]], SEARCH(" ", AWS_2[[#This Row],[Column14]] &amp; " ") - 1))</f>
        <v>2.1.3</v>
      </c>
    </row>
    <row r="19" spans="1:29" ht="45">
      <c r="A1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 s="137" t="str">
        <f>AWS_2[[#This Row],[Column30]]</f>
        <v>-</v>
      </c>
      <c r="C19" s="137">
        <v>3.2</v>
      </c>
      <c r="D19" s="138" t="s">
        <v>182</v>
      </c>
      <c r="E19" s="162" t="s">
        <v>154</v>
      </c>
      <c r="F19" s="489" t="s">
        <v>2094</v>
      </c>
      <c r="G19" s="138" t="s">
        <v>194</v>
      </c>
      <c r="H19" s="163" t="s">
        <v>185</v>
      </c>
      <c r="I19" s="164" t="s">
        <v>185</v>
      </c>
      <c r="J19" s="200" t="s">
        <v>185</v>
      </c>
      <c r="K19" s="176" t="s">
        <v>185</v>
      </c>
      <c r="L19" s="176" t="s">
        <v>185</v>
      </c>
      <c r="M19" s="176" t="s">
        <v>185</v>
      </c>
      <c r="N19" s="165" t="s">
        <v>162</v>
      </c>
      <c r="O19" s="165" t="s">
        <v>162</v>
      </c>
      <c r="P19" s="165" t="s">
        <v>162</v>
      </c>
      <c r="Q19" s="165" t="s">
        <v>162</v>
      </c>
      <c r="R19" s="167"/>
      <c r="S19" s="165" t="s">
        <v>162</v>
      </c>
      <c r="T19" s="165" t="s">
        <v>162</v>
      </c>
      <c r="U19" s="158" t="s">
        <v>162</v>
      </c>
      <c r="V19" s="168"/>
      <c r="W19" s="158" t="s">
        <v>966</v>
      </c>
      <c r="X19" s="158" t="s">
        <v>185</v>
      </c>
      <c r="Y19" s="158" t="s">
        <v>185</v>
      </c>
      <c r="Z19" s="158"/>
      <c r="AA19" s="158" t="str">
        <f>IF(AWS_2[[#This Row],[Column14]]="-","", "v")</f>
        <v/>
      </c>
      <c r="AB19" s="158" t="str">
        <f>IF(AWS_2[[#This Row],[Column8]]="x","1",(IF(OR(AWS_2[[#This Row],[Column25]]=2,AWS_2[[#This Row],[Column26]]=2,AWS_2[[#This Row],[Column27]]=2),"1",(IF(AWS_2[[#This Row],[Column9]]="x","2",(IF(AWS_2[[#This Row],[Column10]]="x","3","")))))))</f>
        <v>1</v>
      </c>
      <c r="AC19" s="454" t="str">
        <f>IF(AWS_2[[#This Row],[Column14]] = "-", AWS_2[[#This Row],[Column14]], LEFT(AWS_2[[#This Row],[Column14]], SEARCH(" ", AWS_2[[#This Row],[Column14]] &amp; " ") - 1))</f>
        <v>-</v>
      </c>
    </row>
    <row r="20" spans="1:29" ht="299.25">
      <c r="A2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0" s="137" t="str">
        <f>AWS_2[[#This Row],[Column30]]</f>
        <v>1.4</v>
      </c>
      <c r="C20" s="137">
        <v>3.3</v>
      </c>
      <c r="D20" s="138" t="s">
        <v>182</v>
      </c>
      <c r="E20" s="162" t="s">
        <v>156</v>
      </c>
      <c r="F20" s="489" t="s">
        <v>2095</v>
      </c>
      <c r="G20" s="138" t="s">
        <v>196</v>
      </c>
      <c r="H20" s="163" t="s">
        <v>185</v>
      </c>
      <c r="I20" s="164" t="s">
        <v>185</v>
      </c>
      <c r="J20" s="200" t="s">
        <v>185</v>
      </c>
      <c r="K20" s="176" t="s">
        <v>185</v>
      </c>
      <c r="L20" s="176" t="s">
        <v>185</v>
      </c>
      <c r="M20" s="176" t="s">
        <v>185</v>
      </c>
      <c r="N20" s="165" t="s">
        <v>197</v>
      </c>
      <c r="O20" s="197" t="s">
        <v>198</v>
      </c>
      <c r="P20" s="166" t="s">
        <v>199</v>
      </c>
      <c r="Q20" s="166" t="s">
        <v>200</v>
      </c>
      <c r="R20" s="167" t="s">
        <v>201</v>
      </c>
      <c r="S20" s="166" t="s">
        <v>202</v>
      </c>
      <c r="T20" s="166" t="s">
        <v>203</v>
      </c>
      <c r="U20" s="158" t="s">
        <v>975</v>
      </c>
      <c r="V20" s="168" t="s">
        <v>893</v>
      </c>
      <c r="W20" s="158" t="s">
        <v>966</v>
      </c>
      <c r="X20" s="158" t="s">
        <v>185</v>
      </c>
      <c r="Y20" s="158" t="s">
        <v>185</v>
      </c>
      <c r="Z20" s="158"/>
      <c r="AA20" s="158" t="str">
        <f>IF(AWS_2[[#This Row],[Column14]]="-","", "v")</f>
        <v>v</v>
      </c>
      <c r="AB20" s="158" t="str">
        <f>IF(AWS_2[[#This Row],[Column8]]="x","1",(IF(OR(AWS_2[[#This Row],[Column25]]=2,AWS_2[[#This Row],[Column26]]=2,AWS_2[[#This Row],[Column27]]=2),"1",(IF(AWS_2[[#This Row],[Column9]]="x","2",(IF(AWS_2[[#This Row],[Column10]]="x","3","")))))))</f>
        <v>1</v>
      </c>
      <c r="AC20" s="454" t="str">
        <f>IF(AWS_2[[#This Row],[Column14]] = "-", AWS_2[[#This Row],[Column14]], LEFT(AWS_2[[#This Row],[Column14]], SEARCH(" ", AWS_2[[#This Row],[Column14]] &amp; " ") - 1))</f>
        <v>1.4</v>
      </c>
    </row>
    <row r="21" spans="1:29" ht="409.5">
      <c r="A2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 s="137" t="str">
        <f>AWS_2[[#This Row],[Column30]]</f>
        <v>1.11</v>
      </c>
      <c r="C21" s="137">
        <v>3.3</v>
      </c>
      <c r="D21" s="138" t="s">
        <v>182</v>
      </c>
      <c r="E21" s="162" t="s">
        <v>156</v>
      </c>
      <c r="F21" s="489" t="s">
        <v>2095</v>
      </c>
      <c r="G21" s="138" t="s">
        <v>196</v>
      </c>
      <c r="H21" s="163" t="s">
        <v>185</v>
      </c>
      <c r="I21" s="164" t="s">
        <v>185</v>
      </c>
      <c r="J21" s="200" t="s">
        <v>185</v>
      </c>
      <c r="K21" s="176" t="s">
        <v>185</v>
      </c>
      <c r="L21" s="176" t="s">
        <v>185</v>
      </c>
      <c r="M21" s="176" t="s">
        <v>185</v>
      </c>
      <c r="N21" s="165" t="s">
        <v>204</v>
      </c>
      <c r="O21" s="197" t="s">
        <v>198</v>
      </c>
      <c r="P21" s="166" t="s">
        <v>205</v>
      </c>
      <c r="Q21" s="166" t="s">
        <v>206</v>
      </c>
      <c r="R21" s="167" t="s">
        <v>207</v>
      </c>
      <c r="S21" s="166" t="s">
        <v>208</v>
      </c>
      <c r="T21" s="166" t="s">
        <v>209</v>
      </c>
      <c r="U21" s="158" t="s">
        <v>975</v>
      </c>
      <c r="V21" s="168" t="s">
        <v>894</v>
      </c>
      <c r="W21" s="158" t="s">
        <v>967</v>
      </c>
      <c r="X21" s="158" t="s">
        <v>185</v>
      </c>
      <c r="Y21" s="158" t="s">
        <v>185</v>
      </c>
      <c r="Z21" s="158"/>
      <c r="AA21" s="158" t="str">
        <f>IF(AWS_2[[#This Row],[Column14]]="-","", "v")</f>
        <v>v</v>
      </c>
      <c r="AB21" s="158" t="str">
        <f>IF(AWS_2[[#This Row],[Column8]]="x","1",(IF(OR(AWS_2[[#This Row],[Column25]]=2,AWS_2[[#This Row],[Column26]]=2,AWS_2[[#This Row],[Column27]]=2),"1",(IF(AWS_2[[#This Row],[Column9]]="x","2",(IF(AWS_2[[#This Row],[Column10]]="x","3","")))))))</f>
        <v>1</v>
      </c>
      <c r="AC21" s="454" t="str">
        <f>IF(AWS_2[[#This Row],[Column14]] = "-", AWS_2[[#This Row],[Column14]], LEFT(AWS_2[[#This Row],[Column14]], SEARCH(" ", AWS_2[[#This Row],[Column14]] &amp; " ") - 1))</f>
        <v>1.11</v>
      </c>
    </row>
    <row r="22" spans="1:29" ht="409.5">
      <c r="A2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2" s="137" t="str">
        <f>AWS_2[[#This Row],[Column30]]</f>
        <v>1.16</v>
      </c>
      <c r="C22" s="137">
        <v>3.3</v>
      </c>
      <c r="D22" s="138" t="s">
        <v>182</v>
      </c>
      <c r="E22" s="162" t="s">
        <v>156</v>
      </c>
      <c r="F22" s="489" t="s">
        <v>2095</v>
      </c>
      <c r="G22" s="138" t="s">
        <v>196</v>
      </c>
      <c r="H22" s="163" t="s">
        <v>185</v>
      </c>
      <c r="I22" s="164" t="s">
        <v>185</v>
      </c>
      <c r="J22" s="200" t="s">
        <v>185</v>
      </c>
      <c r="K22" s="176" t="s">
        <v>185</v>
      </c>
      <c r="L22" s="176" t="s">
        <v>185</v>
      </c>
      <c r="M22" s="176" t="s">
        <v>185</v>
      </c>
      <c r="N22" s="165" t="s">
        <v>210</v>
      </c>
      <c r="O22" s="197" t="s">
        <v>198</v>
      </c>
      <c r="P22" s="166" t="s">
        <v>211</v>
      </c>
      <c r="Q22" s="166" t="s">
        <v>212</v>
      </c>
      <c r="R22" s="167" t="s">
        <v>213</v>
      </c>
      <c r="S22" s="166" t="s">
        <v>214</v>
      </c>
      <c r="T22" s="166" t="s">
        <v>215</v>
      </c>
      <c r="U22" s="158" t="s">
        <v>162</v>
      </c>
      <c r="V22" s="168" t="s">
        <v>895</v>
      </c>
      <c r="W22" s="158" t="s">
        <v>967</v>
      </c>
      <c r="X22" s="158" t="s">
        <v>185</v>
      </c>
      <c r="Y22" s="158" t="s">
        <v>185</v>
      </c>
      <c r="Z22" s="158"/>
      <c r="AA22" s="158" t="str">
        <f>IF(AWS_2[[#This Row],[Column14]]="-","", "v")</f>
        <v>v</v>
      </c>
      <c r="AB22" s="158" t="str">
        <f>IF(AWS_2[[#This Row],[Column8]]="x","1",(IF(OR(AWS_2[[#This Row],[Column25]]=2,AWS_2[[#This Row],[Column26]]=2,AWS_2[[#This Row],[Column27]]=2),"1",(IF(AWS_2[[#This Row],[Column9]]="x","2",(IF(AWS_2[[#This Row],[Column10]]="x","3","")))))))</f>
        <v>1</v>
      </c>
      <c r="AC22" s="454" t="str">
        <f>IF(AWS_2[[#This Row],[Column14]] = "-", AWS_2[[#This Row],[Column14]], LEFT(AWS_2[[#This Row],[Column14]], SEARCH(" ", AWS_2[[#This Row],[Column14]] &amp; " ") - 1))</f>
        <v>1.16</v>
      </c>
    </row>
    <row r="23" spans="1:29" ht="409.5">
      <c r="A2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3" s="137" t="str">
        <f>AWS_2[[#This Row],[Column30]]</f>
        <v>1.20</v>
      </c>
      <c r="C23" s="137">
        <v>3.3</v>
      </c>
      <c r="D23" s="138" t="s">
        <v>182</v>
      </c>
      <c r="E23" s="162" t="s">
        <v>156</v>
      </c>
      <c r="F23" s="489" t="s">
        <v>2095</v>
      </c>
      <c r="G23" s="138" t="s">
        <v>196</v>
      </c>
      <c r="H23" s="163" t="s">
        <v>185</v>
      </c>
      <c r="I23" s="164" t="s">
        <v>185</v>
      </c>
      <c r="J23" s="200" t="s">
        <v>185</v>
      </c>
      <c r="K23" s="176" t="s">
        <v>185</v>
      </c>
      <c r="L23" s="176" t="s">
        <v>185</v>
      </c>
      <c r="M23" s="176" t="s">
        <v>185</v>
      </c>
      <c r="N23" s="165" t="s">
        <v>216</v>
      </c>
      <c r="O23" s="197" t="s">
        <v>198</v>
      </c>
      <c r="P23" s="166" t="s">
        <v>217</v>
      </c>
      <c r="Q23" s="166" t="s">
        <v>218</v>
      </c>
      <c r="R23" s="167" t="s">
        <v>219</v>
      </c>
      <c r="S23" s="166" t="s">
        <v>220</v>
      </c>
      <c r="T23" s="166" t="s">
        <v>221</v>
      </c>
      <c r="U23" s="158" t="s">
        <v>162</v>
      </c>
      <c r="V23" s="168" t="s">
        <v>896</v>
      </c>
      <c r="W23" s="158" t="s">
        <v>966</v>
      </c>
      <c r="X23" s="158" t="s">
        <v>185</v>
      </c>
      <c r="Y23" s="158" t="s">
        <v>185</v>
      </c>
      <c r="Z23" s="158"/>
      <c r="AA23" s="158" t="str">
        <f>IF(AWS_2[[#This Row],[Column14]]="-","", "v")</f>
        <v>v</v>
      </c>
      <c r="AB23" s="158" t="str">
        <f>IF(AWS_2[[#This Row],[Column8]]="x","1",(IF(OR(AWS_2[[#This Row],[Column25]]=2,AWS_2[[#This Row],[Column26]]=2,AWS_2[[#This Row],[Column27]]=2),"1",(IF(AWS_2[[#This Row],[Column9]]="x","2",(IF(AWS_2[[#This Row],[Column10]]="x","3","")))))))</f>
        <v>1</v>
      </c>
      <c r="AC23" s="454" t="str">
        <f>IF(AWS_2[[#This Row],[Column14]] = "-", AWS_2[[#This Row],[Column14]], LEFT(AWS_2[[#This Row],[Column14]], SEARCH(" ", AWS_2[[#This Row],[Column14]] &amp; " ") - 1))</f>
        <v>1.20</v>
      </c>
    </row>
    <row r="24" spans="1:29" ht="299.25">
      <c r="A2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4" s="137" t="str">
        <f>AWS_2[[#This Row],[Column30]]</f>
        <v>2.1.2</v>
      </c>
      <c r="C24" s="137">
        <v>3.3</v>
      </c>
      <c r="D24" s="138" t="s">
        <v>182</v>
      </c>
      <c r="E24" s="162" t="s">
        <v>156</v>
      </c>
      <c r="F24" s="489" t="s">
        <v>2095</v>
      </c>
      <c r="G24" s="138" t="s">
        <v>196</v>
      </c>
      <c r="H24" s="163" t="s">
        <v>185</v>
      </c>
      <c r="I24" s="164" t="s">
        <v>185</v>
      </c>
      <c r="J24" s="200" t="s">
        <v>185</v>
      </c>
      <c r="K24" s="176" t="s">
        <v>185</v>
      </c>
      <c r="L24" s="176" t="s">
        <v>185</v>
      </c>
      <c r="M24" s="176" t="s">
        <v>185</v>
      </c>
      <c r="N24" s="165" t="s">
        <v>222</v>
      </c>
      <c r="O24" s="197" t="s">
        <v>187</v>
      </c>
      <c r="P24" s="166" t="s">
        <v>223</v>
      </c>
      <c r="Q24" s="166" t="s">
        <v>224</v>
      </c>
      <c r="R24" s="167" t="s">
        <v>225</v>
      </c>
      <c r="S24" s="166" t="s">
        <v>226</v>
      </c>
      <c r="T24" s="166" t="s">
        <v>227</v>
      </c>
      <c r="U24" s="158" t="s">
        <v>162</v>
      </c>
      <c r="V24" s="168" t="s">
        <v>897</v>
      </c>
      <c r="W24" s="158" t="s">
        <v>967</v>
      </c>
      <c r="X24" s="158" t="s">
        <v>185</v>
      </c>
      <c r="Y24" s="158" t="s">
        <v>185</v>
      </c>
      <c r="Z24" s="158"/>
      <c r="AA24" s="158" t="str">
        <f>IF(AWS_2[[#This Row],[Column14]]="-","", "v")</f>
        <v>v</v>
      </c>
      <c r="AB24" s="158" t="str">
        <f>IF(AWS_2[[#This Row],[Column8]]="x","1",(IF(OR(AWS_2[[#This Row],[Column25]]=2,AWS_2[[#This Row],[Column26]]=2,AWS_2[[#This Row],[Column27]]=2),"1",(IF(AWS_2[[#This Row],[Column9]]="x","2",(IF(AWS_2[[#This Row],[Column10]]="x","3","")))))))</f>
        <v>1</v>
      </c>
      <c r="AC24" s="454" t="str">
        <f>IF(AWS_2[[#This Row],[Column14]] = "-", AWS_2[[#This Row],[Column14]], LEFT(AWS_2[[#This Row],[Column14]], SEARCH(" ", AWS_2[[#This Row],[Column14]] &amp; " ") - 1))</f>
        <v>2.1.2</v>
      </c>
    </row>
    <row r="25" spans="1:29" ht="409.5">
      <c r="A2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5" s="137" t="str">
        <f>AWS_2[[#This Row],[Column30]]</f>
        <v>2.1.4</v>
      </c>
      <c r="C25" s="137">
        <v>3.3</v>
      </c>
      <c r="D25" s="138" t="s">
        <v>182</v>
      </c>
      <c r="E25" s="162" t="s">
        <v>156</v>
      </c>
      <c r="F25" s="489" t="s">
        <v>2095</v>
      </c>
      <c r="G25" s="138" t="s">
        <v>196</v>
      </c>
      <c r="H25" s="163" t="s">
        <v>185</v>
      </c>
      <c r="I25" s="164" t="s">
        <v>185</v>
      </c>
      <c r="J25" s="200" t="s">
        <v>185</v>
      </c>
      <c r="K25" s="176" t="s">
        <v>185</v>
      </c>
      <c r="L25" s="176" t="s">
        <v>185</v>
      </c>
      <c r="M25" s="176" t="s">
        <v>185</v>
      </c>
      <c r="N25" s="165" t="s">
        <v>228</v>
      </c>
      <c r="O25" s="197" t="s">
        <v>198</v>
      </c>
      <c r="P25" s="166" t="s">
        <v>229</v>
      </c>
      <c r="Q25" s="166" t="s">
        <v>230</v>
      </c>
      <c r="R25" s="167" t="s">
        <v>231</v>
      </c>
      <c r="S25" s="166" t="s">
        <v>232</v>
      </c>
      <c r="T25" s="166" t="s">
        <v>233</v>
      </c>
      <c r="U25" s="158" t="s">
        <v>975</v>
      </c>
      <c r="V25" s="168" t="s">
        <v>898</v>
      </c>
      <c r="W25" s="158" t="s">
        <v>967</v>
      </c>
      <c r="X25" s="158" t="s">
        <v>185</v>
      </c>
      <c r="Y25" s="158" t="s">
        <v>185</v>
      </c>
      <c r="Z25" s="158"/>
      <c r="AA25" s="158" t="str">
        <f>IF(AWS_2[[#This Row],[Column14]]="-","", "v")</f>
        <v>v</v>
      </c>
      <c r="AB25" s="158" t="str">
        <f>IF(AWS_2[[#This Row],[Column8]]="x","1",(IF(OR(AWS_2[[#This Row],[Column25]]=2,AWS_2[[#This Row],[Column26]]=2,AWS_2[[#This Row],[Column27]]=2),"1",(IF(AWS_2[[#This Row],[Column9]]="x","2",(IF(AWS_2[[#This Row],[Column10]]="x","3","")))))))</f>
        <v>1</v>
      </c>
      <c r="AC25" s="454" t="str">
        <f>IF(AWS_2[[#This Row],[Column14]] = "-", AWS_2[[#This Row],[Column14]], LEFT(AWS_2[[#This Row],[Column14]], SEARCH(" ", AWS_2[[#This Row],[Column14]] &amp; " ") - 1))</f>
        <v>2.1.4</v>
      </c>
    </row>
    <row r="26" spans="1:29" ht="409.5">
      <c r="A2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6" s="137" t="str">
        <f>AWS_2[[#This Row],[Column30]]</f>
        <v>2.3.3</v>
      </c>
      <c r="C26" s="137">
        <v>3.3</v>
      </c>
      <c r="D26" s="138" t="s">
        <v>182</v>
      </c>
      <c r="E26" s="162" t="s">
        <v>156</v>
      </c>
      <c r="F26" s="489" t="s">
        <v>2095</v>
      </c>
      <c r="G26" s="138" t="s">
        <v>196</v>
      </c>
      <c r="H26" s="163" t="s">
        <v>185</v>
      </c>
      <c r="I26" s="164" t="s">
        <v>185</v>
      </c>
      <c r="J26" s="200" t="s">
        <v>185</v>
      </c>
      <c r="K26" s="176" t="s">
        <v>185</v>
      </c>
      <c r="L26" s="176" t="s">
        <v>185</v>
      </c>
      <c r="M26" s="176" t="s">
        <v>185</v>
      </c>
      <c r="N26" s="165" t="s">
        <v>234</v>
      </c>
      <c r="O26" s="197" t="s">
        <v>198</v>
      </c>
      <c r="P26" s="166" t="s">
        <v>235</v>
      </c>
      <c r="Q26" s="166" t="s">
        <v>236</v>
      </c>
      <c r="R26" s="167" t="s">
        <v>237</v>
      </c>
      <c r="S26" s="166" t="s">
        <v>238</v>
      </c>
      <c r="T26" s="166" t="s">
        <v>239</v>
      </c>
      <c r="U26" s="158" t="s">
        <v>975</v>
      </c>
      <c r="V26" s="168" t="s">
        <v>898</v>
      </c>
      <c r="W26" s="158" t="s">
        <v>967</v>
      </c>
      <c r="X26" s="158" t="s">
        <v>185</v>
      </c>
      <c r="Y26" s="158" t="s">
        <v>185</v>
      </c>
      <c r="Z26" s="158"/>
      <c r="AA26" s="158" t="str">
        <f>IF(AWS_2[[#This Row],[Column14]]="-","", "v")</f>
        <v>v</v>
      </c>
      <c r="AB26" s="158" t="str">
        <f>IF(AWS_2[[#This Row],[Column8]]="x","1",(IF(OR(AWS_2[[#This Row],[Column25]]=2,AWS_2[[#This Row],[Column26]]=2,AWS_2[[#This Row],[Column27]]=2),"1",(IF(AWS_2[[#This Row],[Column9]]="x","2",(IF(AWS_2[[#This Row],[Column10]]="x","3","")))))))</f>
        <v>1</v>
      </c>
      <c r="AC26" s="454" t="str">
        <f>IF(AWS_2[[#This Row],[Column14]] = "-", AWS_2[[#This Row],[Column14]], LEFT(AWS_2[[#This Row],[Column14]], SEARCH(" ", AWS_2[[#This Row],[Column14]] &amp; " ") - 1))</f>
        <v>2.3.3</v>
      </c>
    </row>
    <row r="27" spans="1:29" ht="409.5">
      <c r="A2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7" s="137" t="str">
        <f>AWS_2[[#This Row],[Column30]]</f>
        <v>3.3</v>
      </c>
      <c r="C27" s="137">
        <v>3.3</v>
      </c>
      <c r="D27" s="138" t="s">
        <v>182</v>
      </c>
      <c r="E27" s="162" t="s">
        <v>156</v>
      </c>
      <c r="F27" s="489" t="s">
        <v>2095</v>
      </c>
      <c r="G27" s="138" t="s">
        <v>196</v>
      </c>
      <c r="H27" s="163" t="s">
        <v>185</v>
      </c>
      <c r="I27" s="164" t="s">
        <v>185</v>
      </c>
      <c r="J27" s="200" t="s">
        <v>185</v>
      </c>
      <c r="K27" s="176" t="s">
        <v>185</v>
      </c>
      <c r="L27" s="176" t="s">
        <v>185</v>
      </c>
      <c r="M27" s="176" t="s">
        <v>185</v>
      </c>
      <c r="N27" s="165" t="s">
        <v>240</v>
      </c>
      <c r="O27" s="197" t="s">
        <v>198</v>
      </c>
      <c r="P27" s="166" t="s">
        <v>241</v>
      </c>
      <c r="Q27" s="166" t="s">
        <v>242</v>
      </c>
      <c r="R27" s="167" t="s">
        <v>243</v>
      </c>
      <c r="S27" s="166" t="s">
        <v>244</v>
      </c>
      <c r="T27" s="166" t="s">
        <v>245</v>
      </c>
      <c r="U27" s="158" t="s">
        <v>975</v>
      </c>
      <c r="V27" s="168" t="s">
        <v>898</v>
      </c>
      <c r="W27" s="158" t="s">
        <v>967</v>
      </c>
      <c r="X27" s="158" t="s">
        <v>185</v>
      </c>
      <c r="Y27" s="158" t="s">
        <v>185</v>
      </c>
      <c r="Z27" s="158"/>
      <c r="AA27" s="158" t="str">
        <f>IF(AWS_2[[#This Row],[Column14]]="-","", "v")</f>
        <v>v</v>
      </c>
      <c r="AB27" s="158" t="str">
        <f>IF(AWS_2[[#This Row],[Column8]]="x","1",(IF(OR(AWS_2[[#This Row],[Column25]]=2,AWS_2[[#This Row],[Column26]]=2,AWS_2[[#This Row],[Column27]]=2),"1",(IF(AWS_2[[#This Row],[Column9]]="x","2",(IF(AWS_2[[#This Row],[Column10]]="x","3","")))))))</f>
        <v>1</v>
      </c>
      <c r="AC27" s="454" t="str">
        <f>IF(AWS_2[[#This Row],[Column14]] = "-", AWS_2[[#This Row],[Column14]], LEFT(AWS_2[[#This Row],[Column14]], SEARCH(" ", AWS_2[[#This Row],[Column14]] &amp; " ") - 1))</f>
        <v>3.3</v>
      </c>
    </row>
    <row r="28" spans="1:29" ht="409.5">
      <c r="A2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8" s="137" t="str">
        <f>AWS_2[[#This Row],[Column30]]</f>
        <v>4.10</v>
      </c>
      <c r="C28" s="137">
        <v>3.3</v>
      </c>
      <c r="D28" s="138" t="s">
        <v>182</v>
      </c>
      <c r="E28" s="162" t="s">
        <v>156</v>
      </c>
      <c r="F28" s="489" t="s">
        <v>2095</v>
      </c>
      <c r="G28" s="138" t="s">
        <v>196</v>
      </c>
      <c r="H28" s="163" t="s">
        <v>185</v>
      </c>
      <c r="I28" s="164" t="s">
        <v>185</v>
      </c>
      <c r="J28" s="200" t="s">
        <v>185</v>
      </c>
      <c r="K28" s="176" t="s">
        <v>185</v>
      </c>
      <c r="L28" s="176" t="s">
        <v>185</v>
      </c>
      <c r="M28" s="176" t="s">
        <v>185</v>
      </c>
      <c r="N28" s="165" t="s">
        <v>246</v>
      </c>
      <c r="O28" s="197" t="s">
        <v>187</v>
      </c>
      <c r="P28" s="166" t="s">
        <v>247</v>
      </c>
      <c r="Q28" s="166" t="s">
        <v>248</v>
      </c>
      <c r="R28" s="167" t="s">
        <v>249</v>
      </c>
      <c r="S28" s="166" t="s">
        <v>250</v>
      </c>
      <c r="T28" s="166" t="s">
        <v>251</v>
      </c>
      <c r="U28" s="158" t="s">
        <v>162</v>
      </c>
      <c r="V28" s="168" t="s">
        <v>921</v>
      </c>
      <c r="W28" s="158" t="s">
        <v>967</v>
      </c>
      <c r="X28" s="158" t="s">
        <v>185</v>
      </c>
      <c r="Y28" s="158" t="s">
        <v>185</v>
      </c>
      <c r="Z28" s="158"/>
      <c r="AA28" s="158" t="str">
        <f>IF(AWS_2[[#This Row],[Column14]]="-","", "v")</f>
        <v>v</v>
      </c>
      <c r="AB28" s="158" t="str">
        <f>IF(AWS_2[[#This Row],[Column8]]="x","1",(IF(OR(AWS_2[[#This Row],[Column25]]=2,AWS_2[[#This Row],[Column26]]=2,AWS_2[[#This Row],[Column27]]=2),"1",(IF(AWS_2[[#This Row],[Column9]]="x","2",(IF(AWS_2[[#This Row],[Column10]]="x","3","")))))))</f>
        <v>1</v>
      </c>
      <c r="AC28" s="454" t="str">
        <f>IF(AWS_2[[#This Row],[Column14]] = "-", AWS_2[[#This Row],[Column14]], LEFT(AWS_2[[#This Row],[Column14]], SEARCH(" ", AWS_2[[#This Row],[Column14]] &amp; " ") - 1))</f>
        <v>4.10</v>
      </c>
    </row>
    <row r="29" spans="1:29" ht="409.5">
      <c r="A2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9" s="137" t="str">
        <f>AWS_2[[#This Row],[Column30]]</f>
        <v>5.4</v>
      </c>
      <c r="C29" s="137">
        <v>3.3</v>
      </c>
      <c r="D29" s="138" t="s">
        <v>182</v>
      </c>
      <c r="E29" s="162" t="s">
        <v>156</v>
      </c>
      <c r="F29" s="489" t="s">
        <v>2095</v>
      </c>
      <c r="G29" s="138" t="s">
        <v>196</v>
      </c>
      <c r="H29" s="163" t="s">
        <v>185</v>
      </c>
      <c r="I29" s="164" t="s">
        <v>185</v>
      </c>
      <c r="J29" s="200" t="s">
        <v>185</v>
      </c>
      <c r="K29" s="176" t="s">
        <v>185</v>
      </c>
      <c r="L29" s="176" t="s">
        <v>185</v>
      </c>
      <c r="M29" s="176" t="s">
        <v>185</v>
      </c>
      <c r="N29" s="165" t="s">
        <v>252</v>
      </c>
      <c r="O29" s="197" t="s">
        <v>187</v>
      </c>
      <c r="P29" s="166" t="s">
        <v>253</v>
      </c>
      <c r="Q29" s="166" t="s">
        <v>254</v>
      </c>
      <c r="R29" s="167" t="s">
        <v>255</v>
      </c>
      <c r="S29" s="166" t="s">
        <v>256</v>
      </c>
      <c r="T29" s="166" t="s">
        <v>257</v>
      </c>
      <c r="U29" s="158" t="s">
        <v>162</v>
      </c>
      <c r="V29" s="168" t="s">
        <v>900</v>
      </c>
      <c r="W29" s="158" t="s">
        <v>967</v>
      </c>
      <c r="X29" s="158" t="s">
        <v>185</v>
      </c>
      <c r="Y29" s="158" t="s">
        <v>185</v>
      </c>
      <c r="Z29" s="158"/>
      <c r="AA29" s="158" t="str">
        <f>IF(AWS_2[[#This Row],[Column14]]="-","", "v")</f>
        <v>v</v>
      </c>
      <c r="AB29" s="158" t="str">
        <f>IF(AWS_2[[#This Row],[Column8]]="x","1",(IF(OR(AWS_2[[#This Row],[Column25]]=2,AWS_2[[#This Row],[Column26]]=2,AWS_2[[#This Row],[Column27]]=2),"1",(IF(AWS_2[[#This Row],[Column9]]="x","2",(IF(AWS_2[[#This Row],[Column10]]="x","3","")))))))</f>
        <v>1</v>
      </c>
      <c r="AC29" s="454" t="str">
        <f>IF(AWS_2[[#This Row],[Column14]] = "-", AWS_2[[#This Row],[Column14]], LEFT(AWS_2[[#This Row],[Column14]], SEARCH(" ", AWS_2[[#This Row],[Column14]] &amp; " ") - 1))</f>
        <v>5.4</v>
      </c>
    </row>
    <row r="30" spans="1:29" ht="256.5">
      <c r="A3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0" s="137" t="str">
        <f>AWS_2[[#This Row],[Column30]]</f>
        <v>5.5</v>
      </c>
      <c r="C30" s="137">
        <v>3.3</v>
      </c>
      <c r="D30" s="138" t="s">
        <v>182</v>
      </c>
      <c r="E30" s="162" t="s">
        <v>156</v>
      </c>
      <c r="F30" s="489" t="s">
        <v>2095</v>
      </c>
      <c r="G30" s="138" t="s">
        <v>196</v>
      </c>
      <c r="H30" s="163" t="s">
        <v>185</v>
      </c>
      <c r="I30" s="164" t="s">
        <v>185</v>
      </c>
      <c r="J30" s="200" t="s">
        <v>185</v>
      </c>
      <c r="K30" s="176" t="s">
        <v>185</v>
      </c>
      <c r="L30" s="176" t="s">
        <v>185</v>
      </c>
      <c r="M30" s="176" t="s">
        <v>185</v>
      </c>
      <c r="N30" s="165" t="s">
        <v>258</v>
      </c>
      <c r="O30" s="197" t="s">
        <v>187</v>
      </c>
      <c r="P30" s="166" t="s">
        <v>259</v>
      </c>
      <c r="Q30" s="166" t="s">
        <v>260</v>
      </c>
      <c r="R30" s="167" t="s">
        <v>261</v>
      </c>
      <c r="S30" s="166" t="s">
        <v>262</v>
      </c>
      <c r="T30" s="166" t="s">
        <v>263</v>
      </c>
      <c r="U30" s="158" t="s">
        <v>975</v>
      </c>
      <c r="V30" s="168" t="s">
        <v>901</v>
      </c>
      <c r="W30" s="158" t="s">
        <v>967</v>
      </c>
      <c r="X30" s="158" t="s">
        <v>185</v>
      </c>
      <c r="Y30" s="158" t="s">
        <v>185</v>
      </c>
      <c r="Z30" s="158"/>
      <c r="AA30" s="158" t="str">
        <f>IF(AWS_2[[#This Row],[Column14]]="-","", "v")</f>
        <v>v</v>
      </c>
      <c r="AB30" s="158" t="str">
        <f>IF(AWS_2[[#This Row],[Column8]]="x","1",(IF(OR(AWS_2[[#This Row],[Column25]]=2,AWS_2[[#This Row],[Column26]]=2,AWS_2[[#This Row],[Column27]]=2),"1",(IF(AWS_2[[#This Row],[Column9]]="x","2",(IF(AWS_2[[#This Row],[Column10]]="x","3","")))))))</f>
        <v>1</v>
      </c>
      <c r="AC30" s="454" t="str">
        <f>IF(AWS_2[[#This Row],[Column14]] = "-", AWS_2[[#This Row],[Column14]], LEFT(AWS_2[[#This Row],[Column14]], SEARCH(" ", AWS_2[[#This Row],[Column14]] &amp; " ") - 1))</f>
        <v>5.5</v>
      </c>
    </row>
    <row r="31" spans="1:29" ht="409.5">
      <c r="A3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1" s="137" t="str">
        <f>AWS_2[[#This Row],[Column30]]</f>
        <v>4.10</v>
      </c>
      <c r="C31" s="137">
        <v>3.3</v>
      </c>
      <c r="D31" s="138" t="s">
        <v>182</v>
      </c>
      <c r="E31" s="162" t="s">
        <v>156</v>
      </c>
      <c r="F31" s="489" t="s">
        <v>2095</v>
      </c>
      <c r="G31" s="138" t="s">
        <v>196</v>
      </c>
      <c r="H31" s="163" t="s">
        <v>185</v>
      </c>
      <c r="I31" s="164" t="s">
        <v>185</v>
      </c>
      <c r="J31" s="200" t="s">
        <v>185</v>
      </c>
      <c r="K31" s="176" t="s">
        <v>185</v>
      </c>
      <c r="L31" s="176" t="s">
        <v>185</v>
      </c>
      <c r="M31" s="176" t="s">
        <v>185</v>
      </c>
      <c r="N31" s="165" t="s">
        <v>246</v>
      </c>
      <c r="O31" s="197" t="s">
        <v>187</v>
      </c>
      <c r="P31" s="166" t="s">
        <v>247</v>
      </c>
      <c r="Q31" s="166" t="s">
        <v>248</v>
      </c>
      <c r="R31" s="167" t="s">
        <v>264</v>
      </c>
      <c r="S31" s="166" t="s">
        <v>265</v>
      </c>
      <c r="T31" s="166" t="s">
        <v>251</v>
      </c>
      <c r="U31" s="158" t="s">
        <v>162</v>
      </c>
      <c r="V31" s="168" t="s">
        <v>921</v>
      </c>
      <c r="W31" s="158" t="s">
        <v>967</v>
      </c>
      <c r="X31" s="158" t="s">
        <v>185</v>
      </c>
      <c r="Y31" s="158" t="s">
        <v>185</v>
      </c>
      <c r="Z31" s="158"/>
      <c r="AA31" s="158" t="str">
        <f>IF(AWS_2[[#This Row],[Column14]]="-","", "v")</f>
        <v>v</v>
      </c>
      <c r="AB31" s="158" t="str">
        <f>IF(AWS_2[[#This Row],[Column8]]="x","1",(IF(OR(AWS_2[[#This Row],[Column25]]=2,AWS_2[[#This Row],[Column26]]=2,AWS_2[[#This Row],[Column27]]=2),"1",(IF(AWS_2[[#This Row],[Column9]]="x","2",(IF(AWS_2[[#This Row],[Column10]]="x","3","")))))))</f>
        <v>1</v>
      </c>
      <c r="AC31" s="454" t="str">
        <f>IF(AWS_2[[#This Row],[Column14]] = "-", AWS_2[[#This Row],[Column14]], LEFT(AWS_2[[#This Row],[Column14]], SEARCH(" ", AWS_2[[#This Row],[Column14]] &amp; " ") - 1))</f>
        <v>4.10</v>
      </c>
    </row>
    <row r="32" spans="1:29" ht="30">
      <c r="A3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2" s="137" t="str">
        <f>AWS_2[[#This Row],[Column30]]</f>
        <v>-</v>
      </c>
      <c r="C32" s="137">
        <v>3.4</v>
      </c>
      <c r="D32" s="138" t="s">
        <v>182</v>
      </c>
      <c r="E32" s="162" t="s">
        <v>156</v>
      </c>
      <c r="F32" s="489" t="s">
        <v>2096</v>
      </c>
      <c r="G32" s="138" t="s">
        <v>267</v>
      </c>
      <c r="H32" s="163" t="s">
        <v>185</v>
      </c>
      <c r="I32" s="164" t="s">
        <v>185</v>
      </c>
      <c r="J32" s="200" t="s">
        <v>185</v>
      </c>
      <c r="K32" s="176" t="s">
        <v>185</v>
      </c>
      <c r="L32" s="176" t="s">
        <v>185</v>
      </c>
      <c r="M32" s="176" t="s">
        <v>185</v>
      </c>
      <c r="N32" s="165" t="s">
        <v>162</v>
      </c>
      <c r="O32" s="165" t="s">
        <v>162</v>
      </c>
      <c r="P32" s="165" t="s">
        <v>162</v>
      </c>
      <c r="Q32" s="165" t="s">
        <v>162</v>
      </c>
      <c r="R32" s="167"/>
      <c r="S32" s="165" t="s">
        <v>162</v>
      </c>
      <c r="T32" s="165" t="s">
        <v>162</v>
      </c>
      <c r="U32" s="158" t="s">
        <v>162</v>
      </c>
      <c r="V32" s="168"/>
      <c r="W32" s="158" t="s">
        <v>966</v>
      </c>
      <c r="X32" s="158" t="s">
        <v>185</v>
      </c>
      <c r="Y32" s="158" t="s">
        <v>185</v>
      </c>
      <c r="Z32" s="158"/>
      <c r="AA32" s="158" t="str">
        <f>IF(AWS_2[[#This Row],[Column14]]="-","", "v")</f>
        <v/>
      </c>
      <c r="AB32" s="158" t="str">
        <f>IF(AWS_2[[#This Row],[Column8]]="x","1",(IF(OR(AWS_2[[#This Row],[Column25]]=2,AWS_2[[#This Row],[Column26]]=2,AWS_2[[#This Row],[Column27]]=2),"1",(IF(AWS_2[[#This Row],[Column9]]="x","2",(IF(AWS_2[[#This Row],[Column10]]="x","3","")))))))</f>
        <v>1</v>
      </c>
      <c r="AC32" s="454" t="str">
        <f>IF(AWS_2[[#This Row],[Column14]] = "-", AWS_2[[#This Row],[Column14]], LEFT(AWS_2[[#This Row],[Column14]], SEARCH(" ", AWS_2[[#This Row],[Column14]] &amp; " ") - 1))</f>
        <v>-</v>
      </c>
    </row>
    <row r="33" spans="1:29" ht="45">
      <c r="A3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3" s="137" t="str">
        <f>AWS_2[[#This Row],[Column30]]</f>
        <v>-</v>
      </c>
      <c r="C33" s="137">
        <v>3.5</v>
      </c>
      <c r="D33" s="138" t="s">
        <v>182</v>
      </c>
      <c r="E33" s="162" t="s">
        <v>156</v>
      </c>
      <c r="F33" s="489" t="s">
        <v>2097</v>
      </c>
      <c r="G33" s="138" t="s">
        <v>269</v>
      </c>
      <c r="H33" s="163" t="s">
        <v>185</v>
      </c>
      <c r="I33" s="164" t="s">
        <v>185</v>
      </c>
      <c r="J33" s="200" t="s">
        <v>185</v>
      </c>
      <c r="K33" s="176" t="s">
        <v>185</v>
      </c>
      <c r="L33" s="176" t="s">
        <v>185</v>
      </c>
      <c r="M33" s="176" t="s">
        <v>185</v>
      </c>
      <c r="N33" s="165" t="s">
        <v>162</v>
      </c>
      <c r="O33" s="165" t="s">
        <v>162</v>
      </c>
      <c r="P33" s="165" t="s">
        <v>162</v>
      </c>
      <c r="Q33" s="165" t="s">
        <v>162</v>
      </c>
      <c r="R33" s="167"/>
      <c r="S33" s="165" t="s">
        <v>162</v>
      </c>
      <c r="T33" s="165" t="s">
        <v>162</v>
      </c>
      <c r="U33" s="158" t="s">
        <v>162</v>
      </c>
      <c r="V33" s="168"/>
      <c r="W33" s="158" t="s">
        <v>966</v>
      </c>
      <c r="X33" s="158" t="s">
        <v>185</v>
      </c>
      <c r="Y33" s="158" t="s">
        <v>185</v>
      </c>
      <c r="Z33" s="158"/>
      <c r="AA33" s="158" t="str">
        <f>IF(AWS_2[[#This Row],[Column14]]="-","", "v")</f>
        <v/>
      </c>
      <c r="AB33" s="158" t="str">
        <f>IF(AWS_2[[#This Row],[Column8]]="x","1",(IF(OR(AWS_2[[#This Row],[Column25]]=2,AWS_2[[#This Row],[Column26]]=2,AWS_2[[#This Row],[Column27]]=2),"1",(IF(AWS_2[[#This Row],[Column9]]="x","2",(IF(AWS_2[[#This Row],[Column10]]="x","3","")))))))</f>
        <v>1</v>
      </c>
      <c r="AC33" s="454" t="str">
        <f>IF(AWS_2[[#This Row],[Column14]] = "-", AWS_2[[#This Row],[Column14]], LEFT(AWS_2[[#This Row],[Column14]], SEARCH(" ", AWS_2[[#This Row],[Column14]] &amp; " ") - 1))</f>
        <v>-</v>
      </c>
    </row>
    <row r="34" spans="1:29" ht="48">
      <c r="A3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34" s="137" t="str">
        <f>AWS_2[[#This Row],[Column30]]</f>
        <v>-</v>
      </c>
      <c r="C34" s="137">
        <v>3.6</v>
      </c>
      <c r="D34" s="138" t="s">
        <v>352</v>
      </c>
      <c r="E34" s="162" t="s">
        <v>156</v>
      </c>
      <c r="F34" s="489" t="s">
        <v>2098</v>
      </c>
      <c r="G34" s="139" t="s">
        <v>389</v>
      </c>
      <c r="H34" s="163" t="s">
        <v>185</v>
      </c>
      <c r="I34" s="164" t="s">
        <v>185</v>
      </c>
      <c r="J34" s="200" t="s">
        <v>185</v>
      </c>
      <c r="K34" s="158"/>
      <c r="L34" s="158"/>
      <c r="M34" s="158"/>
      <c r="N34" s="165" t="s">
        <v>162</v>
      </c>
      <c r="O34" s="165" t="s">
        <v>162</v>
      </c>
      <c r="P34" s="165" t="s">
        <v>162</v>
      </c>
      <c r="Q34" s="165" t="s">
        <v>162</v>
      </c>
      <c r="R34" s="167"/>
      <c r="S34" s="165" t="s">
        <v>162</v>
      </c>
      <c r="T34" s="165" t="s">
        <v>162</v>
      </c>
      <c r="U34" s="158" t="s">
        <v>162</v>
      </c>
      <c r="V34" s="168"/>
      <c r="W34" s="158" t="s">
        <v>966</v>
      </c>
      <c r="X34" s="158" t="s">
        <v>185</v>
      </c>
      <c r="Y34" s="158" t="s">
        <v>185</v>
      </c>
      <c r="Z34" s="158"/>
      <c r="AA34" s="158" t="str">
        <f>IF(AWS_2[[#This Row],[Column14]]="-","", "v")</f>
        <v/>
      </c>
      <c r="AB34" s="158" t="str">
        <f>IF(AWS_2[[#This Row],[Column8]]="x","1",(IF(OR(AWS_2[[#This Row],[Column25]]=2,AWS_2[[#This Row],[Column26]]=2,AWS_2[[#This Row],[Column27]]=2),"1",(IF(AWS_2[[#This Row],[Column9]]="x","2",(IF(AWS_2[[#This Row],[Column10]]="x","3","")))))))</f>
        <v>1</v>
      </c>
      <c r="AC34" s="454" t="str">
        <f>IF(AWS_2[[#This Row],[Column14]] = "-", AWS_2[[#This Row],[Column14]], LEFT(AWS_2[[#This Row],[Column14]], SEARCH(" ", AWS_2[[#This Row],[Column14]] &amp; " ") - 1))</f>
        <v>-</v>
      </c>
    </row>
    <row r="35" spans="1:29" ht="75">
      <c r="A3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5" s="137" t="str">
        <f>AWS_2[[#This Row],[Column30]]</f>
        <v>-</v>
      </c>
      <c r="C35" s="137">
        <v>3.7</v>
      </c>
      <c r="D35" s="138" t="s">
        <v>182</v>
      </c>
      <c r="E35" s="162" t="s">
        <v>154</v>
      </c>
      <c r="F35" s="489" t="s">
        <v>2099</v>
      </c>
      <c r="G35" s="139" t="s">
        <v>271</v>
      </c>
      <c r="H35" s="204"/>
      <c r="I35" s="164" t="s">
        <v>185</v>
      </c>
      <c r="J35" s="200" t="s">
        <v>185</v>
      </c>
      <c r="K35" s="176" t="s">
        <v>185</v>
      </c>
      <c r="L35" s="176" t="s">
        <v>185</v>
      </c>
      <c r="M35" s="176" t="s">
        <v>185</v>
      </c>
      <c r="N35" s="165" t="s">
        <v>162</v>
      </c>
      <c r="O35" s="165" t="s">
        <v>162</v>
      </c>
      <c r="P35" s="165" t="s">
        <v>162</v>
      </c>
      <c r="Q35" s="165" t="s">
        <v>162</v>
      </c>
      <c r="R35" s="167"/>
      <c r="S35" s="165" t="s">
        <v>162</v>
      </c>
      <c r="T35" s="165" t="s">
        <v>162</v>
      </c>
      <c r="U35" s="158" t="s">
        <v>162</v>
      </c>
      <c r="V35" s="168"/>
      <c r="W35" s="158" t="s">
        <v>966</v>
      </c>
      <c r="X35" s="158" t="s">
        <v>185</v>
      </c>
      <c r="Y35" s="158" t="s">
        <v>185</v>
      </c>
      <c r="Z35" s="158"/>
      <c r="AA35" s="158" t="str">
        <f>IF(AWS_2[[#This Row],[Column14]]="-","", "v")</f>
        <v/>
      </c>
      <c r="AB35" s="158" t="str">
        <f>IF(AWS_2[[#This Row],[Column8]]="x","1",(IF(OR(AWS_2[[#This Row],[Column25]]=2,AWS_2[[#This Row],[Column26]]=2,AWS_2[[#This Row],[Column27]]=2),"1",(IF(AWS_2[[#This Row],[Column9]]="x","2",(IF(AWS_2[[#This Row],[Column10]]="x","3","")))))))</f>
        <v>2</v>
      </c>
      <c r="AC35" s="454" t="str">
        <f>IF(AWS_2[[#This Row],[Column14]] = "-", AWS_2[[#This Row],[Column14]], LEFT(AWS_2[[#This Row],[Column14]], SEARCH(" ", AWS_2[[#This Row],[Column14]] &amp; " ") - 1))</f>
        <v>-</v>
      </c>
    </row>
    <row r="36" spans="1:29" ht="60">
      <c r="A3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6" s="137" t="str">
        <f>AWS_2[[#This Row],[Column30]]</f>
        <v>-</v>
      </c>
      <c r="C36" s="137">
        <v>3.8</v>
      </c>
      <c r="D36" s="138" t="s">
        <v>182</v>
      </c>
      <c r="E36" s="162" t="s">
        <v>154</v>
      </c>
      <c r="F36" s="489" t="s">
        <v>2100</v>
      </c>
      <c r="G36" s="138" t="s">
        <v>273</v>
      </c>
      <c r="H36" s="137"/>
      <c r="I36" s="164" t="s">
        <v>185</v>
      </c>
      <c r="J36" s="200" t="s">
        <v>185</v>
      </c>
      <c r="K36" s="176" t="s">
        <v>185</v>
      </c>
      <c r="L36" s="176" t="s">
        <v>185</v>
      </c>
      <c r="M36" s="176" t="s">
        <v>185</v>
      </c>
      <c r="N36" s="165" t="s">
        <v>162</v>
      </c>
      <c r="O36" s="165" t="s">
        <v>162</v>
      </c>
      <c r="P36" s="165" t="s">
        <v>162</v>
      </c>
      <c r="Q36" s="165" t="s">
        <v>162</v>
      </c>
      <c r="R36" s="167"/>
      <c r="S36" s="165" t="s">
        <v>162</v>
      </c>
      <c r="T36" s="165" t="s">
        <v>162</v>
      </c>
      <c r="U36" s="158" t="s">
        <v>162</v>
      </c>
      <c r="V36" s="168"/>
      <c r="W36" s="158" t="s">
        <v>966</v>
      </c>
      <c r="X36" s="158" t="s">
        <v>185</v>
      </c>
      <c r="Y36" s="158" t="s">
        <v>185</v>
      </c>
      <c r="Z36" s="158"/>
      <c r="AA36" s="158" t="str">
        <f>IF(AWS_2[[#This Row],[Column14]]="-","", "v")</f>
        <v/>
      </c>
      <c r="AB36" s="158" t="str">
        <f>IF(AWS_2[[#This Row],[Column8]]="x","1",(IF(OR(AWS_2[[#This Row],[Column25]]=2,AWS_2[[#This Row],[Column26]]=2,AWS_2[[#This Row],[Column27]]=2),"1",(IF(AWS_2[[#This Row],[Column9]]="x","2",(IF(AWS_2[[#This Row],[Column10]]="x","3","")))))))</f>
        <v>2</v>
      </c>
      <c r="AC36" s="454" t="str">
        <f>IF(AWS_2[[#This Row],[Column14]] = "-", AWS_2[[#This Row],[Column14]], LEFT(AWS_2[[#This Row],[Column14]], SEARCH(" ", AWS_2[[#This Row],[Column14]] &amp; " ") - 1))</f>
        <v>-</v>
      </c>
    </row>
    <row r="37" spans="1:29" ht="15.75">
      <c r="A3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37" s="137" t="str">
        <f>AWS_2[[#This Row],[Column30]]</f>
        <v>-</v>
      </c>
      <c r="C37" s="137">
        <v>3.9</v>
      </c>
      <c r="D37" s="138" t="s">
        <v>182</v>
      </c>
      <c r="E37" s="162" t="s">
        <v>156</v>
      </c>
      <c r="F37" s="489" t="s">
        <v>2101</v>
      </c>
      <c r="G37" s="138" t="s">
        <v>275</v>
      </c>
      <c r="H37" s="204"/>
      <c r="I37" s="164" t="s">
        <v>185</v>
      </c>
      <c r="J37" s="200" t="s">
        <v>185</v>
      </c>
      <c r="K37" s="158"/>
      <c r="L37" s="158"/>
      <c r="M37" s="158"/>
      <c r="N37" s="165" t="s">
        <v>162</v>
      </c>
      <c r="O37" s="165" t="s">
        <v>162</v>
      </c>
      <c r="P37" s="165" t="s">
        <v>162</v>
      </c>
      <c r="Q37" s="165" t="s">
        <v>162</v>
      </c>
      <c r="R37" s="167"/>
      <c r="S37" s="165" t="s">
        <v>162</v>
      </c>
      <c r="T37" s="165" t="s">
        <v>162</v>
      </c>
      <c r="U37" s="158" t="s">
        <v>162</v>
      </c>
      <c r="V37" s="168"/>
      <c r="W37" s="158" t="s">
        <v>966</v>
      </c>
      <c r="X37" s="158" t="s">
        <v>185</v>
      </c>
      <c r="Y37" s="158" t="s">
        <v>185</v>
      </c>
      <c r="Z37" s="158"/>
      <c r="AA37" s="158" t="str">
        <f>IF(AWS_2[[#This Row],[Column14]]="-","", "v")</f>
        <v/>
      </c>
      <c r="AB37" s="158" t="str">
        <f>IF(AWS_2[[#This Row],[Column8]]="x","1",(IF(OR(AWS_2[[#This Row],[Column25]]=2,AWS_2[[#This Row],[Column26]]=2,AWS_2[[#This Row],[Column27]]=2),"1",(IF(AWS_2[[#This Row],[Column9]]="x","2",(IF(AWS_2[[#This Row],[Column10]]="x","3","")))))))</f>
        <v>2</v>
      </c>
      <c r="AC37" s="454" t="str">
        <f>IF(AWS_2[[#This Row],[Column14]] = "-", AWS_2[[#This Row],[Column14]], LEFT(AWS_2[[#This Row],[Column14]], SEARCH(" ", AWS_2[[#This Row],[Column14]] &amp; " ") - 1))</f>
        <v>-</v>
      </c>
    </row>
    <row r="38" spans="1:29" ht="409.5">
      <c r="A3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8" s="137" t="str">
        <f>AWS_2[[#This Row],[Column30]]</f>
        <v>2.1.1</v>
      </c>
      <c r="C38" s="140">
        <v>3.1</v>
      </c>
      <c r="D38" s="138" t="s">
        <v>182</v>
      </c>
      <c r="E38" s="162" t="s">
        <v>156</v>
      </c>
      <c r="F38" s="489" t="s">
        <v>2102</v>
      </c>
      <c r="G38" s="139" t="s">
        <v>277</v>
      </c>
      <c r="H38" s="137"/>
      <c r="I38" s="164" t="s">
        <v>185</v>
      </c>
      <c r="J38" s="200" t="s">
        <v>185</v>
      </c>
      <c r="K38" s="176" t="s">
        <v>185</v>
      </c>
      <c r="L38" s="176" t="s">
        <v>185</v>
      </c>
      <c r="M38" s="176" t="s">
        <v>185</v>
      </c>
      <c r="N38" s="165" t="s">
        <v>278</v>
      </c>
      <c r="O38" s="197" t="s">
        <v>187</v>
      </c>
      <c r="P38" s="166" t="s">
        <v>279</v>
      </c>
      <c r="Q38" s="166" t="s">
        <v>280</v>
      </c>
      <c r="R38" s="167" t="s">
        <v>281</v>
      </c>
      <c r="S38" s="166" t="s">
        <v>282</v>
      </c>
      <c r="T38" s="166" t="s">
        <v>283</v>
      </c>
      <c r="U38" s="158" t="s">
        <v>162</v>
      </c>
      <c r="V38" s="168" t="s">
        <v>902</v>
      </c>
      <c r="W38" s="158" t="s">
        <v>967</v>
      </c>
      <c r="X38" s="158" t="s">
        <v>185</v>
      </c>
      <c r="Y38" s="158" t="s">
        <v>185</v>
      </c>
      <c r="Z38" s="158"/>
      <c r="AA38" s="158" t="str">
        <f>IF(AWS_2[[#This Row],[Column14]]="-","", "v")</f>
        <v>v</v>
      </c>
      <c r="AB38" s="158" t="str">
        <f>IF(AWS_2[[#This Row],[Column8]]="x","1",(IF(OR(AWS_2[[#This Row],[Column25]]=2,AWS_2[[#This Row],[Column26]]=2,AWS_2[[#This Row],[Column27]]=2),"1",(IF(AWS_2[[#This Row],[Column9]]="x","2",(IF(AWS_2[[#This Row],[Column10]]="x","3","")))))))</f>
        <v>2</v>
      </c>
      <c r="AC38" s="454" t="str">
        <f>IF(AWS_2[[#This Row],[Column14]] = "-", AWS_2[[#This Row],[Column14]], LEFT(AWS_2[[#This Row],[Column14]], SEARCH(" ", AWS_2[[#This Row],[Column14]] &amp; " ") - 1))</f>
        <v>2.1.1</v>
      </c>
    </row>
    <row r="39" spans="1:29" ht="327.75">
      <c r="A3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NOT(ISBLANK(K39)),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NOT(ISBLANK(L39)),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NOT(ISBLANK(M39)),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39" s="137" t="str">
        <f>AWS_2[[#This Row],[Column30]]</f>
        <v>2.2.1</v>
      </c>
      <c r="C39" s="137">
        <v>3.11</v>
      </c>
      <c r="D39" s="138" t="s">
        <v>182</v>
      </c>
      <c r="E39" s="162" t="s">
        <v>156</v>
      </c>
      <c r="F39" s="489" t="s">
        <v>2103</v>
      </c>
      <c r="G39" s="139" t="s">
        <v>285</v>
      </c>
      <c r="H39" s="204"/>
      <c r="I39" s="164" t="s">
        <v>185</v>
      </c>
      <c r="J39" s="200" t="s">
        <v>185</v>
      </c>
      <c r="K39" s="176" t="s">
        <v>185</v>
      </c>
      <c r="L39" s="176" t="s">
        <v>185</v>
      </c>
      <c r="M39" s="158"/>
      <c r="N39" s="165" t="s">
        <v>286</v>
      </c>
      <c r="O39" s="197" t="s">
        <v>198</v>
      </c>
      <c r="P39" s="166" t="s">
        <v>287</v>
      </c>
      <c r="Q39" s="166" t="s">
        <v>288</v>
      </c>
      <c r="R39" s="167" t="s">
        <v>289</v>
      </c>
      <c r="S39" s="166" t="s">
        <v>290</v>
      </c>
      <c r="T39" s="166" t="s">
        <v>291</v>
      </c>
      <c r="U39" s="158" t="s">
        <v>975</v>
      </c>
      <c r="V39" s="168" t="s">
        <v>903</v>
      </c>
      <c r="W39" s="158" t="s">
        <v>967</v>
      </c>
      <c r="X39" s="158" t="s">
        <v>185</v>
      </c>
      <c r="Y39" s="158" t="s">
        <v>185</v>
      </c>
      <c r="Z39" s="158"/>
      <c r="AA39" s="158" t="str">
        <f>IF(AWS_2[[#This Row],[Column14]]="-","", "v")</f>
        <v>v</v>
      </c>
      <c r="AB39" s="158" t="str">
        <f>IF(AWS_2[[#This Row],[Column8]]="x","1",(IF(OR(AWS_2[[#This Row],[Column25]]=2,AWS_2[[#This Row],[Column26]]=2,AWS_2[[#This Row],[Column27]]=2),"1",(IF(AWS_2[[#This Row],[Column9]]="x","2",(IF(AWS_2[[#This Row],[Column10]]="x","3","")))))))</f>
        <v>2</v>
      </c>
      <c r="AC39" s="454" t="str">
        <f>IF(AWS_2[[#This Row],[Column14]] = "-", AWS_2[[#This Row],[Column14]], LEFT(AWS_2[[#This Row],[Column14]], SEARCH(" ", AWS_2[[#This Row],[Column14]] &amp; " ") - 1))</f>
        <v>2.2.1</v>
      </c>
    </row>
    <row r="40" spans="1:29" ht="409.5">
      <c r="A4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0" s="137" t="str">
        <f>AWS_2[[#This Row],[Column30]]</f>
        <v>2.3.1</v>
      </c>
      <c r="C40" s="137">
        <v>3.11</v>
      </c>
      <c r="D40" s="138" t="s">
        <v>182</v>
      </c>
      <c r="E40" s="162" t="s">
        <v>156</v>
      </c>
      <c r="F40" s="489" t="s">
        <v>2103</v>
      </c>
      <c r="G40" s="139" t="s">
        <v>285</v>
      </c>
      <c r="H40" s="204"/>
      <c r="I40" s="164" t="s">
        <v>185</v>
      </c>
      <c r="J40" s="200" t="s">
        <v>185</v>
      </c>
      <c r="K40" s="176" t="s">
        <v>185</v>
      </c>
      <c r="L40" s="176" t="s">
        <v>185</v>
      </c>
      <c r="M40" s="158"/>
      <c r="N40" s="165" t="s">
        <v>292</v>
      </c>
      <c r="O40" s="197" t="s">
        <v>198</v>
      </c>
      <c r="P40" s="166" t="s">
        <v>293</v>
      </c>
      <c r="Q40" s="166" t="s">
        <v>294</v>
      </c>
      <c r="R40" s="167" t="s">
        <v>295</v>
      </c>
      <c r="S40" s="166" t="s">
        <v>296</v>
      </c>
      <c r="T40" s="166" t="s">
        <v>297</v>
      </c>
      <c r="U40" s="158" t="s">
        <v>975</v>
      </c>
      <c r="V40" s="168" t="s">
        <v>903</v>
      </c>
      <c r="W40" s="158" t="s">
        <v>967</v>
      </c>
      <c r="X40" s="158" t="s">
        <v>185</v>
      </c>
      <c r="Y40" s="158" t="s">
        <v>185</v>
      </c>
      <c r="Z40" s="158"/>
      <c r="AA40" s="158" t="str">
        <f>IF(AWS_2[[#This Row],[Column14]]="-","", "v")</f>
        <v>v</v>
      </c>
      <c r="AB40" s="158" t="str">
        <f>IF(AWS_2[[#This Row],[Column8]]="x","1",(IF(OR(AWS_2[[#This Row],[Column25]]=2,AWS_2[[#This Row],[Column26]]=2,AWS_2[[#This Row],[Column27]]=2),"1",(IF(AWS_2[[#This Row],[Column9]]="x","2",(IF(AWS_2[[#This Row],[Column10]]="x","3","")))))))</f>
        <v>2</v>
      </c>
      <c r="AC40" s="454" t="str">
        <f>IF(AWS_2[[#This Row],[Column14]] = "-", AWS_2[[#This Row],[Column14]], LEFT(AWS_2[[#This Row],[Column14]], SEARCH(" ", AWS_2[[#This Row],[Column14]] &amp; " ") - 1))</f>
        <v>2.3.1</v>
      </c>
    </row>
    <row r="41" spans="1:29" ht="409.5">
      <c r="A4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1" s="137" t="str">
        <f>AWS_2[[#This Row],[Column30]]</f>
        <v>2.4.1</v>
      </c>
      <c r="C41" s="137">
        <v>3.11</v>
      </c>
      <c r="D41" s="138" t="s">
        <v>182</v>
      </c>
      <c r="E41" s="162" t="s">
        <v>156</v>
      </c>
      <c r="F41" s="489" t="s">
        <v>2103</v>
      </c>
      <c r="G41" s="139" t="s">
        <v>285</v>
      </c>
      <c r="H41" s="204"/>
      <c r="I41" s="164" t="s">
        <v>185</v>
      </c>
      <c r="J41" s="200" t="s">
        <v>185</v>
      </c>
      <c r="K41" s="176" t="s">
        <v>185</v>
      </c>
      <c r="L41" s="176" t="s">
        <v>185</v>
      </c>
      <c r="M41" s="158"/>
      <c r="N41" s="165" t="s">
        <v>298</v>
      </c>
      <c r="O41" s="197" t="s">
        <v>198</v>
      </c>
      <c r="P41" s="166" t="s">
        <v>299</v>
      </c>
      <c r="Q41" s="166" t="s">
        <v>300</v>
      </c>
      <c r="R41" s="167" t="s">
        <v>301</v>
      </c>
      <c r="S41" s="166" t="s">
        <v>302</v>
      </c>
      <c r="T41" s="166" t="s">
        <v>303</v>
      </c>
      <c r="U41" s="158" t="s">
        <v>975</v>
      </c>
      <c r="V41" s="168" t="s">
        <v>903</v>
      </c>
      <c r="W41" s="158" t="s">
        <v>967</v>
      </c>
      <c r="X41" s="158" t="s">
        <v>185</v>
      </c>
      <c r="Y41" s="158" t="s">
        <v>185</v>
      </c>
      <c r="Z41" s="158"/>
      <c r="AA41" s="158" t="str">
        <f>IF(AWS_2[[#This Row],[Column14]]="-","", "v")</f>
        <v>v</v>
      </c>
      <c r="AB41" s="158" t="str">
        <f>IF(AWS_2[[#This Row],[Column8]]="x","1",(IF(OR(AWS_2[[#This Row],[Column25]]=2,AWS_2[[#This Row],[Column26]]=2,AWS_2[[#This Row],[Column27]]=2),"1",(IF(AWS_2[[#This Row],[Column9]]="x","2",(IF(AWS_2[[#This Row],[Column10]]="x","3","")))))))</f>
        <v>2</v>
      </c>
      <c r="AC41" s="454" t="str">
        <f>IF(AWS_2[[#This Row],[Column14]] = "-", AWS_2[[#This Row],[Column14]], LEFT(AWS_2[[#This Row],[Column14]], SEARCH(" ", AWS_2[[#This Row],[Column14]] &amp; " ") - 1))</f>
        <v>2.4.1</v>
      </c>
    </row>
    <row r="42" spans="1:29" ht="409.5">
      <c r="A4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2" s="137" t="str">
        <f>AWS_2[[#This Row],[Column30]]</f>
        <v>3.7</v>
      </c>
      <c r="C42" s="137">
        <v>3.11</v>
      </c>
      <c r="D42" s="138" t="s">
        <v>182</v>
      </c>
      <c r="E42" s="162" t="s">
        <v>156</v>
      </c>
      <c r="F42" s="489" t="s">
        <v>2103</v>
      </c>
      <c r="G42" s="139" t="s">
        <v>285</v>
      </c>
      <c r="H42" s="204"/>
      <c r="I42" s="164" t="s">
        <v>185</v>
      </c>
      <c r="J42" s="200" t="s">
        <v>185</v>
      </c>
      <c r="K42" s="176" t="s">
        <v>185</v>
      </c>
      <c r="L42" s="176" t="s">
        <v>185</v>
      </c>
      <c r="M42" s="158"/>
      <c r="N42" s="165" t="s">
        <v>304</v>
      </c>
      <c r="O42" s="197" t="s">
        <v>187</v>
      </c>
      <c r="P42" s="166" t="s">
        <v>305</v>
      </c>
      <c r="Q42" s="166" t="s">
        <v>306</v>
      </c>
      <c r="R42" s="167" t="s">
        <v>307</v>
      </c>
      <c r="S42" s="166" t="s">
        <v>308</v>
      </c>
      <c r="T42" s="166" t="s">
        <v>309</v>
      </c>
      <c r="U42" s="158" t="s">
        <v>975</v>
      </c>
      <c r="V42" s="168" t="s">
        <v>968</v>
      </c>
      <c r="W42" s="158" t="s">
        <v>967</v>
      </c>
      <c r="X42" s="158" t="s">
        <v>185</v>
      </c>
      <c r="Y42" s="158" t="s">
        <v>185</v>
      </c>
      <c r="Z42" s="158"/>
      <c r="AA42" s="158" t="str">
        <f>IF(AWS_2[[#This Row],[Column14]]="-","", "v")</f>
        <v>v</v>
      </c>
      <c r="AB42" s="158" t="str">
        <f>IF(AWS_2[[#This Row],[Column8]]="x","1",(IF(OR(AWS_2[[#This Row],[Column25]]=2,AWS_2[[#This Row],[Column26]]=2,AWS_2[[#This Row],[Column27]]=2),"1",(IF(AWS_2[[#This Row],[Column9]]="x","2",(IF(AWS_2[[#This Row],[Column10]]="x","3","")))))))</f>
        <v>2</v>
      </c>
      <c r="AC42" s="454" t="str">
        <f>IF(AWS_2[[#This Row],[Column14]] = "-", AWS_2[[#This Row],[Column14]], LEFT(AWS_2[[#This Row],[Column14]], SEARCH(" ", AWS_2[[#This Row],[Column14]] &amp; " ") - 1))</f>
        <v>3.7</v>
      </c>
    </row>
    <row r="43" spans="1:29" ht="409.5">
      <c r="A4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3" s="137" t="str">
        <f>AWS_2[[#This Row],[Column30]]</f>
        <v>3.8</v>
      </c>
      <c r="C43" s="137">
        <v>3.11</v>
      </c>
      <c r="D43" s="138" t="s">
        <v>182</v>
      </c>
      <c r="E43" s="162" t="s">
        <v>156</v>
      </c>
      <c r="F43" s="489" t="s">
        <v>2103</v>
      </c>
      <c r="G43" s="139" t="s">
        <v>285</v>
      </c>
      <c r="H43" s="204"/>
      <c r="I43" s="164" t="s">
        <v>185</v>
      </c>
      <c r="J43" s="200" t="s">
        <v>185</v>
      </c>
      <c r="K43" s="176" t="s">
        <v>185</v>
      </c>
      <c r="L43" s="176" t="s">
        <v>185</v>
      </c>
      <c r="M43" s="158"/>
      <c r="N43" s="165" t="s">
        <v>310</v>
      </c>
      <c r="O43" s="197" t="s">
        <v>187</v>
      </c>
      <c r="P43" s="166" t="s">
        <v>311</v>
      </c>
      <c r="Q43" s="166" t="s">
        <v>312</v>
      </c>
      <c r="R43" s="167" t="s">
        <v>313</v>
      </c>
      <c r="S43" s="166" t="s">
        <v>314</v>
      </c>
      <c r="T43" s="166" t="s">
        <v>315</v>
      </c>
      <c r="U43" s="158" t="s">
        <v>162</v>
      </c>
      <c r="V43" s="168" t="s">
        <v>904</v>
      </c>
      <c r="W43" s="158" t="s">
        <v>967</v>
      </c>
      <c r="X43" s="158" t="s">
        <v>185</v>
      </c>
      <c r="Y43" s="158" t="s">
        <v>185</v>
      </c>
      <c r="Z43" s="158"/>
      <c r="AA43" s="158" t="str">
        <f>IF(AWS_2[[#This Row],[Column14]]="-","", "v")</f>
        <v>v</v>
      </c>
      <c r="AB43" s="158" t="str">
        <f>IF(AWS_2[[#This Row],[Column8]]="x","1",(IF(OR(AWS_2[[#This Row],[Column25]]=2,AWS_2[[#This Row],[Column26]]=2,AWS_2[[#This Row],[Column27]]=2),"1",(IF(AWS_2[[#This Row],[Column9]]="x","2",(IF(AWS_2[[#This Row],[Column10]]="x","3","")))))))</f>
        <v>2</v>
      </c>
      <c r="AC43" s="454" t="str">
        <f>IF(AWS_2[[#This Row],[Column14]] = "-", AWS_2[[#This Row],[Column14]], LEFT(AWS_2[[#This Row],[Column14]], SEARCH(" ", AWS_2[[#This Row],[Column14]] &amp; " ") - 1))</f>
        <v>3.8</v>
      </c>
    </row>
    <row r="44" spans="1:29" ht="270.75">
      <c r="A4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4" s="137" t="str">
        <f>AWS_2[[#This Row],[Column30]]</f>
        <v>5.6</v>
      </c>
      <c r="C44" s="137">
        <v>3.11</v>
      </c>
      <c r="D44" s="138" t="s">
        <v>182</v>
      </c>
      <c r="E44" s="162" t="s">
        <v>156</v>
      </c>
      <c r="F44" s="489" t="s">
        <v>2103</v>
      </c>
      <c r="G44" s="139" t="s">
        <v>285</v>
      </c>
      <c r="H44" s="204"/>
      <c r="I44" s="164" t="s">
        <v>185</v>
      </c>
      <c r="J44" s="200" t="s">
        <v>185</v>
      </c>
      <c r="K44" s="176" t="s">
        <v>185</v>
      </c>
      <c r="L44" s="176" t="s">
        <v>185</v>
      </c>
      <c r="M44" s="158"/>
      <c r="N44" s="165" t="s">
        <v>316</v>
      </c>
      <c r="O44" s="197" t="s">
        <v>198</v>
      </c>
      <c r="P44" s="166" t="s">
        <v>317</v>
      </c>
      <c r="Q44" s="166" t="s">
        <v>318</v>
      </c>
      <c r="R44" s="167" t="s">
        <v>319</v>
      </c>
      <c r="S44" s="166" t="s">
        <v>320</v>
      </c>
      <c r="T44" s="166" t="s">
        <v>321</v>
      </c>
      <c r="U44" s="158" t="s">
        <v>975</v>
      </c>
      <c r="V44" s="168" t="s">
        <v>903</v>
      </c>
      <c r="W44" s="158" t="s">
        <v>967</v>
      </c>
      <c r="X44" s="158" t="s">
        <v>185</v>
      </c>
      <c r="Y44" s="158" t="s">
        <v>185</v>
      </c>
      <c r="Z44" s="158"/>
      <c r="AA44" s="158" t="str">
        <f>IF(AWS_2[[#This Row],[Column14]]="-","", "v")</f>
        <v>v</v>
      </c>
      <c r="AB44" s="158" t="str">
        <f>IF(AWS_2[[#This Row],[Column8]]="x","1",(IF(OR(AWS_2[[#This Row],[Column25]]=2,AWS_2[[#This Row],[Column26]]=2,AWS_2[[#This Row],[Column27]]=2),"1",(IF(AWS_2[[#This Row],[Column9]]="x","2",(IF(AWS_2[[#This Row],[Column10]]="x","3","")))))))</f>
        <v>2</v>
      </c>
      <c r="AC44" s="454" t="str">
        <f>IF(AWS_2[[#This Row],[Column14]] = "-", AWS_2[[#This Row],[Column14]], LEFT(AWS_2[[#This Row],[Column14]], SEARCH(" ", AWS_2[[#This Row],[Column14]] &amp; " ") - 1))</f>
        <v>5.6</v>
      </c>
    </row>
    <row r="45" spans="1:29" ht="30">
      <c r="A4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5" s="137" t="str">
        <f>AWS_2[[#This Row],[Column30]]</f>
        <v>-</v>
      </c>
      <c r="C45" s="137">
        <v>3.12</v>
      </c>
      <c r="D45" s="138" t="s">
        <v>390</v>
      </c>
      <c r="E45" s="162" t="s">
        <v>156</v>
      </c>
      <c r="F45" s="489" t="s">
        <v>2104</v>
      </c>
      <c r="G45" s="139" t="s">
        <v>392</v>
      </c>
      <c r="H45" s="137"/>
      <c r="I45" s="164" t="s">
        <v>185</v>
      </c>
      <c r="J45" s="200" t="s">
        <v>185</v>
      </c>
      <c r="K45" s="176" t="s">
        <v>185</v>
      </c>
      <c r="L45" s="158"/>
      <c r="M45" s="158"/>
      <c r="N45" s="165" t="s">
        <v>162</v>
      </c>
      <c r="O45" s="165" t="s">
        <v>162</v>
      </c>
      <c r="P45" s="165" t="s">
        <v>162</v>
      </c>
      <c r="Q45" s="165" t="s">
        <v>162</v>
      </c>
      <c r="R45" s="167"/>
      <c r="S45" s="165" t="s">
        <v>162</v>
      </c>
      <c r="T45" s="165" t="s">
        <v>162</v>
      </c>
      <c r="U45" s="158" t="s">
        <v>162</v>
      </c>
      <c r="V45" s="168"/>
      <c r="W45" s="158" t="s">
        <v>966</v>
      </c>
      <c r="X45" s="158" t="s">
        <v>185</v>
      </c>
      <c r="Y45" s="158" t="s">
        <v>185</v>
      </c>
      <c r="Z45" s="158"/>
      <c r="AA45" s="158" t="str">
        <f>IF(AWS_2[[#This Row],[Column14]]="-","", "v")</f>
        <v/>
      </c>
      <c r="AB45" s="158" t="str">
        <f>IF(AWS_2[[#This Row],[Column8]]="x","1",(IF(OR(AWS_2[[#This Row],[Column25]]=2,AWS_2[[#This Row],[Column26]]=2,AWS_2[[#This Row],[Column27]]=2),"1",(IF(AWS_2[[#This Row],[Column9]]="x","2",(IF(AWS_2[[#This Row],[Column10]]="x","3","")))))))</f>
        <v>2</v>
      </c>
      <c r="AC45" s="454" t="str">
        <f>IF(AWS_2[[#This Row],[Column14]] = "-", AWS_2[[#This Row],[Column14]], LEFT(AWS_2[[#This Row],[Column14]], SEARCH(" ", AWS_2[[#This Row],[Column14]] &amp; " ") - 1))</f>
        <v>-</v>
      </c>
    </row>
    <row r="46" spans="1:29" ht="60">
      <c r="A4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46" s="137" t="str">
        <f>AWS_2[[#This Row],[Column30]]</f>
        <v>-</v>
      </c>
      <c r="C46" s="137">
        <v>3.13</v>
      </c>
      <c r="D46" s="138" t="s">
        <v>182</v>
      </c>
      <c r="E46" s="162" t="s">
        <v>156</v>
      </c>
      <c r="F46" s="489" t="s">
        <v>2105</v>
      </c>
      <c r="G46" s="138" t="s">
        <v>323</v>
      </c>
      <c r="H46" s="204"/>
      <c r="I46" s="204"/>
      <c r="J46" s="200" t="s">
        <v>185</v>
      </c>
      <c r="K46" s="176" t="s">
        <v>185</v>
      </c>
      <c r="L46" s="158"/>
      <c r="M46" s="158"/>
      <c r="N46" s="165" t="s">
        <v>162</v>
      </c>
      <c r="O46" s="165" t="s">
        <v>162</v>
      </c>
      <c r="P46" s="165" t="s">
        <v>162</v>
      </c>
      <c r="Q46" s="165" t="s">
        <v>162</v>
      </c>
      <c r="R46" s="167"/>
      <c r="S46" s="165" t="s">
        <v>162</v>
      </c>
      <c r="T46" s="165" t="s">
        <v>162</v>
      </c>
      <c r="U46" s="158" t="s">
        <v>162</v>
      </c>
      <c r="V46" s="168"/>
      <c r="W46" s="158" t="s">
        <v>967</v>
      </c>
      <c r="X46" s="158" t="s">
        <v>185</v>
      </c>
      <c r="Y46" s="158" t="s">
        <v>185</v>
      </c>
      <c r="Z46" s="158"/>
      <c r="AA46" s="158" t="str">
        <f>IF(AWS_2[[#This Row],[Column14]]="-","", "v")</f>
        <v/>
      </c>
      <c r="AB46" s="158" t="str">
        <f>IF(AWS_2[[#This Row],[Column8]]="x","1",(IF(OR(AWS_2[[#This Row],[Column25]]=2,AWS_2[[#This Row],[Column26]]=2,AWS_2[[#This Row],[Column27]]=2),"1",(IF(AWS_2[[#This Row],[Column9]]="x","2",(IF(AWS_2[[#This Row],[Column10]]="x","3","")))))))</f>
        <v>3</v>
      </c>
      <c r="AC46" s="454" t="str">
        <f>IF(AWS_2[[#This Row],[Column14]] = "-", AWS_2[[#This Row],[Column14]], LEFT(AWS_2[[#This Row],[Column14]], SEARCH(" ", AWS_2[[#This Row],[Column14]] &amp; " ") - 1))</f>
        <v>-</v>
      </c>
    </row>
    <row r="47" spans="1:29" ht="409.5">
      <c r="A4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47" s="137" t="str">
        <f>AWS_2[[#This Row],[Column30]]</f>
        <v>3.6</v>
      </c>
      <c r="C47" s="137">
        <v>3.14</v>
      </c>
      <c r="D47" s="138" t="s">
        <v>182</v>
      </c>
      <c r="E47" s="162" t="s">
        <v>155</v>
      </c>
      <c r="F47" s="489" t="s">
        <v>2106</v>
      </c>
      <c r="G47" s="138" t="s">
        <v>325</v>
      </c>
      <c r="H47" s="137"/>
      <c r="I47" s="137"/>
      <c r="J47" s="200" t="s">
        <v>185</v>
      </c>
      <c r="K47" s="176" t="s">
        <v>185</v>
      </c>
      <c r="L47" s="176" t="s">
        <v>185</v>
      </c>
      <c r="M47" s="176" t="s">
        <v>185</v>
      </c>
      <c r="N47" s="165" t="s">
        <v>326</v>
      </c>
      <c r="O47" s="197" t="s">
        <v>198</v>
      </c>
      <c r="P47" s="166" t="s">
        <v>327</v>
      </c>
      <c r="Q47" s="166" t="s">
        <v>328</v>
      </c>
      <c r="R47" s="167" t="s">
        <v>329</v>
      </c>
      <c r="S47" s="166" t="s">
        <v>330</v>
      </c>
      <c r="T47" s="166" t="s">
        <v>331</v>
      </c>
      <c r="U47" s="158" t="s">
        <v>162</v>
      </c>
      <c r="V47" s="168" t="s">
        <v>905</v>
      </c>
      <c r="W47" s="158" t="s">
        <v>967</v>
      </c>
      <c r="X47" s="158" t="s">
        <v>185</v>
      </c>
      <c r="Y47" s="158" t="s">
        <v>185</v>
      </c>
      <c r="Z47" s="158"/>
      <c r="AA47" s="158" t="str">
        <f>IF(AWS_2[[#This Row],[Column14]]="-","", "v")</f>
        <v>v</v>
      </c>
      <c r="AB47" s="158" t="str">
        <f>IF(AWS_2[[#This Row],[Column8]]="x","1",(IF(OR(AWS_2[[#This Row],[Column25]]=2,AWS_2[[#This Row],[Column26]]=2,AWS_2[[#This Row],[Column27]]=2),"1",(IF(AWS_2[[#This Row],[Column9]]="x","2",(IF(AWS_2[[#This Row],[Column10]]="x","3","")))))))</f>
        <v>3</v>
      </c>
      <c r="AC47" s="454" t="str">
        <f>IF(AWS_2[[#This Row],[Column14]] = "-", AWS_2[[#This Row],[Column14]], LEFT(AWS_2[[#This Row],[Column14]], SEARCH(" ", AWS_2[[#This Row],[Column14]] &amp; " ") - 1))</f>
        <v>3.6</v>
      </c>
    </row>
    <row r="48" spans="1:29" ht="60">
      <c r="A48" s="178" t="s">
        <v>942</v>
      </c>
      <c r="B48" s="154" t="s">
        <v>162</v>
      </c>
      <c r="C48" s="154" t="s">
        <v>162</v>
      </c>
      <c r="D48" s="154" t="s">
        <v>162</v>
      </c>
      <c r="E48" s="154" t="s">
        <v>162</v>
      </c>
      <c r="F48" s="488" t="s">
        <v>2107</v>
      </c>
      <c r="G48" s="157" t="s">
        <v>394</v>
      </c>
      <c r="H48" s="154"/>
      <c r="I48" s="154"/>
      <c r="J48" s="154"/>
      <c r="K48" s="154"/>
      <c r="L48" s="154"/>
      <c r="M48" s="154"/>
      <c r="N48" s="154" t="s">
        <v>162</v>
      </c>
      <c r="O48" s="154" t="s">
        <v>162</v>
      </c>
      <c r="P48" s="154" t="s">
        <v>162</v>
      </c>
      <c r="Q48" s="154" t="s">
        <v>162</v>
      </c>
      <c r="R48" s="154" t="s">
        <v>162</v>
      </c>
      <c r="S48" s="154" t="s">
        <v>162</v>
      </c>
      <c r="T48" s="154" t="s">
        <v>162</v>
      </c>
      <c r="U48" s="245" t="s">
        <v>162</v>
      </c>
      <c r="V48" s="245" t="s">
        <v>162</v>
      </c>
      <c r="W48" s="245" t="s">
        <v>162</v>
      </c>
      <c r="X48" s="245" t="s">
        <v>162</v>
      </c>
      <c r="Y48" s="245" t="s">
        <v>162</v>
      </c>
      <c r="Z48" s="245" t="s">
        <v>162</v>
      </c>
      <c r="AA48" s="154" t="s">
        <v>162</v>
      </c>
      <c r="AB48" s="154" t="s">
        <v>162</v>
      </c>
      <c r="AC48" s="454" t="str">
        <f>IF(AWS_2[[#This Row],[Column14]] = "-", AWS_2[[#This Row],[Column14]], LEFT(AWS_2[[#This Row],[Column14]], SEARCH(" ", AWS_2[[#This Row],[Column14]] &amp; " ") - 1))</f>
        <v>-</v>
      </c>
    </row>
    <row r="49" spans="1:29" ht="75">
      <c r="A4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NOT(ISBLANK(K49)),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NOT(ISBLANK(L49)),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NOT(ISBLANK(M49)),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49" s="137" t="str">
        <f>AWS_2[[#This Row],[Column30]]</f>
        <v>-</v>
      </c>
      <c r="C49" s="137">
        <v>4.0999999999999996</v>
      </c>
      <c r="D49" s="138" t="s">
        <v>371</v>
      </c>
      <c r="E49" s="162" t="s">
        <v>156</v>
      </c>
      <c r="F49" s="489" t="s">
        <v>2108</v>
      </c>
      <c r="G49" s="139" t="s">
        <v>396</v>
      </c>
      <c r="H49" s="163" t="s">
        <v>185</v>
      </c>
      <c r="I49" s="164" t="s">
        <v>185</v>
      </c>
      <c r="J49" s="200" t="s">
        <v>185</v>
      </c>
      <c r="K49" s="176" t="s">
        <v>185</v>
      </c>
      <c r="L49" s="176" t="s">
        <v>185</v>
      </c>
      <c r="M49" s="176" t="s">
        <v>185</v>
      </c>
      <c r="N49" s="165" t="s">
        <v>162</v>
      </c>
      <c r="O49" s="165" t="s">
        <v>162</v>
      </c>
      <c r="P49" s="165" t="s">
        <v>162</v>
      </c>
      <c r="Q49" s="165" t="s">
        <v>162</v>
      </c>
      <c r="R49" s="167"/>
      <c r="S49" s="165" t="s">
        <v>162</v>
      </c>
      <c r="T49" s="165" t="s">
        <v>162</v>
      </c>
      <c r="U49" s="158" t="s">
        <v>162</v>
      </c>
      <c r="V49" s="168"/>
      <c r="W49" s="158" t="s">
        <v>966</v>
      </c>
      <c r="X49" s="158" t="s">
        <v>185</v>
      </c>
      <c r="Y49" s="158" t="s">
        <v>185</v>
      </c>
      <c r="Z49" s="158" t="s">
        <v>185</v>
      </c>
      <c r="AA49" s="158" t="str">
        <f>IF(AWS_2[[#This Row],[Column14]]="-","", "v")</f>
        <v/>
      </c>
      <c r="AB49" s="158" t="str">
        <f>IF(AWS_2[[#This Row],[Column8]]="x","1",(IF(OR(AWS_2[[#This Row],[Column25]]=2,AWS_2[[#This Row],[Column26]]=2,AWS_2[[#This Row],[Column27]]=2),"1",(IF(AWS_2[[#This Row],[Column9]]="x","2",(IF(AWS_2[[#This Row],[Column10]]="x","3","")))))))</f>
        <v>1</v>
      </c>
      <c r="AC49" s="454" t="str">
        <f>IF(AWS_2[[#This Row],[Column14]] = "-", AWS_2[[#This Row],[Column14]], LEFT(AWS_2[[#This Row],[Column14]], SEARCH(" ", AWS_2[[#This Row],[Column14]] &amp; " ") - 1))</f>
        <v>-</v>
      </c>
    </row>
    <row r="50" spans="1:29" ht="45">
      <c r="A5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0" s="137" t="str">
        <f>AWS_2[[#This Row],[Column30]]</f>
        <v>-</v>
      </c>
      <c r="C50" s="137">
        <v>4.2</v>
      </c>
      <c r="D50" s="138" t="s">
        <v>390</v>
      </c>
      <c r="E50" s="162" t="s">
        <v>156</v>
      </c>
      <c r="F50" s="489" t="s">
        <v>2109</v>
      </c>
      <c r="G50" s="138" t="s">
        <v>398</v>
      </c>
      <c r="H50" s="163" t="s">
        <v>185</v>
      </c>
      <c r="I50" s="164" t="s">
        <v>185</v>
      </c>
      <c r="J50" s="200" t="s">
        <v>185</v>
      </c>
      <c r="K50" s="176" t="s">
        <v>185</v>
      </c>
      <c r="L50" s="176" t="s">
        <v>185</v>
      </c>
      <c r="M50" s="176"/>
      <c r="N50" s="165" t="s">
        <v>162</v>
      </c>
      <c r="O50" s="165" t="s">
        <v>162</v>
      </c>
      <c r="P50" s="165" t="s">
        <v>162</v>
      </c>
      <c r="Q50" s="165" t="s">
        <v>162</v>
      </c>
      <c r="R50" s="167"/>
      <c r="S50" s="165" t="s">
        <v>162</v>
      </c>
      <c r="T50" s="165" t="s">
        <v>162</v>
      </c>
      <c r="U50" s="158" t="s">
        <v>162</v>
      </c>
      <c r="V50" s="168"/>
      <c r="W50" s="158" t="s">
        <v>966</v>
      </c>
      <c r="X50" s="158" t="s">
        <v>185</v>
      </c>
      <c r="Y50" s="158" t="s">
        <v>185</v>
      </c>
      <c r="Z50" s="158" t="s">
        <v>185</v>
      </c>
      <c r="AA50" s="158" t="str">
        <f>IF(AWS_2[[#This Row],[Column14]]="-","", "v")</f>
        <v/>
      </c>
      <c r="AB50" s="158" t="str">
        <f>IF(AWS_2[[#This Row],[Column8]]="x","1",(IF(OR(AWS_2[[#This Row],[Column25]]=2,AWS_2[[#This Row],[Column26]]=2,AWS_2[[#This Row],[Column27]]=2),"1",(IF(AWS_2[[#This Row],[Column9]]="x","2",(IF(AWS_2[[#This Row],[Column10]]="x","3","")))))))</f>
        <v>1</v>
      </c>
      <c r="AC50" s="454" t="str">
        <f>IF(AWS_2[[#This Row],[Column14]] = "-", AWS_2[[#This Row],[Column14]], LEFT(AWS_2[[#This Row],[Column14]], SEARCH(" ", AWS_2[[#This Row],[Column14]] &amp; " ") - 1))</f>
        <v>-</v>
      </c>
    </row>
    <row r="51" spans="1:29" ht="45">
      <c r="A5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1" s="137" t="str">
        <f>AWS_2[[#This Row],[Column30]]</f>
        <v>-</v>
      </c>
      <c r="C51" s="137">
        <v>4.3</v>
      </c>
      <c r="D51" s="138" t="s">
        <v>399</v>
      </c>
      <c r="E51" s="162" t="s">
        <v>156</v>
      </c>
      <c r="F51" s="489" t="s">
        <v>2110</v>
      </c>
      <c r="G51" s="138" t="s">
        <v>401</v>
      </c>
      <c r="H51" s="163" t="s">
        <v>185</v>
      </c>
      <c r="I51" s="164" t="s">
        <v>185</v>
      </c>
      <c r="J51" s="200" t="s">
        <v>185</v>
      </c>
      <c r="K51" s="176" t="s">
        <v>185</v>
      </c>
      <c r="L51" s="176"/>
      <c r="M51" s="176"/>
      <c r="N51" s="165" t="s">
        <v>162</v>
      </c>
      <c r="O51" s="165" t="s">
        <v>162</v>
      </c>
      <c r="P51" s="165" t="s">
        <v>162</v>
      </c>
      <c r="Q51" s="165" t="s">
        <v>162</v>
      </c>
      <c r="R51" s="167"/>
      <c r="S51" s="165" t="s">
        <v>162</v>
      </c>
      <c r="T51" s="165" t="s">
        <v>162</v>
      </c>
      <c r="U51" s="158" t="s">
        <v>162</v>
      </c>
      <c r="V51" s="168"/>
      <c r="W51" s="158" t="s">
        <v>967</v>
      </c>
      <c r="X51" s="158" t="s">
        <v>185</v>
      </c>
      <c r="Y51" s="158" t="s">
        <v>185</v>
      </c>
      <c r="Z51" s="158" t="s">
        <v>185</v>
      </c>
      <c r="AA51" s="158" t="str">
        <f>IF(AWS_2[[#This Row],[Column14]]="-","", "v")</f>
        <v/>
      </c>
      <c r="AB51" s="158" t="str">
        <f>IF(AWS_2[[#This Row],[Column8]]="x","1",(IF(OR(AWS_2[[#This Row],[Column25]]=2,AWS_2[[#This Row],[Column26]]=2,AWS_2[[#This Row],[Column27]]=2),"1",(IF(AWS_2[[#This Row],[Column9]]="x","2",(IF(AWS_2[[#This Row],[Column10]]="x","3","")))))))</f>
        <v>1</v>
      </c>
      <c r="AC51" s="454" t="str">
        <f>IF(AWS_2[[#This Row],[Column14]] = "-", AWS_2[[#This Row],[Column14]], LEFT(AWS_2[[#This Row],[Column14]], SEARCH(" ", AWS_2[[#This Row],[Column14]] &amp; " ") - 1))</f>
        <v>-</v>
      </c>
    </row>
    <row r="52" spans="1:29" ht="45">
      <c r="A5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2" s="137" t="str">
        <f>AWS_2[[#This Row],[Column30]]</f>
        <v>-</v>
      </c>
      <c r="C52" s="137">
        <v>4.4000000000000004</v>
      </c>
      <c r="D52" s="138" t="s">
        <v>352</v>
      </c>
      <c r="E52" s="162" t="s">
        <v>156</v>
      </c>
      <c r="F52" s="489" t="s">
        <v>2111</v>
      </c>
      <c r="G52" s="138" t="s">
        <v>403</v>
      </c>
      <c r="H52" s="163" t="s">
        <v>185</v>
      </c>
      <c r="I52" s="164" t="s">
        <v>185</v>
      </c>
      <c r="J52" s="200" t="s">
        <v>185</v>
      </c>
      <c r="K52" s="176" t="s">
        <v>185</v>
      </c>
      <c r="L52" s="176" t="s">
        <v>185</v>
      </c>
      <c r="M52" s="176"/>
      <c r="N52" s="165" t="s">
        <v>162</v>
      </c>
      <c r="O52" s="165" t="s">
        <v>162</v>
      </c>
      <c r="P52" s="165" t="s">
        <v>162</v>
      </c>
      <c r="Q52" s="165" t="s">
        <v>162</v>
      </c>
      <c r="R52" s="167"/>
      <c r="S52" s="165" t="s">
        <v>162</v>
      </c>
      <c r="T52" s="165" t="s">
        <v>162</v>
      </c>
      <c r="U52" s="158" t="s">
        <v>162</v>
      </c>
      <c r="V52" s="168"/>
      <c r="W52" s="158" t="s">
        <v>967</v>
      </c>
      <c r="X52" s="158" t="s">
        <v>185</v>
      </c>
      <c r="Y52" s="158" t="s">
        <v>185</v>
      </c>
      <c r="Z52" s="158" t="s">
        <v>185</v>
      </c>
      <c r="AA52" s="158" t="str">
        <f>IF(AWS_2[[#This Row],[Column14]]="-","", "v")</f>
        <v/>
      </c>
      <c r="AB52" s="158" t="str">
        <f>IF(AWS_2[[#This Row],[Column8]]="x","1",(IF(OR(AWS_2[[#This Row],[Column25]]=2,AWS_2[[#This Row],[Column26]]=2,AWS_2[[#This Row],[Column27]]=2),"1",(IF(AWS_2[[#This Row],[Column9]]="x","2",(IF(AWS_2[[#This Row],[Column10]]="x","3","")))))))</f>
        <v>1</v>
      </c>
      <c r="AC52" s="454" t="str">
        <f>IF(AWS_2[[#This Row],[Column14]] = "-", AWS_2[[#This Row],[Column14]], LEFT(AWS_2[[#This Row],[Column14]], SEARCH(" ", AWS_2[[#This Row],[Column14]] &amp; " ") - 1))</f>
        <v>-</v>
      </c>
    </row>
    <row r="53" spans="1:29" ht="45">
      <c r="A5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3" s="137" t="str">
        <f>AWS_2[[#This Row],[Column30]]</f>
        <v>-</v>
      </c>
      <c r="C53" s="137">
        <v>4.5</v>
      </c>
      <c r="D53" s="138" t="s">
        <v>352</v>
      </c>
      <c r="E53" s="162" t="s">
        <v>156</v>
      </c>
      <c r="F53" s="489" t="s">
        <v>2112</v>
      </c>
      <c r="G53" s="138" t="s">
        <v>405</v>
      </c>
      <c r="H53" s="163" t="s">
        <v>185</v>
      </c>
      <c r="I53" s="164" t="s">
        <v>185</v>
      </c>
      <c r="J53" s="200" t="s">
        <v>185</v>
      </c>
      <c r="K53" s="176" t="s">
        <v>185</v>
      </c>
      <c r="L53" s="176" t="s">
        <v>185</v>
      </c>
      <c r="M53" s="176"/>
      <c r="N53" s="165" t="s">
        <v>162</v>
      </c>
      <c r="O53" s="165" t="s">
        <v>162</v>
      </c>
      <c r="P53" s="165" t="s">
        <v>162</v>
      </c>
      <c r="Q53" s="165" t="s">
        <v>162</v>
      </c>
      <c r="R53" s="167"/>
      <c r="S53" s="165" t="s">
        <v>162</v>
      </c>
      <c r="T53" s="165" t="s">
        <v>162</v>
      </c>
      <c r="U53" s="158" t="s">
        <v>162</v>
      </c>
      <c r="V53" s="168"/>
      <c r="W53" s="158" t="s">
        <v>967</v>
      </c>
      <c r="X53" s="158" t="s">
        <v>185</v>
      </c>
      <c r="Y53" s="158" t="s">
        <v>185</v>
      </c>
      <c r="Z53" s="158" t="s">
        <v>185</v>
      </c>
      <c r="AA53" s="158" t="str">
        <f>IF(AWS_2[[#This Row],[Column14]]="-","", "v")</f>
        <v/>
      </c>
      <c r="AB53" s="158" t="str">
        <f>IF(AWS_2[[#This Row],[Column8]]="x","1",(IF(OR(AWS_2[[#This Row],[Column25]]=2,AWS_2[[#This Row],[Column26]]=2,AWS_2[[#This Row],[Column27]]=2),"1",(IF(AWS_2[[#This Row],[Column9]]="x","2",(IF(AWS_2[[#This Row],[Column10]]="x","3","")))))))</f>
        <v>1</v>
      </c>
      <c r="AC53" s="454" t="str">
        <f>IF(AWS_2[[#This Row],[Column14]] = "-", AWS_2[[#This Row],[Column14]], LEFT(AWS_2[[#This Row],[Column14]], SEARCH(" ", AWS_2[[#This Row],[Column14]] &amp; " ") - 1))</f>
        <v>-</v>
      </c>
    </row>
    <row r="54" spans="1:29" ht="90">
      <c r="A5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4" s="137" t="str">
        <f>AWS_2[[#This Row],[Column30]]</f>
        <v>-</v>
      </c>
      <c r="C54" s="137">
        <v>4.5999999999999996</v>
      </c>
      <c r="D54" s="138" t="s">
        <v>390</v>
      </c>
      <c r="E54" s="162" t="s">
        <v>156</v>
      </c>
      <c r="F54" s="489" t="s">
        <v>2113</v>
      </c>
      <c r="G54" s="139" t="s">
        <v>407</v>
      </c>
      <c r="H54" s="163" t="s">
        <v>185</v>
      </c>
      <c r="I54" s="164" t="s">
        <v>185</v>
      </c>
      <c r="J54" s="200" t="s">
        <v>185</v>
      </c>
      <c r="K54" s="176" t="s">
        <v>185</v>
      </c>
      <c r="L54" s="176" t="s">
        <v>185</v>
      </c>
      <c r="M54" s="176" t="s">
        <v>185</v>
      </c>
      <c r="N54" s="165" t="s">
        <v>162</v>
      </c>
      <c r="O54" s="165" t="s">
        <v>162</v>
      </c>
      <c r="P54" s="165" t="s">
        <v>162</v>
      </c>
      <c r="Q54" s="165" t="s">
        <v>162</v>
      </c>
      <c r="R54" s="167"/>
      <c r="S54" s="165" t="s">
        <v>162</v>
      </c>
      <c r="T54" s="165" t="s">
        <v>162</v>
      </c>
      <c r="U54" s="158" t="s">
        <v>162</v>
      </c>
      <c r="V54" s="168"/>
      <c r="W54" s="158" t="s">
        <v>967</v>
      </c>
      <c r="X54" s="158" t="s">
        <v>185</v>
      </c>
      <c r="Y54" s="158" t="s">
        <v>185</v>
      </c>
      <c r="Z54" s="158" t="s">
        <v>185</v>
      </c>
      <c r="AA54" s="158" t="str">
        <f>IF(AWS_2[[#This Row],[Column14]]="-","", "v")</f>
        <v/>
      </c>
      <c r="AB54" s="158" t="str">
        <f>IF(AWS_2[[#This Row],[Column8]]="x","1",(IF(OR(AWS_2[[#This Row],[Column25]]=2,AWS_2[[#This Row],[Column26]]=2,AWS_2[[#This Row],[Column27]]=2),"1",(IF(AWS_2[[#This Row],[Column9]]="x","2",(IF(AWS_2[[#This Row],[Column10]]="x","3","")))))))</f>
        <v>1</v>
      </c>
      <c r="AC54" s="454" t="str">
        <f>IF(AWS_2[[#This Row],[Column14]] = "-", AWS_2[[#This Row],[Column14]], LEFT(AWS_2[[#This Row],[Column14]], SEARCH(" ", AWS_2[[#This Row],[Column14]] &amp; " ") - 1))</f>
        <v>-</v>
      </c>
    </row>
    <row r="55" spans="1:29" ht="45">
      <c r="A5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5" s="137" t="str">
        <f>AWS_2[[#This Row],[Column30]]</f>
        <v>-</v>
      </c>
      <c r="C55" s="137">
        <v>4.7</v>
      </c>
      <c r="D55" s="138" t="s">
        <v>399</v>
      </c>
      <c r="E55" s="162" t="s">
        <v>156</v>
      </c>
      <c r="F55" s="489" t="s">
        <v>2114</v>
      </c>
      <c r="G55" s="139" t="s">
        <v>409</v>
      </c>
      <c r="H55" s="163" t="s">
        <v>185</v>
      </c>
      <c r="I55" s="164" t="s">
        <v>185</v>
      </c>
      <c r="J55" s="200" t="s">
        <v>185</v>
      </c>
      <c r="K55" s="176" t="s">
        <v>185</v>
      </c>
      <c r="L55" s="176" t="s">
        <v>185</v>
      </c>
      <c r="M55" s="176" t="s">
        <v>185</v>
      </c>
      <c r="N55" s="165" t="s">
        <v>162</v>
      </c>
      <c r="O55" s="165" t="s">
        <v>162</v>
      </c>
      <c r="P55" s="165" t="s">
        <v>162</v>
      </c>
      <c r="Q55" s="165" t="s">
        <v>162</v>
      </c>
      <c r="R55" s="167"/>
      <c r="S55" s="165" t="s">
        <v>162</v>
      </c>
      <c r="T55" s="165" t="s">
        <v>162</v>
      </c>
      <c r="U55" s="158" t="s">
        <v>162</v>
      </c>
      <c r="V55" s="168"/>
      <c r="W55" s="158" t="s">
        <v>967</v>
      </c>
      <c r="X55" s="158" t="s">
        <v>185</v>
      </c>
      <c r="Y55" s="158" t="s">
        <v>185</v>
      </c>
      <c r="Z55" s="158" t="s">
        <v>185</v>
      </c>
      <c r="AA55" s="158" t="str">
        <f>IF(AWS_2[[#This Row],[Column14]]="-","", "v")</f>
        <v/>
      </c>
      <c r="AB55" s="158" t="str">
        <f>IF(AWS_2[[#This Row],[Column8]]="x","1",(IF(OR(AWS_2[[#This Row],[Column25]]=2,AWS_2[[#This Row],[Column26]]=2,AWS_2[[#This Row],[Column27]]=2),"1",(IF(AWS_2[[#This Row],[Column9]]="x","2",(IF(AWS_2[[#This Row],[Column10]]="x","3","")))))))</f>
        <v>1</v>
      </c>
      <c r="AC55" s="454" t="str">
        <f>IF(AWS_2[[#This Row],[Column14]] = "-", AWS_2[[#This Row],[Column14]], LEFT(AWS_2[[#This Row],[Column14]], SEARCH(" ", AWS_2[[#This Row],[Column14]] &amp; " ") - 1))</f>
        <v>-</v>
      </c>
    </row>
    <row r="56" spans="1:29" ht="45">
      <c r="A5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6" s="137" t="str">
        <f>AWS_2[[#This Row],[Column30]]</f>
        <v>-</v>
      </c>
      <c r="C56" s="137">
        <v>4.8</v>
      </c>
      <c r="D56" s="138" t="s">
        <v>352</v>
      </c>
      <c r="E56" s="162" t="s">
        <v>156</v>
      </c>
      <c r="F56" s="489" t="s">
        <v>2115</v>
      </c>
      <c r="G56" s="139" t="s">
        <v>411</v>
      </c>
      <c r="H56" s="137"/>
      <c r="I56" s="164" t="s">
        <v>185</v>
      </c>
      <c r="J56" s="200" t="s">
        <v>185</v>
      </c>
      <c r="K56" s="176" t="s">
        <v>185</v>
      </c>
      <c r="L56" s="176" t="s">
        <v>185</v>
      </c>
      <c r="M56" s="176"/>
      <c r="N56" s="165" t="s">
        <v>162</v>
      </c>
      <c r="O56" s="165" t="s">
        <v>162</v>
      </c>
      <c r="P56" s="165" t="s">
        <v>162</v>
      </c>
      <c r="Q56" s="165" t="s">
        <v>162</v>
      </c>
      <c r="R56" s="167"/>
      <c r="S56" s="165" t="s">
        <v>162</v>
      </c>
      <c r="T56" s="165" t="s">
        <v>162</v>
      </c>
      <c r="U56" s="158" t="s">
        <v>162</v>
      </c>
      <c r="V56" s="168"/>
      <c r="W56" s="158" t="s">
        <v>967</v>
      </c>
      <c r="X56" s="158" t="s">
        <v>185</v>
      </c>
      <c r="Y56" s="158" t="s">
        <v>185</v>
      </c>
      <c r="Z56" s="158" t="s">
        <v>185</v>
      </c>
      <c r="AA56" s="158" t="str">
        <f>IF(AWS_2[[#This Row],[Column14]]="-","", "v")</f>
        <v/>
      </c>
      <c r="AB56" s="158" t="str">
        <f>IF(AWS_2[[#This Row],[Column8]]="x","1",(IF(OR(AWS_2[[#This Row],[Column25]]=2,AWS_2[[#This Row],[Column26]]=2,AWS_2[[#This Row],[Column27]]=2),"1",(IF(AWS_2[[#This Row],[Column9]]="x","2",(IF(AWS_2[[#This Row],[Column10]]="x","3","")))))))</f>
        <v>2</v>
      </c>
      <c r="AC56" s="454" t="str">
        <f>IF(AWS_2[[#This Row],[Column14]] = "-", AWS_2[[#This Row],[Column14]], LEFT(AWS_2[[#This Row],[Column14]], SEARCH(" ", AWS_2[[#This Row],[Column14]] &amp; " ") - 1))</f>
        <v>-</v>
      </c>
    </row>
    <row r="57" spans="1:29" ht="45">
      <c r="A5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7" s="137" t="str">
        <f>AWS_2[[#This Row],[Column30]]</f>
        <v>-</v>
      </c>
      <c r="C57" s="137">
        <v>4.9000000000000004</v>
      </c>
      <c r="D57" s="138" t="s">
        <v>352</v>
      </c>
      <c r="E57" s="162" t="s">
        <v>156</v>
      </c>
      <c r="F57" s="489" t="s">
        <v>2116</v>
      </c>
      <c r="G57" s="139" t="s">
        <v>413</v>
      </c>
      <c r="H57" s="204"/>
      <c r="I57" s="164" t="s">
        <v>185</v>
      </c>
      <c r="J57" s="200" t="s">
        <v>185</v>
      </c>
      <c r="K57" s="176" t="s">
        <v>185</v>
      </c>
      <c r="L57" s="176" t="s">
        <v>185</v>
      </c>
      <c r="M57" s="176"/>
      <c r="N57" s="165" t="s">
        <v>162</v>
      </c>
      <c r="O57" s="165" t="s">
        <v>162</v>
      </c>
      <c r="P57" s="165" t="s">
        <v>162</v>
      </c>
      <c r="Q57" s="165" t="s">
        <v>162</v>
      </c>
      <c r="R57" s="167"/>
      <c r="S57" s="165" t="s">
        <v>162</v>
      </c>
      <c r="T57" s="165" t="s">
        <v>162</v>
      </c>
      <c r="U57" s="158" t="s">
        <v>162</v>
      </c>
      <c r="V57" s="168"/>
      <c r="W57" s="158" t="s">
        <v>967</v>
      </c>
      <c r="X57" s="158" t="s">
        <v>185</v>
      </c>
      <c r="Y57" s="158" t="s">
        <v>185</v>
      </c>
      <c r="Z57" s="158" t="s">
        <v>185</v>
      </c>
      <c r="AA57" s="158" t="str">
        <f>IF(AWS_2[[#This Row],[Column14]]="-","", "v")</f>
        <v/>
      </c>
      <c r="AB57" s="158" t="str">
        <f>IF(AWS_2[[#This Row],[Column8]]="x","1",(IF(OR(AWS_2[[#This Row],[Column25]]=2,AWS_2[[#This Row],[Column26]]=2,AWS_2[[#This Row],[Column27]]=2),"1",(IF(AWS_2[[#This Row],[Column9]]="x","2",(IF(AWS_2[[#This Row],[Column10]]="x","3","")))))))</f>
        <v>2</v>
      </c>
      <c r="AC57" s="454" t="str">
        <f>IF(AWS_2[[#This Row],[Column14]] = "-", AWS_2[[#This Row],[Column14]], LEFT(AWS_2[[#This Row],[Column14]], SEARCH(" ", AWS_2[[#This Row],[Column14]] &amp; " ") - 1))</f>
        <v>-</v>
      </c>
    </row>
    <row r="58" spans="1:29" ht="90">
      <c r="A5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8" s="137" t="str">
        <f>AWS_2[[#This Row],[Column30]]</f>
        <v>-</v>
      </c>
      <c r="C58" s="141">
        <v>4.0999999999999996</v>
      </c>
      <c r="D58" s="138" t="s">
        <v>352</v>
      </c>
      <c r="E58" s="162" t="s">
        <v>157</v>
      </c>
      <c r="F58" s="489" t="s">
        <v>2117</v>
      </c>
      <c r="G58" s="139" t="s">
        <v>415</v>
      </c>
      <c r="H58" s="137"/>
      <c r="I58" s="164" t="s">
        <v>185</v>
      </c>
      <c r="J58" s="200" t="s">
        <v>185</v>
      </c>
      <c r="K58" s="176" t="s">
        <v>185</v>
      </c>
      <c r="L58" s="176" t="s">
        <v>185</v>
      </c>
      <c r="M58" s="176"/>
      <c r="N58" s="165" t="s">
        <v>162</v>
      </c>
      <c r="O58" s="165" t="s">
        <v>162</v>
      </c>
      <c r="P58" s="165" t="s">
        <v>162</v>
      </c>
      <c r="Q58" s="165" t="s">
        <v>162</v>
      </c>
      <c r="R58" s="167"/>
      <c r="S58" s="165" t="s">
        <v>162</v>
      </c>
      <c r="T58" s="165" t="s">
        <v>162</v>
      </c>
      <c r="U58" s="158" t="s">
        <v>162</v>
      </c>
      <c r="V58" s="168"/>
      <c r="W58" s="158" t="s">
        <v>967</v>
      </c>
      <c r="X58" s="158" t="s">
        <v>185</v>
      </c>
      <c r="Y58" s="158" t="s">
        <v>185</v>
      </c>
      <c r="Z58" s="158" t="s">
        <v>185</v>
      </c>
      <c r="AA58" s="158" t="str">
        <f>IF(AWS_2[[#This Row],[Column14]]="-","", "v")</f>
        <v/>
      </c>
      <c r="AB58" s="158" t="str">
        <f>IF(AWS_2[[#This Row],[Column8]]="x","1",(IF(OR(AWS_2[[#This Row],[Column25]]=2,AWS_2[[#This Row],[Column26]]=2,AWS_2[[#This Row],[Column27]]=2),"1",(IF(AWS_2[[#This Row],[Column9]]="x","2",(IF(AWS_2[[#This Row],[Column10]]="x","3","")))))))</f>
        <v>2</v>
      </c>
      <c r="AC58" s="454" t="str">
        <f>IF(AWS_2[[#This Row],[Column14]] = "-", AWS_2[[#This Row],[Column14]], LEFT(AWS_2[[#This Row],[Column14]], SEARCH(" ", AWS_2[[#This Row],[Column14]] &amp; " ") - 1))</f>
        <v>-</v>
      </c>
    </row>
    <row r="59" spans="1:29" ht="45">
      <c r="A5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NOT(ISBLANK(K59)),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NOT(ISBLANK(L59)),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NOT(ISBLANK(M59)),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59" s="137" t="str">
        <f>AWS_2[[#This Row],[Column30]]</f>
        <v>-</v>
      </c>
      <c r="C59" s="137">
        <v>4.1100000000000003</v>
      </c>
      <c r="D59" s="138" t="s">
        <v>352</v>
      </c>
      <c r="E59" s="162" t="s">
        <v>156</v>
      </c>
      <c r="F59" s="489" t="s">
        <v>2118</v>
      </c>
      <c r="G59" s="139" t="s">
        <v>417</v>
      </c>
      <c r="H59" s="204"/>
      <c r="I59" s="164" t="s">
        <v>185</v>
      </c>
      <c r="J59" s="200" t="s">
        <v>185</v>
      </c>
      <c r="K59" s="176" t="s">
        <v>185</v>
      </c>
      <c r="L59" s="176" t="s">
        <v>185</v>
      </c>
      <c r="M59" s="176"/>
      <c r="N59" s="165" t="s">
        <v>162</v>
      </c>
      <c r="O59" s="165" t="s">
        <v>162</v>
      </c>
      <c r="P59" s="165" t="s">
        <v>162</v>
      </c>
      <c r="Q59" s="165" t="s">
        <v>162</v>
      </c>
      <c r="R59" s="167"/>
      <c r="S59" s="165" t="s">
        <v>162</v>
      </c>
      <c r="T59" s="165" t="s">
        <v>162</v>
      </c>
      <c r="U59" s="158" t="s">
        <v>162</v>
      </c>
      <c r="V59" s="168"/>
      <c r="W59" s="158" t="s">
        <v>967</v>
      </c>
      <c r="X59" s="158" t="s">
        <v>185</v>
      </c>
      <c r="Y59" s="158" t="s">
        <v>185</v>
      </c>
      <c r="Z59" s="158" t="s">
        <v>185</v>
      </c>
      <c r="AA59" s="158" t="str">
        <f>IF(AWS_2[[#This Row],[Column14]]="-","", "v")</f>
        <v/>
      </c>
      <c r="AB59" s="158" t="str">
        <f>IF(AWS_2[[#This Row],[Column8]]="x","1",(IF(OR(AWS_2[[#This Row],[Column25]]=2,AWS_2[[#This Row],[Column26]]=2,AWS_2[[#This Row],[Column27]]=2),"1",(IF(AWS_2[[#This Row],[Column9]]="x","2",(IF(AWS_2[[#This Row],[Column10]]="x","3","")))))))</f>
        <v>2</v>
      </c>
      <c r="AC59" s="454" t="str">
        <f>IF(AWS_2[[#This Row],[Column14]] = "-", AWS_2[[#This Row],[Column14]], LEFT(AWS_2[[#This Row],[Column14]], SEARCH(" ", AWS_2[[#This Row],[Column14]] &amp; " ") - 1))</f>
        <v>-</v>
      </c>
    </row>
    <row r="60" spans="1:29" ht="60">
      <c r="A6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0" s="137" t="str">
        <f>AWS_2[[#This Row],[Column30]]</f>
        <v>-</v>
      </c>
      <c r="C60" s="137">
        <v>4.12</v>
      </c>
      <c r="D60" s="138" t="s">
        <v>352</v>
      </c>
      <c r="E60" s="162" t="s">
        <v>156</v>
      </c>
      <c r="F60" s="489" t="s">
        <v>2119</v>
      </c>
      <c r="G60" s="139" t="s">
        <v>419</v>
      </c>
      <c r="H60" s="137"/>
      <c r="I60" s="137"/>
      <c r="J60" s="200" t="s">
        <v>185</v>
      </c>
      <c r="K60" s="176" t="s">
        <v>185</v>
      </c>
      <c r="L60" s="176" t="s">
        <v>185</v>
      </c>
      <c r="M60" s="176"/>
      <c r="N60" s="165" t="s">
        <v>162</v>
      </c>
      <c r="O60" s="165" t="s">
        <v>162</v>
      </c>
      <c r="P60" s="165" t="s">
        <v>162</v>
      </c>
      <c r="Q60" s="165" t="s">
        <v>162</v>
      </c>
      <c r="R60" s="167"/>
      <c r="S60" s="165" t="s">
        <v>162</v>
      </c>
      <c r="T60" s="165" t="s">
        <v>162</v>
      </c>
      <c r="U60" s="158" t="s">
        <v>162</v>
      </c>
      <c r="V60" s="168"/>
      <c r="W60" s="158" t="s">
        <v>967</v>
      </c>
      <c r="X60" s="158" t="s">
        <v>185</v>
      </c>
      <c r="Y60" s="158" t="s">
        <v>185</v>
      </c>
      <c r="Z60" s="158" t="s">
        <v>185</v>
      </c>
      <c r="AA60" s="158" t="str">
        <f>IF(AWS_2[[#This Row],[Column14]]="-","", "v")</f>
        <v/>
      </c>
      <c r="AB60" s="158" t="str">
        <f>IF(AWS_2[[#This Row],[Column8]]="x","1",(IF(OR(AWS_2[[#This Row],[Column25]]=2,AWS_2[[#This Row],[Column26]]=2,AWS_2[[#This Row],[Column27]]=2),"1",(IF(AWS_2[[#This Row],[Column9]]="x","2",(IF(AWS_2[[#This Row],[Column10]]="x","3","")))))))</f>
        <v>3</v>
      </c>
      <c r="AC60" s="454" t="str">
        <f>IF(AWS_2[[#This Row],[Column14]] = "-", AWS_2[[#This Row],[Column14]], LEFT(AWS_2[[#This Row],[Column14]], SEARCH(" ", AWS_2[[#This Row],[Column14]] &amp; " ") - 1))</f>
        <v>-</v>
      </c>
    </row>
    <row r="61" spans="1:29" ht="45">
      <c r="A61" s="178" t="s">
        <v>942</v>
      </c>
      <c r="B61" s="154" t="s">
        <v>162</v>
      </c>
      <c r="C61" s="154" t="s">
        <v>162</v>
      </c>
      <c r="D61" s="154" t="s">
        <v>162</v>
      </c>
      <c r="E61" s="154" t="s">
        <v>162</v>
      </c>
      <c r="F61" s="488" t="s">
        <v>2120</v>
      </c>
      <c r="G61" s="157" t="s">
        <v>421</v>
      </c>
      <c r="H61" s="154"/>
      <c r="I61" s="154"/>
      <c r="J61" s="154"/>
      <c r="K61" s="161"/>
      <c r="L61" s="161"/>
      <c r="M61" s="161"/>
      <c r="N61" s="154" t="s">
        <v>162</v>
      </c>
      <c r="O61" s="154" t="s">
        <v>162</v>
      </c>
      <c r="P61" s="154" t="s">
        <v>162</v>
      </c>
      <c r="Q61" s="154" t="s">
        <v>162</v>
      </c>
      <c r="R61" s="167"/>
      <c r="S61" s="154" t="s">
        <v>162</v>
      </c>
      <c r="T61" s="154" t="s">
        <v>162</v>
      </c>
      <c r="U61" s="245" t="s">
        <v>162</v>
      </c>
      <c r="V61" s="245" t="s">
        <v>162</v>
      </c>
      <c r="W61" s="245" t="s">
        <v>162</v>
      </c>
      <c r="X61" s="245" t="s">
        <v>162</v>
      </c>
      <c r="Y61" s="245" t="s">
        <v>162</v>
      </c>
      <c r="Z61" s="245" t="s">
        <v>162</v>
      </c>
      <c r="AA61" s="154" t="s">
        <v>162</v>
      </c>
      <c r="AB61" s="154" t="s">
        <v>162</v>
      </c>
      <c r="AC61" s="454" t="str">
        <f>IF(AWS_2[[#This Row],[Column14]] = "-", AWS_2[[#This Row],[Column14]], LEFT(AWS_2[[#This Row],[Column14]], SEARCH(" ", AWS_2[[#This Row],[Column14]] &amp; " ") - 1))</f>
        <v>-</v>
      </c>
    </row>
    <row r="62" spans="1:29" ht="75">
      <c r="A6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2" s="137" t="str">
        <f>AWS_2[[#This Row],[Column30]]</f>
        <v>-</v>
      </c>
      <c r="C62" s="137">
        <v>5.0999999999999996</v>
      </c>
      <c r="D62" s="138" t="s">
        <v>399</v>
      </c>
      <c r="E62" s="162" t="s">
        <v>154</v>
      </c>
      <c r="F62" s="489" t="s">
        <v>2121</v>
      </c>
      <c r="G62" s="138" t="s">
        <v>447</v>
      </c>
      <c r="H62" s="163" t="s">
        <v>185</v>
      </c>
      <c r="I62" s="164" t="s">
        <v>185</v>
      </c>
      <c r="J62" s="200" t="s">
        <v>185</v>
      </c>
      <c r="K62" s="176" t="s">
        <v>185</v>
      </c>
      <c r="L62" s="176" t="s">
        <v>185</v>
      </c>
      <c r="M62" s="176" t="s">
        <v>185</v>
      </c>
      <c r="N62" s="165" t="s">
        <v>162</v>
      </c>
      <c r="O62" s="165" t="s">
        <v>162</v>
      </c>
      <c r="P62" s="165" t="s">
        <v>162</v>
      </c>
      <c r="Q62" s="165" t="s">
        <v>162</v>
      </c>
      <c r="R62" s="167"/>
      <c r="S62" s="165" t="s">
        <v>162</v>
      </c>
      <c r="T62" s="165" t="s">
        <v>162</v>
      </c>
      <c r="U62" s="158" t="s">
        <v>162</v>
      </c>
      <c r="V62" s="168"/>
      <c r="W62" s="158" t="s">
        <v>966</v>
      </c>
      <c r="X62" s="158" t="s">
        <v>185</v>
      </c>
      <c r="Y62" s="158"/>
      <c r="Z62" s="158" t="s">
        <v>185</v>
      </c>
      <c r="AA62" s="158" t="str">
        <f>IF(AWS_2[[#This Row],[Column14]]="-","", "v")</f>
        <v/>
      </c>
      <c r="AB62" s="158" t="str">
        <f>IF(AWS_2[[#This Row],[Column8]]="x","1",(IF(OR(AWS_2[[#This Row],[Column25]]=2,AWS_2[[#This Row],[Column26]]=2,AWS_2[[#This Row],[Column27]]=2),"1",(IF(AWS_2[[#This Row],[Column9]]="x","2",(IF(AWS_2[[#This Row],[Column10]]="x","3","")))))))</f>
        <v>1</v>
      </c>
      <c r="AC62" s="454" t="str">
        <f>IF(AWS_2[[#This Row],[Column14]] = "-", AWS_2[[#This Row],[Column14]], LEFT(AWS_2[[#This Row],[Column14]], SEARCH(" ", AWS_2[[#This Row],[Column14]] &amp; " ") - 1))</f>
        <v>-</v>
      </c>
    </row>
    <row r="63" spans="1:29" ht="228">
      <c r="A6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3" s="137" t="str">
        <f>AWS_2[[#This Row],[Column30]]</f>
        <v>1.8</v>
      </c>
      <c r="C63" s="137">
        <v>5.2</v>
      </c>
      <c r="D63" s="138" t="s">
        <v>399</v>
      </c>
      <c r="E63" s="162" t="s">
        <v>156</v>
      </c>
      <c r="F63" s="489" t="s">
        <v>2122</v>
      </c>
      <c r="G63" s="138" t="s">
        <v>449</v>
      </c>
      <c r="H63" s="163" t="s">
        <v>185</v>
      </c>
      <c r="I63" s="164" t="s">
        <v>185</v>
      </c>
      <c r="J63" s="200" t="s">
        <v>185</v>
      </c>
      <c r="K63" s="176" t="s">
        <v>185</v>
      </c>
      <c r="L63" s="176" t="s">
        <v>185</v>
      </c>
      <c r="M63" s="176" t="s">
        <v>185</v>
      </c>
      <c r="N63" s="165" t="s">
        <v>422</v>
      </c>
      <c r="O63" s="197" t="s">
        <v>198</v>
      </c>
      <c r="P63" s="166" t="s">
        <v>423</v>
      </c>
      <c r="Q63" s="166" t="s">
        <v>424</v>
      </c>
      <c r="R63" s="167" t="s">
        <v>425</v>
      </c>
      <c r="S63" s="166" t="s">
        <v>426</v>
      </c>
      <c r="T63" s="166" t="s">
        <v>427</v>
      </c>
      <c r="U63" s="158" t="s">
        <v>162</v>
      </c>
      <c r="V63" s="168" t="s">
        <v>906</v>
      </c>
      <c r="W63" s="158" t="s">
        <v>966</v>
      </c>
      <c r="X63" s="158" t="s">
        <v>185</v>
      </c>
      <c r="Y63" s="158"/>
      <c r="Z63" s="158" t="s">
        <v>185</v>
      </c>
      <c r="AA63" s="158" t="str">
        <f>IF(AWS_2[[#This Row],[Column14]]="-","", "v")</f>
        <v>v</v>
      </c>
      <c r="AB63" s="158" t="str">
        <f>IF(AWS_2[[#This Row],[Column8]]="x","1",(IF(OR(AWS_2[[#This Row],[Column25]]=2,AWS_2[[#This Row],[Column26]]=2,AWS_2[[#This Row],[Column27]]=2),"1",(IF(AWS_2[[#This Row],[Column9]]="x","2",(IF(AWS_2[[#This Row],[Column10]]="x","3","")))))))</f>
        <v>1</v>
      </c>
      <c r="AC63" s="454" t="str">
        <f>IF(AWS_2[[#This Row],[Column14]] = "-", AWS_2[[#This Row],[Column14]], LEFT(AWS_2[[#This Row],[Column14]], SEARCH(" ", AWS_2[[#This Row],[Column14]] &amp; " ") - 1))</f>
        <v>1.8</v>
      </c>
    </row>
    <row r="64" spans="1:29" ht="228">
      <c r="A6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4" s="137" t="str">
        <f>AWS_2[[#This Row],[Column30]]</f>
        <v>1.9</v>
      </c>
      <c r="C64" s="137">
        <v>5.2</v>
      </c>
      <c r="D64" s="138" t="s">
        <v>399</v>
      </c>
      <c r="E64" s="162" t="s">
        <v>156</v>
      </c>
      <c r="F64" s="489" t="s">
        <v>2122</v>
      </c>
      <c r="G64" s="138" t="s">
        <v>449</v>
      </c>
      <c r="H64" s="163" t="s">
        <v>185</v>
      </c>
      <c r="I64" s="164" t="s">
        <v>185</v>
      </c>
      <c r="J64" s="200" t="s">
        <v>185</v>
      </c>
      <c r="K64" s="176" t="s">
        <v>185</v>
      </c>
      <c r="L64" s="176" t="s">
        <v>185</v>
      </c>
      <c r="M64" s="176" t="s">
        <v>185</v>
      </c>
      <c r="N64" s="165" t="s">
        <v>450</v>
      </c>
      <c r="O64" s="197" t="s">
        <v>198</v>
      </c>
      <c r="P64" s="166" t="s">
        <v>451</v>
      </c>
      <c r="Q64" s="166" t="s">
        <v>452</v>
      </c>
      <c r="R64" s="167" t="s">
        <v>453</v>
      </c>
      <c r="S64" s="166" t="s">
        <v>454</v>
      </c>
      <c r="T64" s="166" t="s">
        <v>455</v>
      </c>
      <c r="U64" s="158" t="s">
        <v>975</v>
      </c>
      <c r="V64" s="168" t="s">
        <v>907</v>
      </c>
      <c r="W64" s="158" t="s">
        <v>966</v>
      </c>
      <c r="X64" s="158" t="s">
        <v>185</v>
      </c>
      <c r="Y64" s="158" t="s">
        <v>185</v>
      </c>
      <c r="Z64" s="158" t="s">
        <v>185</v>
      </c>
      <c r="AA64" s="158" t="str">
        <f>IF(AWS_2[[#This Row],[Column14]]="-","", "v")</f>
        <v>v</v>
      </c>
      <c r="AB64" s="158" t="str">
        <f>IF(AWS_2[[#This Row],[Column8]]="x","1",(IF(OR(AWS_2[[#This Row],[Column25]]=2,AWS_2[[#This Row],[Column26]]=2,AWS_2[[#This Row],[Column27]]=2),"1",(IF(AWS_2[[#This Row],[Column9]]="x","2",(IF(AWS_2[[#This Row],[Column10]]="x","3","")))))))</f>
        <v>1</v>
      </c>
      <c r="AC64" s="454" t="str">
        <f>IF(AWS_2[[#This Row],[Column14]] = "-", AWS_2[[#This Row],[Column14]], LEFT(AWS_2[[#This Row],[Column14]], SEARCH(" ", AWS_2[[#This Row],[Column14]] &amp; " ") - 1))</f>
        <v>1.9</v>
      </c>
    </row>
    <row r="65" spans="1:29" ht="228">
      <c r="A6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5" s="137" t="str">
        <f>AWS_2[[#This Row],[Column30]]</f>
        <v>1.8</v>
      </c>
      <c r="C65" s="137">
        <v>5.2</v>
      </c>
      <c r="D65" s="138" t="s">
        <v>399</v>
      </c>
      <c r="E65" s="162" t="s">
        <v>156</v>
      </c>
      <c r="F65" s="489" t="s">
        <v>2122</v>
      </c>
      <c r="G65" s="138" t="s">
        <v>449</v>
      </c>
      <c r="H65" s="163" t="s">
        <v>185</v>
      </c>
      <c r="I65" s="164" t="s">
        <v>185</v>
      </c>
      <c r="J65" s="200" t="s">
        <v>185</v>
      </c>
      <c r="K65" s="176" t="s">
        <v>185</v>
      </c>
      <c r="L65" s="176" t="s">
        <v>185</v>
      </c>
      <c r="M65" s="176" t="s">
        <v>185</v>
      </c>
      <c r="N65" s="165" t="s">
        <v>422</v>
      </c>
      <c r="O65" s="197" t="s">
        <v>198</v>
      </c>
      <c r="P65" s="165" t="s">
        <v>423</v>
      </c>
      <c r="Q65" s="165" t="s">
        <v>424</v>
      </c>
      <c r="R65" s="165" t="s">
        <v>425</v>
      </c>
      <c r="S65" s="165" t="s">
        <v>426</v>
      </c>
      <c r="T65" s="165" t="s">
        <v>427</v>
      </c>
      <c r="U65" s="158" t="s">
        <v>162</v>
      </c>
      <c r="V65" s="444" t="s">
        <v>906</v>
      </c>
      <c r="W65" s="445" t="s">
        <v>966</v>
      </c>
      <c r="X65" s="158" t="s">
        <v>185</v>
      </c>
      <c r="Y65" s="158" t="s">
        <v>185</v>
      </c>
      <c r="Z65" s="445" t="s">
        <v>185</v>
      </c>
      <c r="AA65" s="158" t="str">
        <f>IF(AWS_2[[#This Row],[Column14]]="-","", "v")</f>
        <v>v</v>
      </c>
      <c r="AB65" s="158" t="str">
        <f>IF(AWS_2[[#This Row],[Column8]]="x","1",(IF(OR(AWS_2[[#This Row],[Column25]]=2,AWS_2[[#This Row],[Column26]]=2,AWS_2[[#This Row],[Column27]]=2),"1",(IF(AWS_2[[#This Row],[Column9]]="x","2",(IF(AWS_2[[#This Row],[Column10]]="x","3","")))))))</f>
        <v>1</v>
      </c>
      <c r="AC65" s="454" t="str">
        <f>IF(AWS_2[[#This Row],[Column14]] = "-", AWS_2[[#This Row],[Column14]], LEFT(AWS_2[[#This Row],[Column14]], SEARCH(" ", AWS_2[[#This Row],[Column14]] &amp; " ") - 1))</f>
        <v>1.8</v>
      </c>
    </row>
    <row r="66" spans="1:29" ht="409.5">
      <c r="A6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6" s="137" t="str">
        <f>AWS_2[[#This Row],[Column30]]</f>
        <v>1.13</v>
      </c>
      <c r="C66" s="137">
        <v>5.2</v>
      </c>
      <c r="D66" s="138" t="s">
        <v>399</v>
      </c>
      <c r="E66" s="162" t="s">
        <v>156</v>
      </c>
      <c r="F66" s="489" t="s">
        <v>2122</v>
      </c>
      <c r="G66" s="138" t="s">
        <v>449</v>
      </c>
      <c r="H66" s="163" t="s">
        <v>185</v>
      </c>
      <c r="I66" s="164" t="s">
        <v>185</v>
      </c>
      <c r="J66" s="200" t="s">
        <v>185</v>
      </c>
      <c r="K66" s="176" t="s">
        <v>185</v>
      </c>
      <c r="L66" s="176" t="s">
        <v>185</v>
      </c>
      <c r="M66" s="176" t="s">
        <v>185</v>
      </c>
      <c r="N66" s="165" t="s">
        <v>428</v>
      </c>
      <c r="O66" s="197" t="s">
        <v>198</v>
      </c>
      <c r="P66" s="165" t="s">
        <v>429</v>
      </c>
      <c r="Q66" s="165" t="s">
        <v>430</v>
      </c>
      <c r="R66" s="165" t="s">
        <v>431</v>
      </c>
      <c r="S66" s="165" t="s">
        <v>432</v>
      </c>
      <c r="T66" s="165" t="s">
        <v>433</v>
      </c>
      <c r="U66" s="158" t="s">
        <v>975</v>
      </c>
      <c r="V66" s="444" t="s">
        <v>969</v>
      </c>
      <c r="W66" s="445" t="s">
        <v>967</v>
      </c>
      <c r="X66" s="158" t="s">
        <v>185</v>
      </c>
      <c r="Y66" s="158" t="s">
        <v>185</v>
      </c>
      <c r="Z66" s="445" t="s">
        <v>185</v>
      </c>
      <c r="AA66" s="158" t="str">
        <f>IF(AWS_2[[#This Row],[Column14]]="-","", "v")</f>
        <v>v</v>
      </c>
      <c r="AB66" s="158" t="str">
        <f>IF(AWS_2[[#This Row],[Column8]]="x","1",(IF(OR(AWS_2[[#This Row],[Column25]]=2,AWS_2[[#This Row],[Column26]]=2,AWS_2[[#This Row],[Column27]]=2),"1",(IF(AWS_2[[#This Row],[Column9]]="x","2",(IF(AWS_2[[#This Row],[Column10]]="x","3","")))))))</f>
        <v>1</v>
      </c>
      <c r="AC66" s="454" t="str">
        <f>IF(AWS_2[[#This Row],[Column14]] = "-", AWS_2[[#This Row],[Column14]], LEFT(AWS_2[[#This Row],[Column14]], SEARCH(" ", AWS_2[[#This Row],[Column14]] &amp; " ") - 1))</f>
        <v>1.13</v>
      </c>
    </row>
    <row r="67" spans="1:29" ht="409.5">
      <c r="A6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7" s="137" t="str">
        <f>AWS_2[[#This Row],[Column30]]</f>
        <v>1.14</v>
      </c>
      <c r="C67" s="137">
        <v>5.2</v>
      </c>
      <c r="D67" s="138" t="s">
        <v>399</v>
      </c>
      <c r="E67" s="162" t="s">
        <v>156</v>
      </c>
      <c r="F67" s="489" t="s">
        <v>2122</v>
      </c>
      <c r="G67" s="138" t="s">
        <v>449</v>
      </c>
      <c r="H67" s="163" t="s">
        <v>185</v>
      </c>
      <c r="I67" s="164" t="s">
        <v>185</v>
      </c>
      <c r="J67" s="200" t="s">
        <v>185</v>
      </c>
      <c r="K67" s="176" t="s">
        <v>185</v>
      </c>
      <c r="L67" s="176" t="s">
        <v>185</v>
      </c>
      <c r="M67" s="176" t="s">
        <v>185</v>
      </c>
      <c r="N67" s="165" t="s">
        <v>434</v>
      </c>
      <c r="O67" s="197" t="s">
        <v>198</v>
      </c>
      <c r="P67" s="165" t="s">
        <v>435</v>
      </c>
      <c r="Q67" s="165" t="s">
        <v>436</v>
      </c>
      <c r="R67" s="165" t="s">
        <v>437</v>
      </c>
      <c r="S67" s="165" t="s">
        <v>438</v>
      </c>
      <c r="T67" s="165" t="s">
        <v>439</v>
      </c>
      <c r="U67" s="158" t="s">
        <v>975</v>
      </c>
      <c r="V67" s="444" t="s">
        <v>969</v>
      </c>
      <c r="W67" s="445" t="s">
        <v>967</v>
      </c>
      <c r="X67" s="158" t="s">
        <v>185</v>
      </c>
      <c r="Y67" s="158" t="s">
        <v>185</v>
      </c>
      <c r="Z67" s="445" t="s">
        <v>185</v>
      </c>
      <c r="AA67" s="158" t="str">
        <f>IF(AWS_2[[#This Row],[Column14]]="-","", "v")</f>
        <v>v</v>
      </c>
      <c r="AB67" s="158" t="str">
        <f>IF(AWS_2[[#This Row],[Column8]]="x","1",(IF(OR(AWS_2[[#This Row],[Column25]]=2,AWS_2[[#This Row],[Column26]]=2,AWS_2[[#This Row],[Column27]]=2),"1",(IF(AWS_2[[#This Row],[Column9]]="x","2",(IF(AWS_2[[#This Row],[Column10]]="x","3","")))))))</f>
        <v>1</v>
      </c>
      <c r="AC67" s="454" t="str">
        <f>IF(AWS_2[[#This Row],[Column14]] = "-", AWS_2[[#This Row],[Column14]], LEFT(AWS_2[[#This Row],[Column14]], SEARCH(" ", AWS_2[[#This Row],[Column14]] &amp; " ") - 1))</f>
        <v>1.14</v>
      </c>
    </row>
    <row r="68" spans="1:29" ht="342">
      <c r="A6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8" s="137" t="str">
        <f>AWS_2[[#This Row],[Column30]]</f>
        <v>1.22</v>
      </c>
      <c r="C68" s="137">
        <v>5.2</v>
      </c>
      <c r="D68" s="138" t="s">
        <v>399</v>
      </c>
      <c r="E68" s="162" t="s">
        <v>156</v>
      </c>
      <c r="F68" s="489" t="s">
        <v>2122</v>
      </c>
      <c r="G68" s="138" t="s">
        <v>449</v>
      </c>
      <c r="H68" s="163" t="s">
        <v>185</v>
      </c>
      <c r="I68" s="164" t="s">
        <v>185</v>
      </c>
      <c r="J68" s="200" t="s">
        <v>185</v>
      </c>
      <c r="K68" s="176" t="s">
        <v>185</v>
      </c>
      <c r="L68" s="176" t="s">
        <v>185</v>
      </c>
      <c r="M68" s="176" t="s">
        <v>185</v>
      </c>
      <c r="N68" s="165" t="s">
        <v>440</v>
      </c>
      <c r="O68" s="197" t="s">
        <v>198</v>
      </c>
      <c r="P68" s="165" t="s">
        <v>441</v>
      </c>
      <c r="Q68" s="165" t="s">
        <v>442</v>
      </c>
      <c r="R68" s="165" t="s">
        <v>443</v>
      </c>
      <c r="S68" s="165" t="s">
        <v>444</v>
      </c>
      <c r="T68" s="165" t="s">
        <v>445</v>
      </c>
      <c r="U68" s="158" t="s">
        <v>162</v>
      </c>
      <c r="V68" s="444" t="s">
        <v>899</v>
      </c>
      <c r="W68" s="445" t="s">
        <v>966</v>
      </c>
      <c r="X68" s="158" t="s">
        <v>185</v>
      </c>
      <c r="Y68" s="158" t="s">
        <v>185</v>
      </c>
      <c r="Z68" s="445" t="s">
        <v>185</v>
      </c>
      <c r="AA68" s="158" t="str">
        <f>IF(AWS_2[[#This Row],[Column14]]="-","", "v")</f>
        <v>v</v>
      </c>
      <c r="AB68" s="158" t="str">
        <f>IF(AWS_2[[#This Row],[Column8]]="x","1",(IF(OR(AWS_2[[#This Row],[Column25]]=2,AWS_2[[#This Row],[Column26]]=2,AWS_2[[#This Row],[Column27]]=2),"1",(IF(AWS_2[[#This Row],[Column9]]="x","2",(IF(AWS_2[[#This Row],[Column10]]="x","3","")))))))</f>
        <v>1</v>
      </c>
      <c r="AC68" s="454" t="str">
        <f>IF(AWS_2[[#This Row],[Column14]] = "-", AWS_2[[#This Row],[Column14]], LEFT(AWS_2[[#This Row],[Column14]], SEARCH(" ", AWS_2[[#This Row],[Column14]] &amp; " ") - 1))</f>
        <v>1.22</v>
      </c>
    </row>
    <row r="69" spans="1:29" ht="409.5">
      <c r="A6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NOT(ISBLANK(K69)),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NOT(ISBLANK(L69)),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NOT(ISBLANK(M69)),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69" s="137" t="str">
        <f>AWS_2[[#This Row],[Column30]]</f>
        <v>1.12</v>
      </c>
      <c r="C69" s="137">
        <v>5.3</v>
      </c>
      <c r="D69" s="138" t="s">
        <v>399</v>
      </c>
      <c r="E69" s="162" t="s">
        <v>157</v>
      </c>
      <c r="F69" s="489" t="s">
        <v>2123</v>
      </c>
      <c r="G69" s="138" t="s">
        <v>457</v>
      </c>
      <c r="H69" s="163" t="s">
        <v>185</v>
      </c>
      <c r="I69" s="164" t="s">
        <v>185</v>
      </c>
      <c r="J69" s="200" t="s">
        <v>185</v>
      </c>
      <c r="K69" s="176" t="s">
        <v>185</v>
      </c>
      <c r="L69" s="176" t="s">
        <v>185</v>
      </c>
      <c r="M69" s="176" t="s">
        <v>185</v>
      </c>
      <c r="N69" s="165" t="s">
        <v>458</v>
      </c>
      <c r="O69" s="197" t="s">
        <v>198</v>
      </c>
      <c r="P69" s="165" t="s">
        <v>459</v>
      </c>
      <c r="Q69" s="165" t="s">
        <v>460</v>
      </c>
      <c r="R69" s="165" t="s">
        <v>461</v>
      </c>
      <c r="S69" s="165" t="s">
        <v>462</v>
      </c>
      <c r="T69" s="165" t="s">
        <v>463</v>
      </c>
      <c r="U69" s="158" t="s">
        <v>162</v>
      </c>
      <c r="V69" s="168" t="s">
        <v>899</v>
      </c>
      <c r="W69" s="158" t="s">
        <v>966</v>
      </c>
      <c r="X69" s="158" t="s">
        <v>185</v>
      </c>
      <c r="Y69" s="158"/>
      <c r="Z69" s="158" t="s">
        <v>185</v>
      </c>
      <c r="AA69" s="158" t="str">
        <f>IF(AWS_2[[#This Row],[Column14]]="-","", "v")</f>
        <v>v</v>
      </c>
      <c r="AB69" s="158" t="str">
        <f>IF(AWS_2[[#This Row],[Column8]]="x","1",(IF(OR(AWS_2[[#This Row],[Column25]]=2,AWS_2[[#This Row],[Column26]]=2,AWS_2[[#This Row],[Column27]]=2),"1",(IF(AWS_2[[#This Row],[Column9]]="x","2",(IF(AWS_2[[#This Row],[Column10]]="x","3","")))))))</f>
        <v>1</v>
      </c>
      <c r="AC69" s="454" t="str">
        <f>IF(AWS_2[[#This Row],[Column14]] = "-", AWS_2[[#This Row],[Column14]], LEFT(AWS_2[[#This Row],[Column14]], SEARCH(" ", AWS_2[[#This Row],[Column14]] &amp; " ") - 1))</f>
        <v>1.12</v>
      </c>
    </row>
    <row r="70" spans="1:29" ht="299.25">
      <c r="A7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0" s="137" t="str">
        <f>AWS_2[[#This Row],[Column30]]</f>
        <v>1.4</v>
      </c>
      <c r="C70" s="137">
        <v>5.4</v>
      </c>
      <c r="D70" s="138" t="s">
        <v>399</v>
      </c>
      <c r="E70" s="162" t="s">
        <v>156</v>
      </c>
      <c r="F70" s="489" t="s">
        <v>2124</v>
      </c>
      <c r="G70" s="139" t="s">
        <v>465</v>
      </c>
      <c r="H70" s="163" t="s">
        <v>185</v>
      </c>
      <c r="I70" s="164" t="s">
        <v>185</v>
      </c>
      <c r="J70" s="200" t="s">
        <v>185</v>
      </c>
      <c r="K70" s="176" t="s">
        <v>185</v>
      </c>
      <c r="L70" s="176" t="s">
        <v>185</v>
      </c>
      <c r="M70" s="176" t="s">
        <v>185</v>
      </c>
      <c r="N70" s="165" t="s">
        <v>197</v>
      </c>
      <c r="O70" s="197" t="s">
        <v>198</v>
      </c>
      <c r="P70" s="166" t="s">
        <v>199</v>
      </c>
      <c r="Q70" s="166" t="s">
        <v>200</v>
      </c>
      <c r="R70" s="167" t="s">
        <v>201</v>
      </c>
      <c r="S70" s="166" t="s">
        <v>202</v>
      </c>
      <c r="T70" s="166" t="s">
        <v>203</v>
      </c>
      <c r="U70" s="158" t="s">
        <v>975</v>
      </c>
      <c r="V70" s="168" t="s">
        <v>893</v>
      </c>
      <c r="W70" s="158" t="s">
        <v>966</v>
      </c>
      <c r="X70" s="158" t="s">
        <v>185</v>
      </c>
      <c r="Y70" s="158"/>
      <c r="Z70" s="158" t="s">
        <v>185</v>
      </c>
      <c r="AA70" s="158" t="str">
        <f>IF(AWS_2[[#This Row],[Column14]]="-","", "v")</f>
        <v>v</v>
      </c>
      <c r="AB70" s="158" t="str">
        <f>IF(AWS_2[[#This Row],[Column8]]="x","1",(IF(OR(AWS_2[[#This Row],[Column25]]=2,AWS_2[[#This Row],[Column26]]=2,AWS_2[[#This Row],[Column27]]=2),"1",(IF(AWS_2[[#This Row],[Column9]]="x","2",(IF(AWS_2[[#This Row],[Column10]]="x","3","")))))))</f>
        <v>1</v>
      </c>
      <c r="AC70" s="454" t="str">
        <f>IF(AWS_2[[#This Row],[Column14]] = "-", AWS_2[[#This Row],[Column14]], LEFT(AWS_2[[#This Row],[Column14]], SEARCH(" ", AWS_2[[#This Row],[Column14]] &amp; " ") - 1))</f>
        <v>1.4</v>
      </c>
    </row>
    <row r="71" spans="1:29" ht="370.5">
      <c r="A7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1" s="137" t="str">
        <f>AWS_2[[#This Row],[Column30]]</f>
        <v>1.7</v>
      </c>
      <c r="C71" s="137">
        <v>5.4</v>
      </c>
      <c r="D71" s="138" t="s">
        <v>399</v>
      </c>
      <c r="E71" s="162" t="s">
        <v>156</v>
      </c>
      <c r="F71" s="489" t="s">
        <v>2124</v>
      </c>
      <c r="G71" s="139" t="s">
        <v>465</v>
      </c>
      <c r="H71" s="163" t="s">
        <v>185</v>
      </c>
      <c r="I71" s="164" t="s">
        <v>185</v>
      </c>
      <c r="J71" s="200" t="s">
        <v>185</v>
      </c>
      <c r="K71" s="176" t="s">
        <v>185</v>
      </c>
      <c r="L71" s="176" t="s">
        <v>185</v>
      </c>
      <c r="M71" s="176" t="s">
        <v>185</v>
      </c>
      <c r="N71" s="165" t="s">
        <v>466</v>
      </c>
      <c r="O71" s="197" t="s">
        <v>198</v>
      </c>
      <c r="P71" s="166" t="s">
        <v>467</v>
      </c>
      <c r="Q71" s="166" t="s">
        <v>468</v>
      </c>
      <c r="R71" s="167" t="s">
        <v>469</v>
      </c>
      <c r="S71" s="166" t="s">
        <v>470</v>
      </c>
      <c r="T71" s="166" t="s">
        <v>471</v>
      </c>
      <c r="U71" s="158" t="s">
        <v>975</v>
      </c>
      <c r="V71" s="168" t="s">
        <v>907</v>
      </c>
      <c r="W71" s="158" t="s">
        <v>966</v>
      </c>
      <c r="X71" s="158" t="s">
        <v>185</v>
      </c>
      <c r="Y71" s="158"/>
      <c r="Z71" s="158" t="s">
        <v>185</v>
      </c>
      <c r="AA71" s="158" t="str">
        <f>IF(AWS_2[[#This Row],[Column14]]="-","", "v")</f>
        <v>v</v>
      </c>
      <c r="AB71" s="158" t="str">
        <f>IF(AWS_2[[#This Row],[Column8]]="x","1",(IF(OR(AWS_2[[#This Row],[Column25]]=2,AWS_2[[#This Row],[Column26]]=2,AWS_2[[#This Row],[Column27]]=2),"1",(IF(AWS_2[[#This Row],[Column9]]="x","2",(IF(AWS_2[[#This Row],[Column10]]="x","3","")))))))</f>
        <v>1</v>
      </c>
      <c r="AC71" s="454" t="str">
        <f>IF(AWS_2[[#This Row],[Column14]] = "-", AWS_2[[#This Row],[Column14]], LEFT(AWS_2[[#This Row],[Column14]], SEARCH(" ", AWS_2[[#This Row],[Column14]] &amp; " ") - 1))</f>
        <v>1.7</v>
      </c>
    </row>
    <row r="72" spans="1:29" ht="409.5">
      <c r="A7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2" s="137" t="str">
        <f>AWS_2[[#This Row],[Column30]]</f>
        <v>1.11</v>
      </c>
      <c r="C72" s="137">
        <v>5.4</v>
      </c>
      <c r="D72" s="138" t="s">
        <v>399</v>
      </c>
      <c r="E72" s="162" t="s">
        <v>156</v>
      </c>
      <c r="F72" s="489" t="s">
        <v>2124</v>
      </c>
      <c r="G72" s="139" t="s">
        <v>465</v>
      </c>
      <c r="H72" s="163" t="s">
        <v>185</v>
      </c>
      <c r="I72" s="164" t="s">
        <v>185</v>
      </c>
      <c r="J72" s="200" t="s">
        <v>185</v>
      </c>
      <c r="K72" s="176" t="s">
        <v>185</v>
      </c>
      <c r="L72" s="176" t="s">
        <v>185</v>
      </c>
      <c r="M72" s="176" t="s">
        <v>185</v>
      </c>
      <c r="N72" s="165" t="s">
        <v>204</v>
      </c>
      <c r="O72" s="197" t="s">
        <v>198</v>
      </c>
      <c r="P72" s="166" t="s">
        <v>205</v>
      </c>
      <c r="Q72" s="166" t="s">
        <v>206</v>
      </c>
      <c r="R72" s="167" t="s">
        <v>207</v>
      </c>
      <c r="S72" s="166" t="s">
        <v>208</v>
      </c>
      <c r="T72" s="166" t="s">
        <v>209</v>
      </c>
      <c r="U72" s="158" t="s">
        <v>975</v>
      </c>
      <c r="V72" s="168" t="s">
        <v>894</v>
      </c>
      <c r="W72" s="158" t="s">
        <v>966</v>
      </c>
      <c r="X72" s="158" t="s">
        <v>185</v>
      </c>
      <c r="Y72" s="158"/>
      <c r="Z72" s="158" t="s">
        <v>185</v>
      </c>
      <c r="AA72" s="158" t="str">
        <f>IF(AWS_2[[#This Row],[Column14]]="-","", "v")</f>
        <v>v</v>
      </c>
      <c r="AB72" s="158" t="str">
        <f>IF(AWS_2[[#This Row],[Column8]]="x","1",(IF(OR(AWS_2[[#This Row],[Column25]]=2,AWS_2[[#This Row],[Column26]]=2,AWS_2[[#This Row],[Column27]]=2),"1",(IF(AWS_2[[#This Row],[Column9]]="x","2",(IF(AWS_2[[#This Row],[Column10]]="x","3","")))))))</f>
        <v>1</v>
      </c>
      <c r="AC72" s="454" t="str">
        <f>IF(AWS_2[[#This Row],[Column14]] = "-", AWS_2[[#This Row],[Column14]], LEFT(AWS_2[[#This Row],[Column14]], SEARCH(" ", AWS_2[[#This Row],[Column14]] &amp; " ") - 1))</f>
        <v>1.11</v>
      </c>
    </row>
    <row r="73" spans="1:29" ht="60">
      <c r="A7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3" s="137" t="str">
        <f>AWS_2[[#This Row],[Column30]]</f>
        <v>-</v>
      </c>
      <c r="C73" s="137">
        <v>5.5</v>
      </c>
      <c r="D73" s="138" t="s">
        <v>399</v>
      </c>
      <c r="E73" s="162" t="s">
        <v>154</v>
      </c>
      <c r="F73" s="489" t="s">
        <v>2125</v>
      </c>
      <c r="G73" s="139" t="s">
        <v>473</v>
      </c>
      <c r="H73" s="137"/>
      <c r="I73" s="164" t="s">
        <v>185</v>
      </c>
      <c r="J73" s="200" t="s">
        <v>185</v>
      </c>
      <c r="K73" s="176" t="s">
        <v>185</v>
      </c>
      <c r="L73" s="176" t="s">
        <v>185</v>
      </c>
      <c r="M73" s="176" t="s">
        <v>185</v>
      </c>
      <c r="N73" s="165" t="s">
        <v>162</v>
      </c>
      <c r="O73" s="165" t="s">
        <v>162</v>
      </c>
      <c r="P73" s="165" t="s">
        <v>162</v>
      </c>
      <c r="Q73" s="165" t="s">
        <v>162</v>
      </c>
      <c r="R73" s="167"/>
      <c r="S73" s="165" t="s">
        <v>162</v>
      </c>
      <c r="T73" s="165" t="s">
        <v>162</v>
      </c>
      <c r="U73" s="158" t="s">
        <v>162</v>
      </c>
      <c r="V73" s="168"/>
      <c r="W73" s="158" t="s">
        <v>966</v>
      </c>
      <c r="X73" s="158" t="s">
        <v>185</v>
      </c>
      <c r="Y73" s="158"/>
      <c r="Z73" s="158" t="s">
        <v>185</v>
      </c>
      <c r="AA73" s="158" t="str">
        <f>IF(AWS_2[[#This Row],[Column14]]="-","", "v")</f>
        <v/>
      </c>
      <c r="AB73" s="158" t="str">
        <f>IF(AWS_2[[#This Row],[Column8]]="x","1",(IF(OR(AWS_2[[#This Row],[Column25]]=2,AWS_2[[#This Row],[Column26]]=2,AWS_2[[#This Row],[Column27]]=2),"1",(IF(AWS_2[[#This Row],[Column9]]="x","2",(IF(AWS_2[[#This Row],[Column10]]="x","3","")))))))</f>
        <v>2</v>
      </c>
      <c r="AC73" s="454" t="str">
        <f>IF(AWS_2[[#This Row],[Column14]] = "-", AWS_2[[#This Row],[Column14]], LEFT(AWS_2[[#This Row],[Column14]], SEARCH(" ", AWS_2[[#This Row],[Column14]] &amp; " ") - 1))</f>
        <v>-</v>
      </c>
    </row>
    <row r="74" spans="1:29" ht="409.5">
      <c r="A7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4" s="137" t="str">
        <f>AWS_2[[#This Row],[Column30]]</f>
        <v>1.21</v>
      </c>
      <c r="C74" s="137">
        <v>5.6</v>
      </c>
      <c r="D74" s="138" t="s">
        <v>399</v>
      </c>
      <c r="E74" s="162" t="s">
        <v>156</v>
      </c>
      <c r="F74" s="489" t="s">
        <v>2126</v>
      </c>
      <c r="G74" s="138" t="s">
        <v>475</v>
      </c>
      <c r="H74" s="204"/>
      <c r="I74" s="164" t="s">
        <v>185</v>
      </c>
      <c r="J74" s="200" t="s">
        <v>185</v>
      </c>
      <c r="K74" s="176" t="s">
        <v>185</v>
      </c>
      <c r="L74" s="176" t="s">
        <v>185</v>
      </c>
      <c r="M74" s="176" t="s">
        <v>185</v>
      </c>
      <c r="N74" s="165" t="s">
        <v>476</v>
      </c>
      <c r="O74" s="197" t="s">
        <v>187</v>
      </c>
      <c r="P74" s="166" t="s">
        <v>477</v>
      </c>
      <c r="Q74" s="166" t="s">
        <v>478</v>
      </c>
      <c r="R74" s="167" t="s">
        <v>479</v>
      </c>
      <c r="S74" s="166" t="s">
        <v>480</v>
      </c>
      <c r="T74" s="166"/>
      <c r="U74" s="158" t="s">
        <v>975</v>
      </c>
      <c r="V74" s="168" t="s">
        <v>909</v>
      </c>
      <c r="W74" s="158" t="s">
        <v>966</v>
      </c>
      <c r="X74" s="158" t="s">
        <v>185</v>
      </c>
      <c r="Y74" s="158"/>
      <c r="Z74" s="158" t="s">
        <v>185</v>
      </c>
      <c r="AA74" s="158" t="str">
        <f>IF(AWS_2[[#This Row],[Column14]]="-","", "v")</f>
        <v>v</v>
      </c>
      <c r="AB74" s="168" t="str">
        <f>IF(AWS_2[[#This Row],[Column8]]="x","1",(IF(OR(AWS_2[[#This Row],[Column25]]=2,AWS_2[[#This Row],[Column26]]=2,AWS_2[[#This Row],[Column27]]=2),"1",(IF(AWS_2[[#This Row],[Column9]]="x","2",(IF(AWS_2[[#This Row],[Column10]]="x","3","")))))))</f>
        <v>2</v>
      </c>
      <c r="AC74" s="454" t="str">
        <f>IF(AWS_2[[#This Row],[Column14]] = "-", AWS_2[[#This Row],[Column14]], LEFT(AWS_2[[#This Row],[Column14]], SEARCH(" ", AWS_2[[#This Row],[Column14]] &amp; " ") - 1))</f>
        <v>1.21</v>
      </c>
    </row>
    <row r="75" spans="1:29" ht="45">
      <c r="A75" s="178" t="s">
        <v>942</v>
      </c>
      <c r="B75" s="154" t="s">
        <v>162</v>
      </c>
      <c r="C75" s="154" t="s">
        <v>162</v>
      </c>
      <c r="D75" s="154" t="s">
        <v>162</v>
      </c>
      <c r="E75" s="154" t="s">
        <v>162</v>
      </c>
      <c r="F75" s="488" t="s">
        <v>2127</v>
      </c>
      <c r="G75" s="157" t="s">
        <v>482</v>
      </c>
      <c r="H75" s="154"/>
      <c r="I75" s="154"/>
      <c r="J75" s="154"/>
      <c r="K75" s="161"/>
      <c r="L75" s="161"/>
      <c r="M75" s="161"/>
      <c r="N75" s="154" t="s">
        <v>162</v>
      </c>
      <c r="O75" s="154" t="s">
        <v>162</v>
      </c>
      <c r="P75" s="154" t="s">
        <v>162</v>
      </c>
      <c r="Q75" s="154" t="s">
        <v>162</v>
      </c>
      <c r="R75" s="167"/>
      <c r="S75" s="154" t="s">
        <v>162</v>
      </c>
      <c r="T75" s="154" t="s">
        <v>162</v>
      </c>
      <c r="U75" s="245" t="s">
        <v>162</v>
      </c>
      <c r="V75" s="245" t="s">
        <v>162</v>
      </c>
      <c r="W75" s="245" t="s">
        <v>162</v>
      </c>
      <c r="X75" s="245" t="s">
        <v>162</v>
      </c>
      <c r="Y75" s="245" t="s">
        <v>162</v>
      </c>
      <c r="Z75" s="245" t="s">
        <v>162</v>
      </c>
      <c r="AA75" s="154" t="s">
        <v>162</v>
      </c>
      <c r="AB75" s="154" t="s">
        <v>162</v>
      </c>
      <c r="AC75" s="454" t="str">
        <f>IF(AWS_2[[#This Row],[Column14]] = "-", AWS_2[[#This Row],[Column14]], LEFT(AWS_2[[#This Row],[Column14]], SEARCH(" ", AWS_2[[#This Row],[Column14]] &amp; " ") - 1))</f>
        <v>-</v>
      </c>
    </row>
    <row r="76" spans="1:29" ht="30">
      <c r="A7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6" s="137" t="str">
        <f>AWS_2[[#This Row],[Column30]]</f>
        <v>-</v>
      </c>
      <c r="C76" s="137">
        <v>6.1</v>
      </c>
      <c r="D76" s="138" t="s">
        <v>399</v>
      </c>
      <c r="E76" s="162" t="s">
        <v>156</v>
      </c>
      <c r="F76" s="489" t="s">
        <v>2128</v>
      </c>
      <c r="G76" s="138" t="s">
        <v>484</v>
      </c>
      <c r="H76" s="163" t="s">
        <v>185</v>
      </c>
      <c r="I76" s="164" t="s">
        <v>185</v>
      </c>
      <c r="J76" s="200" t="s">
        <v>185</v>
      </c>
      <c r="K76" s="176" t="s">
        <v>185</v>
      </c>
      <c r="L76" s="176" t="s">
        <v>185</v>
      </c>
      <c r="M76" s="176" t="s">
        <v>185</v>
      </c>
      <c r="N76" s="165" t="s">
        <v>162</v>
      </c>
      <c r="O76" s="165" t="s">
        <v>162</v>
      </c>
      <c r="P76" s="165" t="s">
        <v>162</v>
      </c>
      <c r="Q76" s="165" t="s">
        <v>162</v>
      </c>
      <c r="R76" s="167"/>
      <c r="S76" s="165" t="s">
        <v>162</v>
      </c>
      <c r="T76" s="165" t="s">
        <v>162</v>
      </c>
      <c r="U76" s="158" t="s">
        <v>162</v>
      </c>
      <c r="V76" s="168"/>
      <c r="W76" s="158" t="s">
        <v>966</v>
      </c>
      <c r="X76" s="158" t="s">
        <v>185</v>
      </c>
      <c r="Y76" s="158" t="s">
        <v>185</v>
      </c>
      <c r="Z76" s="158" t="s">
        <v>185</v>
      </c>
      <c r="AA76" s="158" t="str">
        <f>IF(AWS_2[[#This Row],[Column14]]="-","", "v")</f>
        <v/>
      </c>
      <c r="AB76" s="158" t="str">
        <f>IF(AWS_2[[#This Row],[Column8]]="x","1",(IF(OR(AWS_2[[#This Row],[Column25]]=2,AWS_2[[#This Row],[Column26]]=2,AWS_2[[#This Row],[Column27]]=2),"1",(IF(AWS_2[[#This Row],[Column9]]="x","2",(IF(AWS_2[[#This Row],[Column10]]="x","3","")))))))</f>
        <v>1</v>
      </c>
      <c r="AC76" s="454" t="str">
        <f>IF(AWS_2[[#This Row],[Column14]] = "-", AWS_2[[#This Row],[Column14]], LEFT(AWS_2[[#This Row],[Column14]], SEARCH(" ", AWS_2[[#This Row],[Column14]] &amp; " ") - 1))</f>
        <v>-</v>
      </c>
    </row>
    <row r="77" spans="1:29" ht="60">
      <c r="A7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7" s="137" t="str">
        <f>AWS_2[[#This Row],[Column30]]</f>
        <v>-</v>
      </c>
      <c r="C77" s="137">
        <v>6.2</v>
      </c>
      <c r="D77" s="138" t="s">
        <v>399</v>
      </c>
      <c r="E77" s="162" t="s">
        <v>156</v>
      </c>
      <c r="F77" s="489" t="s">
        <v>2129</v>
      </c>
      <c r="G77" s="138" t="s">
        <v>486</v>
      </c>
      <c r="H77" s="163" t="s">
        <v>185</v>
      </c>
      <c r="I77" s="164" t="s">
        <v>185</v>
      </c>
      <c r="J77" s="200" t="s">
        <v>185</v>
      </c>
      <c r="K77" s="176" t="s">
        <v>185</v>
      </c>
      <c r="L77" s="176" t="s">
        <v>185</v>
      </c>
      <c r="M77" s="176" t="s">
        <v>185</v>
      </c>
      <c r="N77" s="165" t="s">
        <v>162</v>
      </c>
      <c r="O77" s="165" t="s">
        <v>162</v>
      </c>
      <c r="P77" s="165" t="s">
        <v>162</v>
      </c>
      <c r="Q77" s="165" t="s">
        <v>162</v>
      </c>
      <c r="R77" s="167"/>
      <c r="S77" s="165" t="s">
        <v>162</v>
      </c>
      <c r="T77" s="165" t="s">
        <v>162</v>
      </c>
      <c r="U77" s="158" t="s">
        <v>162</v>
      </c>
      <c r="V77" s="168"/>
      <c r="W77" s="158" t="s">
        <v>966</v>
      </c>
      <c r="X77" s="158" t="s">
        <v>185</v>
      </c>
      <c r="Y77" s="158" t="s">
        <v>185</v>
      </c>
      <c r="Z77" s="158" t="s">
        <v>185</v>
      </c>
      <c r="AA77" s="158" t="str">
        <f>IF(AWS_2[[#This Row],[Column14]]="-","", "v")</f>
        <v/>
      </c>
      <c r="AB77" s="158" t="str">
        <f>IF(AWS_2[[#This Row],[Column8]]="x","1",(IF(OR(AWS_2[[#This Row],[Column25]]=2,AWS_2[[#This Row],[Column26]]=2,AWS_2[[#This Row],[Column27]]=2),"1",(IF(AWS_2[[#This Row],[Column9]]="x","2",(IF(AWS_2[[#This Row],[Column10]]="x","3","")))))))</f>
        <v>1</v>
      </c>
      <c r="AC77" s="454" t="str">
        <f>IF(AWS_2[[#This Row],[Column14]] = "-", AWS_2[[#This Row],[Column14]], LEFT(AWS_2[[#This Row],[Column14]], SEARCH(" ", AWS_2[[#This Row],[Column14]] &amp; " ") - 1))</f>
        <v>-</v>
      </c>
    </row>
    <row r="78" spans="1:29" ht="45">
      <c r="A7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8" s="137" t="str">
        <f>AWS_2[[#This Row],[Column30]]</f>
        <v>-</v>
      </c>
      <c r="C78" s="137">
        <v>6.3</v>
      </c>
      <c r="D78" s="138" t="s">
        <v>399</v>
      </c>
      <c r="E78" s="162" t="s">
        <v>156</v>
      </c>
      <c r="F78" s="489" t="s">
        <v>2130</v>
      </c>
      <c r="G78" s="138" t="s">
        <v>488</v>
      </c>
      <c r="H78" s="163" t="s">
        <v>185</v>
      </c>
      <c r="I78" s="164" t="s">
        <v>185</v>
      </c>
      <c r="J78" s="200" t="s">
        <v>185</v>
      </c>
      <c r="K78" s="176" t="s">
        <v>185</v>
      </c>
      <c r="L78" s="176" t="s">
        <v>185</v>
      </c>
      <c r="M78" s="176" t="s">
        <v>185</v>
      </c>
      <c r="N78" s="165" t="s">
        <v>162</v>
      </c>
      <c r="O78" s="165" t="s">
        <v>162</v>
      </c>
      <c r="P78" s="165" t="s">
        <v>162</v>
      </c>
      <c r="Q78" s="165" t="s">
        <v>162</v>
      </c>
      <c r="R78" s="167"/>
      <c r="S78" s="165" t="s">
        <v>162</v>
      </c>
      <c r="T78" s="165" t="s">
        <v>162</v>
      </c>
      <c r="U78" s="158" t="s">
        <v>162</v>
      </c>
      <c r="V78" s="168"/>
      <c r="W78" s="158" t="s">
        <v>966</v>
      </c>
      <c r="X78" s="158" t="s">
        <v>185</v>
      </c>
      <c r="Y78" s="158" t="s">
        <v>185</v>
      </c>
      <c r="Z78" s="158" t="s">
        <v>185</v>
      </c>
      <c r="AA78" s="158" t="str">
        <f>IF(AWS_2[[#This Row],[Column14]]="-","", "v")</f>
        <v/>
      </c>
      <c r="AB78" s="158" t="str">
        <f>IF(AWS_2[[#This Row],[Column8]]="x","1",(IF(OR(AWS_2[[#This Row],[Column25]]=2,AWS_2[[#This Row],[Column26]]=2,AWS_2[[#This Row],[Column27]]=2),"1",(IF(AWS_2[[#This Row],[Column9]]="x","2",(IF(AWS_2[[#This Row],[Column10]]="x","3","")))))))</f>
        <v>1</v>
      </c>
      <c r="AC78" s="454" t="str">
        <f>IF(AWS_2[[#This Row],[Column14]] = "-", AWS_2[[#This Row],[Column14]], LEFT(AWS_2[[#This Row],[Column14]], SEARCH(" ", AWS_2[[#This Row],[Column14]] &amp; " ") - 1))</f>
        <v>-</v>
      </c>
    </row>
    <row r="79" spans="1:29" ht="15.75">
      <c r="A7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NOT(ISBLANK(K79)),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NOT(ISBLANK(L79)),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NOT(ISBLANK(M79)),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79" s="137" t="str">
        <f>AWS_2[[#This Row],[Column30]]</f>
        <v>-</v>
      </c>
      <c r="C79" s="137">
        <v>6.4</v>
      </c>
      <c r="D79" s="138" t="s">
        <v>399</v>
      </c>
      <c r="E79" s="162" t="s">
        <v>156</v>
      </c>
      <c r="F79" s="489" t="s">
        <v>2131</v>
      </c>
      <c r="G79" s="138" t="s">
        <v>490</v>
      </c>
      <c r="H79" s="163" t="s">
        <v>185</v>
      </c>
      <c r="I79" s="164" t="s">
        <v>185</v>
      </c>
      <c r="J79" s="200" t="s">
        <v>185</v>
      </c>
      <c r="K79" s="176" t="s">
        <v>185</v>
      </c>
      <c r="L79" s="176"/>
      <c r="M79" s="176"/>
      <c r="N79" s="165" t="s">
        <v>162</v>
      </c>
      <c r="O79" s="165" t="s">
        <v>162</v>
      </c>
      <c r="P79" s="165" t="s">
        <v>162</v>
      </c>
      <c r="Q79" s="165" t="s">
        <v>162</v>
      </c>
      <c r="R79" s="167"/>
      <c r="S79" s="165" t="s">
        <v>162</v>
      </c>
      <c r="T79" s="165" t="s">
        <v>162</v>
      </c>
      <c r="U79" s="158" t="s">
        <v>162</v>
      </c>
      <c r="V79" s="168"/>
      <c r="W79" s="158" t="s">
        <v>966</v>
      </c>
      <c r="X79" s="158" t="s">
        <v>185</v>
      </c>
      <c r="Y79" s="158" t="s">
        <v>185</v>
      </c>
      <c r="Z79" s="158" t="s">
        <v>185</v>
      </c>
      <c r="AA79" s="158" t="str">
        <f>IF(AWS_2[[#This Row],[Column14]]="-","", "v")</f>
        <v/>
      </c>
      <c r="AB79" s="158" t="str">
        <f>IF(AWS_2[[#This Row],[Column8]]="x","1",(IF(OR(AWS_2[[#This Row],[Column25]]=2,AWS_2[[#This Row],[Column26]]=2,AWS_2[[#This Row],[Column27]]=2),"1",(IF(AWS_2[[#This Row],[Column9]]="x","2",(IF(AWS_2[[#This Row],[Column10]]="x","3","")))))))</f>
        <v>1</v>
      </c>
      <c r="AC79" s="454" t="str">
        <f>IF(AWS_2[[#This Row],[Column14]] = "-", AWS_2[[#This Row],[Column14]], LEFT(AWS_2[[#This Row],[Column14]], SEARCH(" ", AWS_2[[#This Row],[Column14]] &amp; " ") - 1))</f>
        <v>-</v>
      </c>
    </row>
    <row r="80" spans="1:29" ht="409.5">
      <c r="A8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0" s="137" t="str">
        <f>AWS_2[[#This Row],[Column30]]</f>
        <v>1.5</v>
      </c>
      <c r="C80" s="137">
        <v>6.5</v>
      </c>
      <c r="D80" s="138" t="s">
        <v>399</v>
      </c>
      <c r="E80" s="162" t="s">
        <v>156</v>
      </c>
      <c r="F80" s="489" t="s">
        <v>2132</v>
      </c>
      <c r="G80" s="138" t="s">
        <v>492</v>
      </c>
      <c r="H80" s="163" t="s">
        <v>185</v>
      </c>
      <c r="I80" s="164" t="s">
        <v>185</v>
      </c>
      <c r="J80" s="200" t="s">
        <v>185</v>
      </c>
      <c r="K80" s="176" t="s">
        <v>185</v>
      </c>
      <c r="L80" s="176" t="s">
        <v>185</v>
      </c>
      <c r="M80" s="176" t="s">
        <v>185</v>
      </c>
      <c r="N80" s="165" t="s">
        <v>493</v>
      </c>
      <c r="O80" s="197" t="s">
        <v>198</v>
      </c>
      <c r="P80" s="166" t="s">
        <v>494</v>
      </c>
      <c r="Q80" s="166" t="s">
        <v>495</v>
      </c>
      <c r="R80" s="167" t="s">
        <v>496</v>
      </c>
      <c r="S80" s="166" t="s">
        <v>497</v>
      </c>
      <c r="T80" s="166" t="s">
        <v>498</v>
      </c>
      <c r="U80" s="158" t="s">
        <v>162</v>
      </c>
      <c r="V80" s="168" t="s">
        <v>910</v>
      </c>
      <c r="W80" s="158" t="s">
        <v>966</v>
      </c>
      <c r="X80" s="158" t="s">
        <v>185</v>
      </c>
      <c r="Y80" s="158" t="s">
        <v>185</v>
      </c>
      <c r="Z80" s="158" t="s">
        <v>185</v>
      </c>
      <c r="AA80" s="158" t="str">
        <f>IF(AWS_2[[#This Row],[Column14]]="-","", "v")</f>
        <v>v</v>
      </c>
      <c r="AB80" s="158" t="str">
        <f>IF(AWS_2[[#This Row],[Column8]]="x","1",(IF(OR(AWS_2[[#This Row],[Column25]]=2,AWS_2[[#This Row],[Column26]]=2,AWS_2[[#This Row],[Column27]]=2),"1",(IF(AWS_2[[#This Row],[Column9]]="x","2",(IF(AWS_2[[#This Row],[Column10]]="x","3","")))))))</f>
        <v>1</v>
      </c>
      <c r="AC80" s="454" t="str">
        <f>IF(AWS_2[[#This Row],[Column14]] = "-", AWS_2[[#This Row],[Column14]], LEFT(AWS_2[[#This Row],[Column14]], SEARCH(" ", AWS_2[[#This Row],[Column14]] &amp; " ") - 1))</f>
        <v>1.5</v>
      </c>
    </row>
    <row r="81" spans="1:29" ht="409.5">
      <c r="A8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1" s="137" t="str">
        <f>AWS_2[[#This Row],[Column30]]</f>
        <v>1.6</v>
      </c>
      <c r="C81" s="137">
        <v>6.5</v>
      </c>
      <c r="D81" s="138" t="s">
        <v>399</v>
      </c>
      <c r="E81" s="162" t="s">
        <v>156</v>
      </c>
      <c r="F81" s="489" t="s">
        <v>2132</v>
      </c>
      <c r="G81" s="138" t="s">
        <v>492</v>
      </c>
      <c r="H81" s="163" t="s">
        <v>185</v>
      </c>
      <c r="I81" s="164" t="s">
        <v>185</v>
      </c>
      <c r="J81" s="200" t="s">
        <v>185</v>
      </c>
      <c r="K81" s="176" t="s">
        <v>185</v>
      </c>
      <c r="L81" s="176" t="s">
        <v>185</v>
      </c>
      <c r="M81" s="176" t="s">
        <v>185</v>
      </c>
      <c r="N81" s="165" t="s">
        <v>499</v>
      </c>
      <c r="O81" s="197" t="s">
        <v>187</v>
      </c>
      <c r="P81" s="166" t="s">
        <v>500</v>
      </c>
      <c r="Q81" s="166" t="s">
        <v>501</v>
      </c>
      <c r="R81" s="167" t="s">
        <v>502</v>
      </c>
      <c r="S81" s="166" t="s">
        <v>503</v>
      </c>
      <c r="T81" s="166" t="s">
        <v>504</v>
      </c>
      <c r="U81" s="158" t="s">
        <v>162</v>
      </c>
      <c r="V81" s="168" t="s">
        <v>910</v>
      </c>
      <c r="W81" s="158" t="s">
        <v>966</v>
      </c>
      <c r="X81" s="158" t="s">
        <v>185</v>
      </c>
      <c r="Y81" s="158" t="s">
        <v>185</v>
      </c>
      <c r="Z81" s="158" t="s">
        <v>185</v>
      </c>
      <c r="AA81" s="158" t="str">
        <f>IF(AWS_2[[#This Row],[Column14]]="-","", "v")</f>
        <v>v</v>
      </c>
      <c r="AB81" s="158" t="str">
        <f>IF(AWS_2[[#This Row],[Column8]]="x","1",(IF(OR(AWS_2[[#This Row],[Column25]]=2,AWS_2[[#This Row],[Column26]]=2,AWS_2[[#This Row],[Column27]]=2),"1",(IF(AWS_2[[#This Row],[Column9]]="x","2",(IF(AWS_2[[#This Row],[Column10]]="x","3","")))))))</f>
        <v>1</v>
      </c>
      <c r="AC81" s="454" t="str">
        <f>IF(AWS_2[[#This Row],[Column14]] = "-", AWS_2[[#This Row],[Column14]], LEFT(AWS_2[[#This Row],[Column14]], SEARCH(" ", AWS_2[[#This Row],[Column14]] &amp; " ") - 1))</f>
        <v>1.6</v>
      </c>
    </row>
    <row r="82" spans="1:29" ht="409.5">
      <c r="A8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2" s="137" t="str">
        <f>AWS_2[[#This Row],[Column30]]</f>
        <v>1.10</v>
      </c>
      <c r="C82" s="137">
        <v>6.5</v>
      </c>
      <c r="D82" s="138" t="s">
        <v>399</v>
      </c>
      <c r="E82" s="162" t="s">
        <v>156</v>
      </c>
      <c r="F82" s="489" t="s">
        <v>2132</v>
      </c>
      <c r="G82" s="138" t="s">
        <v>492</v>
      </c>
      <c r="H82" s="163" t="s">
        <v>185</v>
      </c>
      <c r="I82" s="164" t="s">
        <v>185</v>
      </c>
      <c r="J82" s="200" t="s">
        <v>185</v>
      </c>
      <c r="K82" s="176" t="s">
        <v>185</v>
      </c>
      <c r="L82" s="176" t="s">
        <v>185</v>
      </c>
      <c r="M82" s="176" t="s">
        <v>185</v>
      </c>
      <c r="N82" s="165" t="s">
        <v>505</v>
      </c>
      <c r="O82" s="197" t="s">
        <v>198</v>
      </c>
      <c r="P82" s="166" t="s">
        <v>506</v>
      </c>
      <c r="Q82" s="166" t="s">
        <v>507</v>
      </c>
      <c r="R82" s="167" t="s">
        <v>508</v>
      </c>
      <c r="S82" s="166" t="s">
        <v>509</v>
      </c>
      <c r="T82" s="166" t="s">
        <v>510</v>
      </c>
      <c r="U82" s="158" t="s">
        <v>162</v>
      </c>
      <c r="V82" s="168" t="s">
        <v>908</v>
      </c>
      <c r="W82" s="158" t="s">
        <v>966</v>
      </c>
      <c r="X82" s="158" t="s">
        <v>185</v>
      </c>
      <c r="Y82" s="158" t="s">
        <v>185</v>
      </c>
      <c r="Z82" s="158" t="s">
        <v>185</v>
      </c>
      <c r="AA82" s="158" t="str">
        <f>IF(AWS_2[[#This Row],[Column14]]="-","", "v")</f>
        <v>v</v>
      </c>
      <c r="AB82" s="158" t="str">
        <f>IF(AWS_2[[#This Row],[Column8]]="x","1",(IF(OR(AWS_2[[#This Row],[Column25]]=2,AWS_2[[#This Row],[Column26]]=2,AWS_2[[#This Row],[Column27]]=2),"1",(IF(AWS_2[[#This Row],[Column9]]="x","2",(IF(AWS_2[[#This Row],[Column10]]="x","3","")))))))</f>
        <v>1</v>
      </c>
      <c r="AC82" s="454" t="str">
        <f>IF(AWS_2[[#This Row],[Column14]] = "-", AWS_2[[#This Row],[Column14]], LEFT(AWS_2[[#This Row],[Column14]], SEARCH(" ", AWS_2[[#This Row],[Column14]] &amp; " ") - 1))</f>
        <v>1.10</v>
      </c>
    </row>
    <row r="83" spans="1:29" ht="409.5">
      <c r="A8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3" s="137" t="str">
        <f>AWS_2[[#This Row],[Column30]]</f>
        <v>2.1.2</v>
      </c>
      <c r="C83" s="137">
        <v>6.5</v>
      </c>
      <c r="D83" s="138" t="s">
        <v>399</v>
      </c>
      <c r="E83" s="162" t="s">
        <v>156</v>
      </c>
      <c r="F83" s="489" t="s">
        <v>2132</v>
      </c>
      <c r="G83" s="138" t="s">
        <v>492</v>
      </c>
      <c r="H83" s="163" t="s">
        <v>185</v>
      </c>
      <c r="I83" s="164" t="s">
        <v>185</v>
      </c>
      <c r="J83" s="200" t="s">
        <v>185</v>
      </c>
      <c r="K83" s="176" t="s">
        <v>185</v>
      </c>
      <c r="L83" s="176" t="s">
        <v>185</v>
      </c>
      <c r="M83" s="176" t="s">
        <v>185</v>
      </c>
      <c r="N83" s="165" t="s">
        <v>222</v>
      </c>
      <c r="O83" s="197" t="s">
        <v>187</v>
      </c>
      <c r="P83" s="166" t="s">
        <v>223</v>
      </c>
      <c r="Q83" s="166" t="s">
        <v>511</v>
      </c>
      <c r="R83" s="167" t="s">
        <v>226</v>
      </c>
      <c r="S83" s="166" t="s">
        <v>512</v>
      </c>
      <c r="T83" s="166" t="s">
        <v>227</v>
      </c>
      <c r="U83" s="158" t="s">
        <v>162</v>
      </c>
      <c r="V83" s="168" t="s">
        <v>897</v>
      </c>
      <c r="W83" s="158" t="s">
        <v>967</v>
      </c>
      <c r="X83" s="158" t="s">
        <v>185</v>
      </c>
      <c r="Y83" s="158" t="s">
        <v>185</v>
      </c>
      <c r="Z83" s="158" t="s">
        <v>185</v>
      </c>
      <c r="AA83" s="158" t="str">
        <f>IF(AWS_2[[#This Row],[Column14]]="-","", "v")</f>
        <v>v</v>
      </c>
      <c r="AB83" s="158" t="str">
        <f>IF(AWS_2[[#This Row],[Column8]]="x","1",(IF(OR(AWS_2[[#This Row],[Column25]]=2,AWS_2[[#This Row],[Column26]]=2,AWS_2[[#This Row],[Column27]]=2),"1",(IF(AWS_2[[#This Row],[Column9]]="x","2",(IF(AWS_2[[#This Row],[Column10]]="x","3","")))))))</f>
        <v>1</v>
      </c>
      <c r="AC83" s="454" t="str">
        <f>IF(AWS_2[[#This Row],[Column14]] = "-", AWS_2[[#This Row],[Column14]], LEFT(AWS_2[[#This Row],[Column14]], SEARCH(" ", AWS_2[[#This Row],[Column14]] &amp; " ") - 1))</f>
        <v>2.1.2</v>
      </c>
    </row>
    <row r="84" spans="1:29" ht="60">
      <c r="A8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4" s="137" t="str">
        <f>AWS_2[[#This Row],[Column30]]</f>
        <v>-</v>
      </c>
      <c r="C84" s="137">
        <v>6.6</v>
      </c>
      <c r="D84" s="138" t="s">
        <v>399</v>
      </c>
      <c r="E84" s="162" t="s">
        <v>154</v>
      </c>
      <c r="F84" s="489" t="s">
        <v>2133</v>
      </c>
      <c r="G84" s="138" t="s">
        <v>514</v>
      </c>
      <c r="H84" s="137"/>
      <c r="I84" s="164" t="s">
        <v>185</v>
      </c>
      <c r="J84" s="200" t="s">
        <v>185</v>
      </c>
      <c r="K84" s="176" t="s">
        <v>185</v>
      </c>
      <c r="L84" s="176" t="s">
        <v>185</v>
      </c>
      <c r="M84" s="176" t="s">
        <v>185</v>
      </c>
      <c r="N84" s="165" t="s">
        <v>162</v>
      </c>
      <c r="O84" s="165" t="s">
        <v>162</v>
      </c>
      <c r="P84" s="165" t="s">
        <v>162</v>
      </c>
      <c r="Q84" s="165" t="s">
        <v>162</v>
      </c>
      <c r="R84" s="167"/>
      <c r="S84" s="165" t="s">
        <v>162</v>
      </c>
      <c r="T84" s="165" t="s">
        <v>162</v>
      </c>
      <c r="U84" s="158" t="s">
        <v>162</v>
      </c>
      <c r="V84" s="168"/>
      <c r="W84" s="158" t="s">
        <v>966</v>
      </c>
      <c r="X84" s="158" t="s">
        <v>185</v>
      </c>
      <c r="Y84" s="158" t="s">
        <v>185</v>
      </c>
      <c r="Z84" s="158" t="s">
        <v>185</v>
      </c>
      <c r="AA84" s="158" t="str">
        <f>IF(AWS_2[[#This Row],[Column14]]="-","", "v")</f>
        <v/>
      </c>
      <c r="AB84" s="158" t="str">
        <f>IF(AWS_2[[#This Row],[Column8]]="x","1",(IF(OR(AWS_2[[#This Row],[Column25]]=2,AWS_2[[#This Row],[Column26]]=2,AWS_2[[#This Row],[Column27]]=2),"1",(IF(AWS_2[[#This Row],[Column9]]="x","2",(IF(AWS_2[[#This Row],[Column10]]="x","3","")))))))</f>
        <v>2</v>
      </c>
      <c r="AC84" s="454" t="str">
        <f>IF(AWS_2[[#This Row],[Column14]] = "-", AWS_2[[#This Row],[Column14]], LEFT(AWS_2[[#This Row],[Column14]], SEARCH(" ", AWS_2[[#This Row],[Column14]] &amp; " ") - 1))</f>
        <v>-</v>
      </c>
    </row>
    <row r="85" spans="1:29" ht="30">
      <c r="A8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5" s="137" t="str">
        <f>AWS_2[[#This Row],[Column30]]</f>
        <v>-</v>
      </c>
      <c r="C85" s="137">
        <v>6.7</v>
      </c>
      <c r="D85" s="138" t="s">
        <v>399</v>
      </c>
      <c r="E85" s="162" t="s">
        <v>156</v>
      </c>
      <c r="F85" s="489" t="s">
        <v>2134</v>
      </c>
      <c r="G85" s="138" t="s">
        <v>516</v>
      </c>
      <c r="H85" s="204"/>
      <c r="I85" s="164" t="s">
        <v>185</v>
      </c>
      <c r="J85" s="200" t="s">
        <v>185</v>
      </c>
      <c r="K85" s="176" t="s">
        <v>185</v>
      </c>
      <c r="L85" s="176" t="s">
        <v>185</v>
      </c>
      <c r="M85" s="176" t="s">
        <v>185</v>
      </c>
      <c r="N85" s="165" t="s">
        <v>162</v>
      </c>
      <c r="O85" s="165" t="s">
        <v>162</v>
      </c>
      <c r="P85" s="165" t="s">
        <v>162</v>
      </c>
      <c r="Q85" s="165" t="s">
        <v>162</v>
      </c>
      <c r="R85" s="167"/>
      <c r="S85" s="165" t="s">
        <v>162</v>
      </c>
      <c r="T85" s="165" t="s">
        <v>162</v>
      </c>
      <c r="U85" s="158" t="s">
        <v>162</v>
      </c>
      <c r="V85" s="168"/>
      <c r="W85" s="158" t="s">
        <v>967</v>
      </c>
      <c r="X85" s="158" t="s">
        <v>185</v>
      </c>
      <c r="Y85" s="158" t="s">
        <v>185</v>
      </c>
      <c r="Z85" s="158" t="s">
        <v>185</v>
      </c>
      <c r="AA85" s="158" t="str">
        <f>IF(AWS_2[[#This Row],[Column14]]="-","", "v")</f>
        <v/>
      </c>
      <c r="AB85" s="158" t="str">
        <f>IF(AWS_2[[#This Row],[Column8]]="x","1",(IF(OR(AWS_2[[#This Row],[Column25]]=2,AWS_2[[#This Row],[Column26]]=2,AWS_2[[#This Row],[Column27]]=2),"1",(IF(AWS_2[[#This Row],[Column9]]="x","2",(IF(AWS_2[[#This Row],[Column10]]="x","3","")))))))</f>
        <v>2</v>
      </c>
      <c r="AC85" s="454" t="str">
        <f>IF(AWS_2[[#This Row],[Column14]] = "-", AWS_2[[#This Row],[Column14]], LEFT(AWS_2[[#This Row],[Column14]], SEARCH(" ", AWS_2[[#This Row],[Column14]] &amp; " ") - 1))</f>
        <v>-</v>
      </c>
    </row>
    <row r="86" spans="1:29" ht="75">
      <c r="A8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6" s="137" t="str">
        <f>AWS_2[[#This Row],[Column30]]</f>
        <v>-</v>
      </c>
      <c r="C86" s="137">
        <v>6.8</v>
      </c>
      <c r="D86" s="138" t="s">
        <v>182</v>
      </c>
      <c r="E86" s="162" t="s">
        <v>156</v>
      </c>
      <c r="F86" s="489" t="s">
        <v>2135</v>
      </c>
      <c r="G86" s="139" t="s">
        <v>333</v>
      </c>
      <c r="H86" s="204"/>
      <c r="I86" s="204"/>
      <c r="J86" s="200" t="s">
        <v>185</v>
      </c>
      <c r="K86" s="176" t="s">
        <v>185</v>
      </c>
      <c r="L86" s="176" t="s">
        <v>185</v>
      </c>
      <c r="M86" s="176" t="s">
        <v>185</v>
      </c>
      <c r="N86" s="165" t="s">
        <v>162</v>
      </c>
      <c r="O86" s="165" t="s">
        <v>162</v>
      </c>
      <c r="P86" s="165" t="s">
        <v>162</v>
      </c>
      <c r="Q86" s="165" t="s">
        <v>162</v>
      </c>
      <c r="R86" s="167"/>
      <c r="S86" s="165" t="s">
        <v>162</v>
      </c>
      <c r="T86" s="165" t="s">
        <v>162</v>
      </c>
      <c r="U86" s="158" t="s">
        <v>162</v>
      </c>
      <c r="V86" s="168"/>
      <c r="W86" s="158" t="s">
        <v>966</v>
      </c>
      <c r="X86" s="158" t="s">
        <v>185</v>
      </c>
      <c r="Y86" s="158" t="s">
        <v>185</v>
      </c>
      <c r="Z86" s="158" t="s">
        <v>185</v>
      </c>
      <c r="AA86" s="158" t="str">
        <f>IF(AWS_2[[#This Row],[Column14]]="-","", "v")</f>
        <v/>
      </c>
      <c r="AB86" s="158" t="str">
        <f>IF(AWS_2[[#This Row],[Column8]]="x","1",(IF(OR(AWS_2[[#This Row],[Column25]]=2,AWS_2[[#This Row],[Column26]]=2,AWS_2[[#This Row],[Column27]]=2),"1",(IF(AWS_2[[#This Row],[Column9]]="x","2",(IF(AWS_2[[#This Row],[Column10]]="x","3","")))))))</f>
        <v>3</v>
      </c>
      <c r="AC86" s="454" t="str">
        <f>IF(AWS_2[[#This Row],[Column14]] = "-", AWS_2[[#This Row],[Column14]], LEFT(AWS_2[[#This Row],[Column14]], SEARCH(" ", AWS_2[[#This Row],[Column14]] &amp; " ") - 1))</f>
        <v>-</v>
      </c>
    </row>
    <row r="87" spans="1:29" ht="75">
      <c r="A87" s="178" t="s">
        <v>942</v>
      </c>
      <c r="B87" s="154" t="s">
        <v>162</v>
      </c>
      <c r="C87" s="154" t="s">
        <v>162</v>
      </c>
      <c r="D87" s="154" t="s">
        <v>162</v>
      </c>
      <c r="E87" s="154" t="s">
        <v>162</v>
      </c>
      <c r="F87" s="488" t="s">
        <v>2136</v>
      </c>
      <c r="G87" s="157" t="s">
        <v>518</v>
      </c>
      <c r="H87" s="154"/>
      <c r="I87" s="154"/>
      <c r="J87" s="154"/>
      <c r="K87" s="154"/>
      <c r="L87" s="154"/>
      <c r="M87" s="154"/>
      <c r="N87" s="154" t="s">
        <v>162</v>
      </c>
      <c r="O87" s="154" t="s">
        <v>162</v>
      </c>
      <c r="P87" s="154" t="s">
        <v>162</v>
      </c>
      <c r="Q87" s="154" t="s">
        <v>162</v>
      </c>
      <c r="R87" s="154" t="s">
        <v>162</v>
      </c>
      <c r="S87" s="154" t="s">
        <v>162</v>
      </c>
      <c r="T87" s="154" t="s">
        <v>162</v>
      </c>
      <c r="U87" s="245" t="s">
        <v>162</v>
      </c>
      <c r="V87" s="245" t="s">
        <v>162</v>
      </c>
      <c r="W87" s="245" t="s">
        <v>162</v>
      </c>
      <c r="X87" s="245" t="s">
        <v>162</v>
      </c>
      <c r="Y87" s="245" t="s">
        <v>162</v>
      </c>
      <c r="Z87" s="245" t="s">
        <v>162</v>
      </c>
      <c r="AA87" s="154" t="s">
        <v>162</v>
      </c>
      <c r="AB87" s="154" t="s">
        <v>162</v>
      </c>
      <c r="AC87" s="454" t="str">
        <f>IF(AWS_2[[#This Row],[Column14]] = "-", AWS_2[[#This Row],[Column14]], LEFT(AWS_2[[#This Row],[Column14]], SEARCH(" ", AWS_2[[#This Row],[Column14]] &amp; " ") - 1))</f>
        <v>-</v>
      </c>
    </row>
    <row r="88" spans="1:29" ht="45">
      <c r="A8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8" s="137" t="str">
        <f>AWS_2[[#This Row],[Column30]]</f>
        <v>-</v>
      </c>
      <c r="C88" s="137">
        <v>7.1</v>
      </c>
      <c r="D88" s="138" t="s">
        <v>371</v>
      </c>
      <c r="E88" s="162" t="s">
        <v>156</v>
      </c>
      <c r="F88" s="489" t="s">
        <v>2137</v>
      </c>
      <c r="G88" s="138" t="s">
        <v>520</v>
      </c>
      <c r="H88" s="163" t="s">
        <v>185</v>
      </c>
      <c r="I88" s="164" t="s">
        <v>185</v>
      </c>
      <c r="J88" s="200" t="s">
        <v>185</v>
      </c>
      <c r="K88" s="176" t="s">
        <v>185</v>
      </c>
      <c r="L88" s="176" t="s">
        <v>185</v>
      </c>
      <c r="M88" s="176" t="s">
        <v>185</v>
      </c>
      <c r="N88" s="165" t="s">
        <v>162</v>
      </c>
      <c r="O88" s="165" t="s">
        <v>162</v>
      </c>
      <c r="P88" s="165" t="s">
        <v>162</v>
      </c>
      <c r="Q88" s="165" t="s">
        <v>162</v>
      </c>
      <c r="R88" s="167"/>
      <c r="S88" s="165" t="s">
        <v>162</v>
      </c>
      <c r="T88" s="165" t="s">
        <v>162</v>
      </c>
      <c r="U88" s="158" t="s">
        <v>162</v>
      </c>
      <c r="V88" s="168"/>
      <c r="W88" s="158" t="s">
        <v>966</v>
      </c>
      <c r="X88" s="158" t="s">
        <v>185</v>
      </c>
      <c r="Y88" s="158" t="s">
        <v>185</v>
      </c>
      <c r="Z88" s="158" t="s">
        <v>185</v>
      </c>
      <c r="AA88" s="158" t="str">
        <f>IF(AWS_2[[#This Row],[Column14]]="-","", "v")</f>
        <v/>
      </c>
      <c r="AB88" s="158" t="str">
        <f>IF(AWS_2[[#This Row],[Column8]]="x","1",(IF(OR(AWS_2[[#This Row],[Column25]]=2,AWS_2[[#This Row],[Column26]]=2,AWS_2[[#This Row],[Column27]]=2),"1",(IF(AWS_2[[#This Row],[Column9]]="x","2",(IF(AWS_2[[#This Row],[Column10]]="x","3","")))))))</f>
        <v>1</v>
      </c>
      <c r="AC88" s="454" t="str">
        <f>IF(AWS_2[[#This Row],[Column14]] = "-", AWS_2[[#This Row],[Column14]], LEFT(AWS_2[[#This Row],[Column14]], SEARCH(" ", AWS_2[[#This Row],[Column14]] &amp; " ") - 1))</f>
        <v>-</v>
      </c>
    </row>
    <row r="89" spans="1:29" ht="30">
      <c r="A8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NOT(ISBLANK(K89)),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NOT(ISBLANK(L89)),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NOT(ISBLANK(M89)),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89" s="137" t="str">
        <f>AWS_2[[#This Row],[Column30]]</f>
        <v>-</v>
      </c>
      <c r="C89" s="137">
        <v>7.2</v>
      </c>
      <c r="D89" s="138" t="s">
        <v>371</v>
      </c>
      <c r="E89" s="162" t="s">
        <v>157</v>
      </c>
      <c r="F89" s="489" t="s">
        <v>2138</v>
      </c>
      <c r="G89" s="138" t="s">
        <v>522</v>
      </c>
      <c r="H89" s="163" t="s">
        <v>185</v>
      </c>
      <c r="I89" s="164" t="s">
        <v>185</v>
      </c>
      <c r="J89" s="200" t="s">
        <v>185</v>
      </c>
      <c r="K89" s="176" t="s">
        <v>185</v>
      </c>
      <c r="L89" s="176" t="s">
        <v>185</v>
      </c>
      <c r="M89" s="176" t="s">
        <v>185</v>
      </c>
      <c r="N89" s="165" t="s">
        <v>162</v>
      </c>
      <c r="O89" s="165" t="s">
        <v>162</v>
      </c>
      <c r="P89" s="165" t="s">
        <v>162</v>
      </c>
      <c r="Q89" s="165" t="s">
        <v>162</v>
      </c>
      <c r="R89" s="167"/>
      <c r="S89" s="165" t="s">
        <v>162</v>
      </c>
      <c r="T89" s="165" t="s">
        <v>162</v>
      </c>
      <c r="U89" s="158" t="s">
        <v>162</v>
      </c>
      <c r="V89" s="168"/>
      <c r="W89" s="158" t="s">
        <v>966</v>
      </c>
      <c r="X89" s="158" t="s">
        <v>185</v>
      </c>
      <c r="Y89" s="158" t="s">
        <v>185</v>
      </c>
      <c r="Z89" s="158" t="s">
        <v>185</v>
      </c>
      <c r="AA89" s="158" t="str">
        <f>IF(AWS_2[[#This Row],[Column14]]="-","", "v")</f>
        <v/>
      </c>
      <c r="AB89" s="158" t="str">
        <f>IF(AWS_2[[#This Row],[Column8]]="x","1",(IF(OR(AWS_2[[#This Row],[Column25]]=2,AWS_2[[#This Row],[Column26]]=2,AWS_2[[#This Row],[Column27]]=2),"1",(IF(AWS_2[[#This Row],[Column9]]="x","2",(IF(AWS_2[[#This Row],[Column10]]="x","3","")))))))</f>
        <v>1</v>
      </c>
      <c r="AC89" s="454" t="str">
        <f>IF(AWS_2[[#This Row],[Column14]] = "-", AWS_2[[#This Row],[Column14]], LEFT(AWS_2[[#This Row],[Column14]], SEARCH(" ", AWS_2[[#This Row],[Column14]] &amp; " ") - 1))</f>
        <v>-</v>
      </c>
    </row>
    <row r="90" spans="1:29" ht="30">
      <c r="A9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0" s="137" t="str">
        <f>AWS_2[[#This Row],[Column30]]</f>
        <v>-</v>
      </c>
      <c r="C90" s="137">
        <v>7.3</v>
      </c>
      <c r="D90" s="138" t="s">
        <v>371</v>
      </c>
      <c r="E90" s="162" t="s">
        <v>156</v>
      </c>
      <c r="F90" s="489" t="s">
        <v>2139</v>
      </c>
      <c r="G90" s="138" t="s">
        <v>524</v>
      </c>
      <c r="H90" s="163" t="s">
        <v>185</v>
      </c>
      <c r="I90" s="164" t="s">
        <v>185</v>
      </c>
      <c r="J90" s="200" t="s">
        <v>185</v>
      </c>
      <c r="K90" s="176" t="s">
        <v>185</v>
      </c>
      <c r="L90" s="176" t="s">
        <v>185</v>
      </c>
      <c r="M90" s="176"/>
      <c r="N90" s="165" t="s">
        <v>162</v>
      </c>
      <c r="O90" s="165" t="s">
        <v>162</v>
      </c>
      <c r="P90" s="165" t="s">
        <v>162</v>
      </c>
      <c r="Q90" s="165" t="s">
        <v>162</v>
      </c>
      <c r="R90" s="167"/>
      <c r="S90" s="165" t="s">
        <v>162</v>
      </c>
      <c r="T90" s="165" t="s">
        <v>162</v>
      </c>
      <c r="U90" s="158" t="s">
        <v>162</v>
      </c>
      <c r="V90" s="168"/>
      <c r="W90" s="158" t="s">
        <v>966</v>
      </c>
      <c r="X90" s="158" t="s">
        <v>185</v>
      </c>
      <c r="Y90" s="158" t="s">
        <v>185</v>
      </c>
      <c r="Z90" s="158" t="s">
        <v>185</v>
      </c>
      <c r="AA90" s="158" t="str">
        <f>IF(AWS_2[[#This Row],[Column14]]="-","", "v")</f>
        <v/>
      </c>
      <c r="AB90" s="158" t="str">
        <f>IF(AWS_2[[#This Row],[Column8]]="x","1",(IF(OR(AWS_2[[#This Row],[Column25]]=2,AWS_2[[#This Row],[Column26]]=2,AWS_2[[#This Row],[Column27]]=2),"1",(IF(AWS_2[[#This Row],[Column9]]="x","2",(IF(AWS_2[[#This Row],[Column10]]="x","3","")))))))</f>
        <v>1</v>
      </c>
      <c r="AC90" s="454" t="str">
        <f>IF(AWS_2[[#This Row],[Column14]] = "-", AWS_2[[#This Row],[Column14]], LEFT(AWS_2[[#This Row],[Column14]], SEARCH(" ", AWS_2[[#This Row],[Column14]] &amp; " ") - 1))</f>
        <v>-</v>
      </c>
    </row>
    <row r="91" spans="1:29" ht="409.5">
      <c r="A9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1" s="137" t="str">
        <f>AWS_2[[#This Row],[Column30]]</f>
        <v>2.3.2</v>
      </c>
      <c r="C91" s="137">
        <v>7.4</v>
      </c>
      <c r="D91" s="138" t="s">
        <v>371</v>
      </c>
      <c r="E91" s="162" t="s">
        <v>156</v>
      </c>
      <c r="F91" s="489" t="s">
        <v>2140</v>
      </c>
      <c r="G91" s="138" t="s">
        <v>526</v>
      </c>
      <c r="H91" s="163" t="s">
        <v>185</v>
      </c>
      <c r="I91" s="164" t="s">
        <v>185</v>
      </c>
      <c r="J91" s="200" t="s">
        <v>185</v>
      </c>
      <c r="K91" s="176" t="s">
        <v>185</v>
      </c>
      <c r="L91" s="176" t="s">
        <v>185</v>
      </c>
      <c r="M91" s="176"/>
      <c r="N91" s="165" t="s">
        <v>527</v>
      </c>
      <c r="O91" s="197" t="s">
        <v>198</v>
      </c>
      <c r="P91" s="166" t="s">
        <v>528</v>
      </c>
      <c r="Q91" s="166" t="s">
        <v>529</v>
      </c>
      <c r="R91" s="167" t="s">
        <v>530</v>
      </c>
      <c r="S91" s="166" t="s">
        <v>531</v>
      </c>
      <c r="T91" s="166" t="s">
        <v>532</v>
      </c>
      <c r="U91" s="158" t="s">
        <v>162</v>
      </c>
      <c r="V91" s="168" t="s">
        <v>899</v>
      </c>
      <c r="W91" s="158" t="s">
        <v>967</v>
      </c>
      <c r="X91" s="158" t="s">
        <v>185</v>
      </c>
      <c r="Y91" s="158" t="s">
        <v>185</v>
      </c>
      <c r="Z91" s="158" t="s">
        <v>185</v>
      </c>
      <c r="AA91" s="158" t="str">
        <f>IF(AWS_2[[#This Row],[Column14]]="-","", "v")</f>
        <v>v</v>
      </c>
      <c r="AB91" s="158" t="str">
        <f>IF(AWS_2[[#This Row],[Column8]]="x","1",(IF(OR(AWS_2[[#This Row],[Column25]]=2,AWS_2[[#This Row],[Column26]]=2,AWS_2[[#This Row],[Column27]]=2),"1",(IF(AWS_2[[#This Row],[Column9]]="x","2",(IF(AWS_2[[#This Row],[Column10]]="x","3","")))))))</f>
        <v>1</v>
      </c>
      <c r="AC91" s="454" t="str">
        <f>IF(AWS_2[[#This Row],[Column14]] = "-", AWS_2[[#This Row],[Column14]], LEFT(AWS_2[[#This Row],[Column14]], SEARCH(" ", AWS_2[[#This Row],[Column14]] &amp; " ") - 1))</f>
        <v>2.3.2</v>
      </c>
    </row>
    <row r="92" spans="1:29" ht="45.75">
      <c r="A9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2" s="137" t="str">
        <f>AWS_2[[#This Row],[Column30]]</f>
        <v>-</v>
      </c>
      <c r="C92" s="137">
        <v>7.5</v>
      </c>
      <c r="D92" s="138" t="s">
        <v>371</v>
      </c>
      <c r="E92" s="162" t="s">
        <v>154</v>
      </c>
      <c r="F92" s="489" t="s">
        <v>2141</v>
      </c>
      <c r="G92" s="138" t="s">
        <v>534</v>
      </c>
      <c r="H92" s="204"/>
      <c r="I92" s="164" t="s">
        <v>185</v>
      </c>
      <c r="J92" s="200" t="s">
        <v>185</v>
      </c>
      <c r="K92" s="176" t="s">
        <v>185</v>
      </c>
      <c r="L92" s="176" t="s">
        <v>185</v>
      </c>
      <c r="M92" s="176"/>
      <c r="N92" s="165" t="s">
        <v>162</v>
      </c>
      <c r="O92" s="165" t="s">
        <v>162</v>
      </c>
      <c r="P92" s="165" t="s">
        <v>162</v>
      </c>
      <c r="Q92" s="165" t="s">
        <v>162</v>
      </c>
      <c r="R92" s="167"/>
      <c r="S92" s="165" t="s">
        <v>162</v>
      </c>
      <c r="T92" s="165" t="s">
        <v>162</v>
      </c>
      <c r="U92" s="158" t="s">
        <v>162</v>
      </c>
      <c r="V92" s="168"/>
      <c r="W92" s="158" t="s">
        <v>966</v>
      </c>
      <c r="X92" s="158" t="s">
        <v>185</v>
      </c>
      <c r="Y92" s="158" t="s">
        <v>185</v>
      </c>
      <c r="Z92" s="158" t="s">
        <v>185</v>
      </c>
      <c r="AA92" s="158" t="str">
        <f>IF(AWS_2[[#This Row],[Column14]]="-","", "v")</f>
        <v/>
      </c>
      <c r="AB92" s="158" t="str">
        <f>IF(AWS_2[[#This Row],[Column8]]="x","1",(IF(OR(AWS_2[[#This Row],[Column25]]=2,AWS_2[[#This Row],[Column26]]=2,AWS_2[[#This Row],[Column27]]=2),"1",(IF(AWS_2[[#This Row],[Column9]]="x","2",(IF(AWS_2[[#This Row],[Column10]]="x","3","")))))))</f>
        <v>2</v>
      </c>
      <c r="AC92" s="454" t="str">
        <f>IF(AWS_2[[#This Row],[Column14]] = "-", AWS_2[[#This Row],[Column14]], LEFT(AWS_2[[#This Row],[Column14]], SEARCH(" ", AWS_2[[#This Row],[Column14]] &amp; " ") - 1))</f>
        <v>-</v>
      </c>
    </row>
    <row r="93" spans="1:29" ht="45">
      <c r="A9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3" s="137" t="str">
        <f>AWS_2[[#This Row],[Column30]]</f>
        <v>-</v>
      </c>
      <c r="C93" s="137">
        <v>7.6</v>
      </c>
      <c r="D93" s="138" t="s">
        <v>371</v>
      </c>
      <c r="E93" s="162" t="s">
        <v>154</v>
      </c>
      <c r="F93" s="489" t="s">
        <v>2142</v>
      </c>
      <c r="G93" s="138" t="s">
        <v>536</v>
      </c>
      <c r="H93" s="204"/>
      <c r="I93" s="164" t="s">
        <v>185</v>
      </c>
      <c r="J93" s="200" t="s">
        <v>185</v>
      </c>
      <c r="K93" s="176" t="s">
        <v>185</v>
      </c>
      <c r="L93" s="176" t="s">
        <v>185</v>
      </c>
      <c r="M93" s="176"/>
      <c r="N93" s="165" t="s">
        <v>162</v>
      </c>
      <c r="O93" s="165" t="s">
        <v>162</v>
      </c>
      <c r="P93" s="165" t="s">
        <v>162</v>
      </c>
      <c r="Q93" s="165" t="s">
        <v>162</v>
      </c>
      <c r="R93" s="167"/>
      <c r="S93" s="165" t="s">
        <v>162</v>
      </c>
      <c r="T93" s="165" t="s">
        <v>162</v>
      </c>
      <c r="U93" s="158" t="s">
        <v>162</v>
      </c>
      <c r="V93" s="168"/>
      <c r="W93" s="158" t="s">
        <v>966</v>
      </c>
      <c r="X93" s="158" t="s">
        <v>185</v>
      </c>
      <c r="Y93" s="158" t="s">
        <v>185</v>
      </c>
      <c r="Z93" s="158" t="s">
        <v>185</v>
      </c>
      <c r="AA93" s="158" t="str">
        <f>IF(AWS_2[[#This Row],[Column14]]="-","", "v")</f>
        <v/>
      </c>
      <c r="AB93" s="158" t="str">
        <f>IF(AWS_2[[#This Row],[Column8]]="x","1",(IF(OR(AWS_2[[#This Row],[Column25]]=2,AWS_2[[#This Row],[Column26]]=2,AWS_2[[#This Row],[Column27]]=2),"1",(IF(AWS_2[[#This Row],[Column9]]="x","2",(IF(AWS_2[[#This Row],[Column10]]="x","3","")))))))</f>
        <v>2</v>
      </c>
      <c r="AC93" s="454" t="str">
        <f>IF(AWS_2[[#This Row],[Column14]] = "-", AWS_2[[#This Row],[Column14]], LEFT(AWS_2[[#This Row],[Column14]], SEARCH(" ", AWS_2[[#This Row],[Column14]] &amp; " ") - 1))</f>
        <v>-</v>
      </c>
    </row>
    <row r="94" spans="1:29" ht="30">
      <c r="A9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4" s="137" t="str">
        <f>AWS_2[[#This Row],[Column30]]</f>
        <v>-</v>
      </c>
      <c r="C94" s="137">
        <v>7.7</v>
      </c>
      <c r="D94" s="138" t="s">
        <v>371</v>
      </c>
      <c r="E94" s="162" t="s">
        <v>157</v>
      </c>
      <c r="F94" s="489" t="s">
        <v>2143</v>
      </c>
      <c r="G94" s="138" t="s">
        <v>538</v>
      </c>
      <c r="H94" s="204"/>
      <c r="I94" s="164" t="s">
        <v>185</v>
      </c>
      <c r="J94" s="200" t="s">
        <v>185</v>
      </c>
      <c r="K94" s="176" t="s">
        <v>185</v>
      </c>
      <c r="L94" s="176" t="s">
        <v>185</v>
      </c>
      <c r="M94" s="176"/>
      <c r="N94" s="165" t="s">
        <v>162</v>
      </c>
      <c r="O94" s="165" t="s">
        <v>162</v>
      </c>
      <c r="P94" s="165" t="s">
        <v>162</v>
      </c>
      <c r="Q94" s="165" t="s">
        <v>162</v>
      </c>
      <c r="R94" s="167"/>
      <c r="S94" s="165" t="s">
        <v>162</v>
      </c>
      <c r="T94" s="165" t="s">
        <v>162</v>
      </c>
      <c r="U94" s="158" t="s">
        <v>162</v>
      </c>
      <c r="V94" s="168"/>
      <c r="W94" s="158" t="s">
        <v>966</v>
      </c>
      <c r="X94" s="158" t="s">
        <v>185</v>
      </c>
      <c r="Y94" s="158" t="s">
        <v>185</v>
      </c>
      <c r="Z94" s="158" t="s">
        <v>185</v>
      </c>
      <c r="AA94" s="158" t="str">
        <f>IF(AWS_2[[#This Row],[Column14]]="-","", "v")</f>
        <v/>
      </c>
      <c r="AB94" s="158" t="str">
        <f>IF(AWS_2[[#This Row],[Column8]]="x","1",(IF(OR(AWS_2[[#This Row],[Column25]]=2,AWS_2[[#This Row],[Column26]]=2,AWS_2[[#This Row],[Column27]]=2),"1",(IF(AWS_2[[#This Row],[Column9]]="x","2",(IF(AWS_2[[#This Row],[Column10]]="x","3","")))))))</f>
        <v>2</v>
      </c>
      <c r="AC94" s="454" t="str">
        <f>IF(AWS_2[[#This Row],[Column14]] = "-", AWS_2[[#This Row],[Column14]], LEFT(AWS_2[[#This Row],[Column14]], SEARCH(" ", AWS_2[[#This Row],[Column14]] &amp; " ") - 1))</f>
        <v>-</v>
      </c>
    </row>
    <row r="95" spans="1:29" ht="30">
      <c r="A95" s="178" t="s">
        <v>942</v>
      </c>
      <c r="B95" s="154" t="s">
        <v>162</v>
      </c>
      <c r="C95" s="154" t="s">
        <v>162</v>
      </c>
      <c r="D95" s="154" t="s">
        <v>162</v>
      </c>
      <c r="E95" s="154" t="s">
        <v>162</v>
      </c>
      <c r="F95" s="488" t="s">
        <v>2144</v>
      </c>
      <c r="G95" s="157" t="s">
        <v>540</v>
      </c>
      <c r="H95" s="154"/>
      <c r="I95" s="154"/>
      <c r="J95" s="154"/>
      <c r="K95" s="161"/>
      <c r="L95" s="161"/>
      <c r="M95" s="161"/>
      <c r="N95" s="154" t="s">
        <v>162</v>
      </c>
      <c r="O95" s="154" t="s">
        <v>162</v>
      </c>
      <c r="P95" s="154" t="s">
        <v>162</v>
      </c>
      <c r="Q95" s="154" t="s">
        <v>162</v>
      </c>
      <c r="R95" s="167"/>
      <c r="S95" s="154" t="s">
        <v>162</v>
      </c>
      <c r="T95" s="154" t="s">
        <v>162</v>
      </c>
      <c r="U95" s="245" t="s">
        <v>162</v>
      </c>
      <c r="V95" s="245" t="s">
        <v>162</v>
      </c>
      <c r="W95" s="245" t="s">
        <v>162</v>
      </c>
      <c r="X95" s="245" t="s">
        <v>162</v>
      </c>
      <c r="Y95" s="245" t="s">
        <v>162</v>
      </c>
      <c r="Z95" s="245" t="s">
        <v>162</v>
      </c>
      <c r="AA95" s="154" t="s">
        <v>162</v>
      </c>
      <c r="AB95" s="154" t="s">
        <v>162</v>
      </c>
      <c r="AC95" s="454" t="str">
        <f>IF(AWS_2[[#This Row],[Column14]] = "-", AWS_2[[#This Row],[Column14]], LEFT(AWS_2[[#This Row],[Column14]], SEARCH(" ", AWS_2[[#This Row],[Column14]] &amp; " ") - 1))</f>
        <v>-</v>
      </c>
    </row>
    <row r="96" spans="1:29" ht="75.75">
      <c r="A9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6" s="137" t="str">
        <f>AWS_2[[#This Row],[Column30]]</f>
        <v>-</v>
      </c>
      <c r="C96" s="137">
        <v>8.1</v>
      </c>
      <c r="D96" s="138" t="s">
        <v>390</v>
      </c>
      <c r="E96" s="162" t="s">
        <v>156</v>
      </c>
      <c r="F96" s="489" t="s">
        <v>2145</v>
      </c>
      <c r="G96" s="138" t="s">
        <v>542</v>
      </c>
      <c r="H96" s="163" t="s">
        <v>185</v>
      </c>
      <c r="I96" s="164" t="s">
        <v>185</v>
      </c>
      <c r="J96" s="200" t="s">
        <v>185</v>
      </c>
      <c r="K96" s="176" t="s">
        <v>185</v>
      </c>
      <c r="L96" s="176" t="s">
        <v>185</v>
      </c>
      <c r="M96" s="176" t="s">
        <v>185</v>
      </c>
      <c r="N96" s="165" t="s">
        <v>162</v>
      </c>
      <c r="O96" s="165" t="s">
        <v>162</v>
      </c>
      <c r="P96" s="165" t="s">
        <v>162</v>
      </c>
      <c r="Q96" s="165" t="s">
        <v>162</v>
      </c>
      <c r="R96" s="167"/>
      <c r="S96" s="165" t="s">
        <v>162</v>
      </c>
      <c r="T96" s="165" t="s">
        <v>162</v>
      </c>
      <c r="U96" s="158" t="s">
        <v>162</v>
      </c>
      <c r="V96" s="168"/>
      <c r="W96" s="158" t="s">
        <v>966</v>
      </c>
      <c r="X96" s="158" t="s">
        <v>185</v>
      </c>
      <c r="Y96" s="158" t="s">
        <v>185</v>
      </c>
      <c r="Z96" s="158"/>
      <c r="AA96" s="158" t="str">
        <f>IF(AWS_2[[#This Row],[Column14]]="-","", "v")</f>
        <v/>
      </c>
      <c r="AB96" s="158" t="str">
        <f>IF(AWS_2[[#This Row],[Column8]]="x","1",(IF(OR(AWS_2[[#This Row],[Column25]]=2,AWS_2[[#This Row],[Column26]]=2,AWS_2[[#This Row],[Column27]]=2),"1",(IF(AWS_2[[#This Row],[Column9]]="x","2",(IF(AWS_2[[#This Row],[Column10]]="x","3","")))))))</f>
        <v>1</v>
      </c>
      <c r="AC96" s="454" t="str">
        <f>IF(AWS_2[[#This Row],[Column14]] = "-", AWS_2[[#This Row],[Column14]], LEFT(AWS_2[[#This Row],[Column14]], SEARCH(" ", AWS_2[[#This Row],[Column14]] &amp; " ") - 1))</f>
        <v>-</v>
      </c>
    </row>
    <row r="97" spans="1:29" ht="409.5">
      <c r="A9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7" s="137" t="str">
        <f>AWS_2[[#This Row],[Column30]]</f>
        <v>3.6</v>
      </c>
      <c r="C97" s="137">
        <v>8.1999999999999993</v>
      </c>
      <c r="D97" s="138" t="s">
        <v>390</v>
      </c>
      <c r="E97" s="162" t="s">
        <v>155</v>
      </c>
      <c r="F97" s="489" t="s">
        <v>2146</v>
      </c>
      <c r="G97" s="138" t="s">
        <v>544</v>
      </c>
      <c r="H97" s="163" t="s">
        <v>185</v>
      </c>
      <c r="I97" s="164" t="s">
        <v>185</v>
      </c>
      <c r="J97" s="200" t="s">
        <v>185</v>
      </c>
      <c r="K97" s="176" t="s">
        <v>185</v>
      </c>
      <c r="L97" s="176" t="s">
        <v>185</v>
      </c>
      <c r="M97" s="176" t="s">
        <v>185</v>
      </c>
      <c r="N97" s="165" t="s">
        <v>326</v>
      </c>
      <c r="O97" s="197" t="s">
        <v>198</v>
      </c>
      <c r="P97" s="166" t="s">
        <v>327</v>
      </c>
      <c r="Q97" s="166" t="s">
        <v>328</v>
      </c>
      <c r="R97" s="167" t="s">
        <v>329</v>
      </c>
      <c r="S97" s="166" t="s">
        <v>330</v>
      </c>
      <c r="T97" s="166" t="s">
        <v>545</v>
      </c>
      <c r="U97" s="158" t="s">
        <v>162</v>
      </c>
      <c r="V97" s="168" t="s">
        <v>905</v>
      </c>
      <c r="W97" s="158" t="s">
        <v>967</v>
      </c>
      <c r="X97" s="158" t="s">
        <v>185</v>
      </c>
      <c r="Y97" s="158" t="s">
        <v>185</v>
      </c>
      <c r="Z97" s="158"/>
      <c r="AA97" s="158" t="str">
        <f>IF(AWS_2[[#This Row],[Column14]]="-","", "v")</f>
        <v>v</v>
      </c>
      <c r="AB97" s="158" t="str">
        <f>IF(AWS_2[[#This Row],[Column8]]="x","1",(IF(OR(AWS_2[[#This Row],[Column25]]=2,AWS_2[[#This Row],[Column26]]=2,AWS_2[[#This Row],[Column27]]=2),"1",(IF(AWS_2[[#This Row],[Column9]]="x","2",(IF(AWS_2[[#This Row],[Column10]]="x","3","")))))))</f>
        <v>1</v>
      </c>
      <c r="AC97" s="454" t="str">
        <f>IF(AWS_2[[#This Row],[Column14]] = "-", AWS_2[[#This Row],[Column14]], LEFT(AWS_2[[#This Row],[Column14]], SEARCH(" ", AWS_2[[#This Row],[Column14]] &amp; " ") - 1))</f>
        <v>3.6</v>
      </c>
    </row>
    <row r="98" spans="1:29" ht="409.5">
      <c r="A9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8" s="137" t="str">
        <f>AWS_2[[#This Row],[Column30]]</f>
        <v>3.9</v>
      </c>
      <c r="C98" s="137">
        <v>8.1999999999999993</v>
      </c>
      <c r="D98" s="138" t="s">
        <v>390</v>
      </c>
      <c r="E98" s="162" t="s">
        <v>155</v>
      </c>
      <c r="F98" s="489" t="s">
        <v>2146</v>
      </c>
      <c r="G98" s="138" t="s">
        <v>544</v>
      </c>
      <c r="H98" s="163" t="s">
        <v>185</v>
      </c>
      <c r="I98" s="164" t="s">
        <v>185</v>
      </c>
      <c r="J98" s="200" t="s">
        <v>185</v>
      </c>
      <c r="K98" s="176" t="s">
        <v>185</v>
      </c>
      <c r="L98" s="176" t="s">
        <v>185</v>
      </c>
      <c r="M98" s="176" t="s">
        <v>185</v>
      </c>
      <c r="N98" s="165" t="s">
        <v>546</v>
      </c>
      <c r="O98" s="197" t="s">
        <v>187</v>
      </c>
      <c r="P98" s="166" t="s">
        <v>547</v>
      </c>
      <c r="Q98" s="166" t="s">
        <v>548</v>
      </c>
      <c r="R98" s="167" t="s">
        <v>549</v>
      </c>
      <c r="S98" s="166" t="s">
        <v>550</v>
      </c>
      <c r="T98" s="166" t="s">
        <v>551</v>
      </c>
      <c r="U98" s="158" t="s">
        <v>162</v>
      </c>
      <c r="V98" s="168" t="s">
        <v>912</v>
      </c>
      <c r="W98" s="158" t="s">
        <v>967</v>
      </c>
      <c r="X98" s="158" t="s">
        <v>185</v>
      </c>
      <c r="Y98" s="158" t="s">
        <v>185</v>
      </c>
      <c r="Z98" s="158"/>
      <c r="AA98" s="158" t="str">
        <f>IF(AWS_2[[#This Row],[Column14]]="-","", "v")</f>
        <v>v</v>
      </c>
      <c r="AB98" s="158" t="str">
        <f>IF(AWS_2[[#This Row],[Column8]]="x","1",(IF(OR(AWS_2[[#This Row],[Column25]]=2,AWS_2[[#This Row],[Column26]]=2,AWS_2[[#This Row],[Column27]]=2),"1",(IF(AWS_2[[#This Row],[Column9]]="x","2",(IF(AWS_2[[#This Row],[Column10]]="x","3","")))))))</f>
        <v>1</v>
      </c>
      <c r="AC98" s="454" t="str">
        <f>IF(AWS_2[[#This Row],[Column14]] = "-", AWS_2[[#This Row],[Column14]], LEFT(AWS_2[[#This Row],[Column14]], SEARCH(" ", AWS_2[[#This Row],[Column14]] &amp; " ") - 1))</f>
        <v>3.9</v>
      </c>
    </row>
    <row r="99" spans="1:29" ht="30">
      <c r="A9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NOT(ISBLANK(K99)),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NOT(ISBLANK(L99)),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NOT(ISBLANK(M99)),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99" s="137" t="str">
        <f>AWS_2[[#This Row],[Column30]]</f>
        <v>-</v>
      </c>
      <c r="C99" s="137">
        <v>8.3000000000000007</v>
      </c>
      <c r="D99" s="138" t="s">
        <v>390</v>
      </c>
      <c r="E99" s="162" t="s">
        <v>156</v>
      </c>
      <c r="F99" s="489" t="s">
        <v>2147</v>
      </c>
      <c r="G99" s="138" t="s">
        <v>553</v>
      </c>
      <c r="H99" s="163" t="s">
        <v>185</v>
      </c>
      <c r="I99" s="164" t="s">
        <v>185</v>
      </c>
      <c r="J99" s="200" t="s">
        <v>185</v>
      </c>
      <c r="K99" s="176" t="s">
        <v>185</v>
      </c>
      <c r="L99" s="176" t="s">
        <v>185</v>
      </c>
      <c r="M99" s="176" t="s">
        <v>185</v>
      </c>
      <c r="N99" s="165" t="s">
        <v>162</v>
      </c>
      <c r="O99" s="165" t="s">
        <v>162</v>
      </c>
      <c r="P99" s="165" t="s">
        <v>162</v>
      </c>
      <c r="Q99" s="165" t="s">
        <v>162</v>
      </c>
      <c r="R99" s="167"/>
      <c r="S99" s="165" t="s">
        <v>162</v>
      </c>
      <c r="T99" s="165" t="s">
        <v>162</v>
      </c>
      <c r="U99" s="158" t="s">
        <v>162</v>
      </c>
      <c r="V99" s="168"/>
      <c r="W99" s="158" t="s">
        <v>966</v>
      </c>
      <c r="X99" s="158" t="s">
        <v>185</v>
      </c>
      <c r="Y99" s="158" t="s">
        <v>185</v>
      </c>
      <c r="Z99" s="158"/>
      <c r="AA99" s="158" t="str">
        <f>IF(AWS_2[[#This Row],[Column14]]="-","", "v")</f>
        <v/>
      </c>
      <c r="AB99" s="158" t="str">
        <f>IF(AWS_2[[#This Row],[Column8]]="x","1",(IF(OR(AWS_2[[#This Row],[Column25]]=2,AWS_2[[#This Row],[Column26]]=2,AWS_2[[#This Row],[Column27]]=2),"1",(IF(AWS_2[[#This Row],[Column9]]="x","2",(IF(AWS_2[[#This Row],[Column10]]="x","3","")))))))</f>
        <v>1</v>
      </c>
      <c r="AC99" s="454" t="str">
        <f>IF(AWS_2[[#This Row],[Column14]] = "-", AWS_2[[#This Row],[Column14]], LEFT(AWS_2[[#This Row],[Column14]], SEARCH(" ", AWS_2[[#This Row],[Column14]] &amp; " ") - 1))</f>
        <v>-</v>
      </c>
    </row>
    <row r="100" spans="1:29" ht="30">
      <c r="A10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0" s="137" t="str">
        <f>AWS_2[[#This Row],[Column30]]</f>
        <v>-</v>
      </c>
      <c r="C100" s="137">
        <v>8.4</v>
      </c>
      <c r="D100" s="138" t="s">
        <v>390</v>
      </c>
      <c r="E100" s="162" t="s">
        <v>156</v>
      </c>
      <c r="F100" s="489" t="s">
        <v>2148</v>
      </c>
      <c r="G100" s="138" t="s">
        <v>555</v>
      </c>
      <c r="H100" s="137"/>
      <c r="I100" s="164" t="s">
        <v>185</v>
      </c>
      <c r="J100" s="200" t="s">
        <v>185</v>
      </c>
      <c r="K100" s="176" t="s">
        <v>185</v>
      </c>
      <c r="L100" s="158"/>
      <c r="M100" s="158"/>
      <c r="N100" s="165" t="s">
        <v>162</v>
      </c>
      <c r="O100" s="165" t="s">
        <v>162</v>
      </c>
      <c r="P100" s="165" t="s">
        <v>162</v>
      </c>
      <c r="Q100" s="165" t="s">
        <v>162</v>
      </c>
      <c r="R100" s="167"/>
      <c r="S100" s="165" t="s">
        <v>162</v>
      </c>
      <c r="T100" s="165" t="s">
        <v>162</v>
      </c>
      <c r="U100" s="158" t="s">
        <v>162</v>
      </c>
      <c r="V100" s="168"/>
      <c r="W100" s="158" t="s">
        <v>966</v>
      </c>
      <c r="X100" s="158" t="s">
        <v>185</v>
      </c>
      <c r="Y100" s="158" t="s">
        <v>185</v>
      </c>
      <c r="Z100" s="158"/>
      <c r="AA100" s="158" t="str">
        <f>IF(AWS_2[[#This Row],[Column14]]="-","", "v")</f>
        <v/>
      </c>
      <c r="AB100" s="158" t="str">
        <f>IF(AWS_2[[#This Row],[Column8]]="x","1",(IF(OR(AWS_2[[#This Row],[Column25]]=2,AWS_2[[#This Row],[Column26]]=2,AWS_2[[#This Row],[Column27]]=2),"1",(IF(AWS_2[[#This Row],[Column9]]="x","2",(IF(AWS_2[[#This Row],[Column10]]="x","3","")))))))</f>
        <v>2</v>
      </c>
      <c r="AC100" s="454" t="str">
        <f>IF(AWS_2[[#This Row],[Column14]] = "-", AWS_2[[#This Row],[Column14]], LEFT(AWS_2[[#This Row],[Column14]], SEARCH(" ", AWS_2[[#This Row],[Column14]] &amp; " ") - 1))</f>
        <v>-</v>
      </c>
    </row>
    <row r="101" spans="1:29" ht="409.5">
      <c r="A10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1" s="137" t="str">
        <f>AWS_2[[#This Row],[Column30]]</f>
        <v>3.1</v>
      </c>
      <c r="C101" s="137">
        <v>8.5</v>
      </c>
      <c r="D101" s="138" t="s">
        <v>390</v>
      </c>
      <c r="E101" s="162" t="s">
        <v>155</v>
      </c>
      <c r="F101" s="489" t="s">
        <v>2149</v>
      </c>
      <c r="G101" s="138" t="s">
        <v>557</v>
      </c>
      <c r="H101" s="204"/>
      <c r="I101" s="164" t="s">
        <v>185</v>
      </c>
      <c r="J101" s="200" t="s">
        <v>185</v>
      </c>
      <c r="K101" s="176" t="s">
        <v>185</v>
      </c>
      <c r="L101" s="176" t="s">
        <v>185</v>
      </c>
      <c r="M101" s="176" t="s">
        <v>185</v>
      </c>
      <c r="N101" s="165" t="s">
        <v>558</v>
      </c>
      <c r="O101" s="197" t="s">
        <v>198</v>
      </c>
      <c r="P101" s="166" t="s">
        <v>559</v>
      </c>
      <c r="Q101" s="166" t="s">
        <v>560</v>
      </c>
      <c r="R101" s="167" t="s">
        <v>561</v>
      </c>
      <c r="S101" s="166" t="s">
        <v>562</v>
      </c>
      <c r="T101" s="166" t="s">
        <v>563</v>
      </c>
      <c r="U101" s="158" t="s">
        <v>162</v>
      </c>
      <c r="V101" s="168" t="s">
        <v>911</v>
      </c>
      <c r="W101" s="158" t="s">
        <v>967</v>
      </c>
      <c r="X101" s="158" t="s">
        <v>185</v>
      </c>
      <c r="Y101" s="158" t="s">
        <v>185</v>
      </c>
      <c r="Z101" s="158"/>
      <c r="AA101" s="158" t="str">
        <f>IF(AWS_2[[#This Row],[Column14]]="-","", "v")</f>
        <v>v</v>
      </c>
      <c r="AB101" s="158" t="str">
        <f>IF(AWS_2[[#This Row],[Column8]]="x","1",(IF(OR(AWS_2[[#This Row],[Column25]]=2,AWS_2[[#This Row],[Column26]]=2,AWS_2[[#This Row],[Column27]]=2),"1",(IF(AWS_2[[#This Row],[Column9]]="x","2",(IF(AWS_2[[#This Row],[Column10]]="x","3","")))))))</f>
        <v>2</v>
      </c>
      <c r="AC101" s="454" t="str">
        <f>IF(AWS_2[[#This Row],[Column14]] = "-", AWS_2[[#This Row],[Column14]], LEFT(AWS_2[[#This Row],[Column14]], SEARCH(" ", AWS_2[[#This Row],[Column14]] &amp; " ") - 1))</f>
        <v>3.1</v>
      </c>
    </row>
    <row r="102" spans="1:29" ht="409.5">
      <c r="A10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2" s="137" t="str">
        <f>AWS_2[[#This Row],[Column30]]</f>
        <v>3.4</v>
      </c>
      <c r="C102" s="137">
        <v>8.5</v>
      </c>
      <c r="D102" s="138" t="s">
        <v>390</v>
      </c>
      <c r="E102" s="162" t="s">
        <v>155</v>
      </c>
      <c r="F102" s="489" t="s">
        <v>2149</v>
      </c>
      <c r="G102" s="138" t="s">
        <v>557</v>
      </c>
      <c r="H102" s="204"/>
      <c r="I102" s="164" t="s">
        <v>185</v>
      </c>
      <c r="J102" s="200" t="s">
        <v>185</v>
      </c>
      <c r="K102" s="176" t="s">
        <v>185</v>
      </c>
      <c r="L102" s="176" t="s">
        <v>185</v>
      </c>
      <c r="M102" s="176" t="s">
        <v>185</v>
      </c>
      <c r="N102" s="165" t="s">
        <v>564</v>
      </c>
      <c r="O102" s="197" t="s">
        <v>198</v>
      </c>
      <c r="P102" s="166" t="s">
        <v>565</v>
      </c>
      <c r="Q102" s="166" t="s">
        <v>566</v>
      </c>
      <c r="R102" s="167" t="s">
        <v>567</v>
      </c>
      <c r="S102" s="166" t="s">
        <v>568</v>
      </c>
      <c r="T102" s="166" t="s">
        <v>569</v>
      </c>
      <c r="U102" s="158" t="s">
        <v>975</v>
      </c>
      <c r="V102" s="168" t="s">
        <v>913</v>
      </c>
      <c r="W102" s="158" t="s">
        <v>967</v>
      </c>
      <c r="X102" s="158" t="s">
        <v>185</v>
      </c>
      <c r="Y102" s="158" t="s">
        <v>185</v>
      </c>
      <c r="Z102" s="158"/>
      <c r="AA102" s="158" t="str">
        <f>IF(AWS_2[[#This Row],[Column14]]="-","", "v")</f>
        <v>v</v>
      </c>
      <c r="AB102" s="158" t="str">
        <f>IF(AWS_2[[#This Row],[Column8]]="x","1",(IF(OR(AWS_2[[#This Row],[Column25]]=2,AWS_2[[#This Row],[Column26]]=2,AWS_2[[#This Row],[Column27]]=2),"1",(IF(AWS_2[[#This Row],[Column9]]="x","2",(IF(AWS_2[[#This Row],[Column10]]="x","3","")))))))</f>
        <v>2</v>
      </c>
      <c r="AC102" s="454" t="str">
        <f>IF(AWS_2[[#This Row],[Column14]] = "-", AWS_2[[#This Row],[Column14]], LEFT(AWS_2[[#This Row],[Column14]], SEARCH(" ", AWS_2[[#This Row],[Column14]] &amp; " ") - 1))</f>
        <v>3.4</v>
      </c>
    </row>
    <row r="103" spans="1:29" ht="409.5">
      <c r="A10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3" s="137" t="str">
        <f>AWS_2[[#This Row],[Column30]]</f>
        <v>3.10</v>
      </c>
      <c r="C103" s="137">
        <v>8.5</v>
      </c>
      <c r="D103" s="138" t="s">
        <v>390</v>
      </c>
      <c r="E103" s="162" t="s">
        <v>155</v>
      </c>
      <c r="F103" s="489" t="s">
        <v>2149</v>
      </c>
      <c r="G103" s="138" t="s">
        <v>557</v>
      </c>
      <c r="H103" s="204"/>
      <c r="I103" s="164" t="s">
        <v>185</v>
      </c>
      <c r="J103" s="200" t="s">
        <v>185</v>
      </c>
      <c r="K103" s="176" t="s">
        <v>185</v>
      </c>
      <c r="L103" s="176" t="s">
        <v>185</v>
      </c>
      <c r="M103" s="176" t="s">
        <v>185</v>
      </c>
      <c r="N103" s="165" t="s">
        <v>570</v>
      </c>
      <c r="O103" s="197" t="s">
        <v>187</v>
      </c>
      <c r="P103" s="166" t="s">
        <v>571</v>
      </c>
      <c r="Q103" s="166" t="s">
        <v>572</v>
      </c>
      <c r="R103" s="167" t="s">
        <v>573</v>
      </c>
      <c r="S103" s="166" t="s">
        <v>574</v>
      </c>
      <c r="T103" s="166" t="s">
        <v>575</v>
      </c>
      <c r="U103" s="158" t="s">
        <v>162</v>
      </c>
      <c r="V103" s="168" t="s">
        <v>914</v>
      </c>
      <c r="W103" s="158" t="s">
        <v>967</v>
      </c>
      <c r="X103" s="158" t="s">
        <v>185</v>
      </c>
      <c r="Y103" s="158" t="s">
        <v>185</v>
      </c>
      <c r="Z103" s="158"/>
      <c r="AA103" s="158" t="str">
        <f>IF(AWS_2[[#This Row],[Column14]]="-","", "v")</f>
        <v>v</v>
      </c>
      <c r="AB103" s="158" t="str">
        <f>IF(AWS_2[[#This Row],[Column8]]="x","1",(IF(OR(AWS_2[[#This Row],[Column25]]=2,AWS_2[[#This Row],[Column26]]=2,AWS_2[[#This Row],[Column27]]=2),"1",(IF(AWS_2[[#This Row],[Column9]]="x","2",(IF(AWS_2[[#This Row],[Column10]]="x","3","")))))))</f>
        <v>2</v>
      </c>
      <c r="AC103" s="454" t="str">
        <f>IF(AWS_2[[#This Row],[Column14]] = "-", AWS_2[[#This Row],[Column14]], LEFT(AWS_2[[#This Row],[Column14]], SEARCH(" ", AWS_2[[#This Row],[Column14]] &amp; " ") - 1))</f>
        <v>3.10</v>
      </c>
    </row>
    <row r="104" spans="1:29" ht="409.5">
      <c r="A10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4" s="137" t="str">
        <f>AWS_2[[#This Row],[Column30]]</f>
        <v>3.11</v>
      </c>
      <c r="C104" s="137">
        <v>8.5</v>
      </c>
      <c r="D104" s="138" t="s">
        <v>390</v>
      </c>
      <c r="E104" s="162" t="s">
        <v>155</v>
      </c>
      <c r="F104" s="489" t="s">
        <v>2149</v>
      </c>
      <c r="G104" s="138" t="s">
        <v>557</v>
      </c>
      <c r="H104" s="204"/>
      <c r="I104" s="164" t="s">
        <v>185</v>
      </c>
      <c r="J104" s="200" t="s">
        <v>185</v>
      </c>
      <c r="K104" s="176" t="s">
        <v>185</v>
      </c>
      <c r="L104" s="176" t="s">
        <v>185</v>
      </c>
      <c r="M104" s="176" t="s">
        <v>185</v>
      </c>
      <c r="N104" s="165" t="s">
        <v>576</v>
      </c>
      <c r="O104" s="197" t="s">
        <v>187</v>
      </c>
      <c r="P104" s="166" t="s">
        <v>577</v>
      </c>
      <c r="Q104" s="166" t="s">
        <v>578</v>
      </c>
      <c r="R104" s="167" t="s">
        <v>579</v>
      </c>
      <c r="S104" s="166" t="s">
        <v>580</v>
      </c>
      <c r="T104" s="166" t="s">
        <v>575</v>
      </c>
      <c r="U104" s="158" t="s">
        <v>162</v>
      </c>
      <c r="V104" s="168" t="s">
        <v>914</v>
      </c>
      <c r="W104" s="158" t="s">
        <v>967</v>
      </c>
      <c r="X104" s="158" t="s">
        <v>185</v>
      </c>
      <c r="Y104" s="158" t="s">
        <v>185</v>
      </c>
      <c r="Z104" s="158"/>
      <c r="AA104" s="158" t="str">
        <f>IF(AWS_2[[#This Row],[Column14]]="-","", "v")</f>
        <v>v</v>
      </c>
      <c r="AB104" s="158" t="str">
        <f>IF(AWS_2[[#This Row],[Column8]]="x","1",(IF(OR(AWS_2[[#This Row],[Column25]]=2,AWS_2[[#This Row],[Column26]]=2,AWS_2[[#This Row],[Column27]]=2),"1",(IF(AWS_2[[#This Row],[Column9]]="x","2",(IF(AWS_2[[#This Row],[Column10]]="x","3","")))))))</f>
        <v>2</v>
      </c>
      <c r="AC104" s="454" t="str">
        <f>IF(AWS_2[[#This Row],[Column14]] = "-", AWS_2[[#This Row],[Column14]], LEFT(AWS_2[[#This Row],[Column14]], SEARCH(" ", AWS_2[[#This Row],[Column14]] &amp; " ") - 1))</f>
        <v>3.11</v>
      </c>
    </row>
    <row r="105" spans="1:29" ht="30">
      <c r="A10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5" s="137" t="str">
        <f>AWS_2[[#This Row],[Column30]]</f>
        <v>-</v>
      </c>
      <c r="C105" s="137">
        <v>8.6</v>
      </c>
      <c r="D105" s="138" t="s">
        <v>390</v>
      </c>
      <c r="E105" s="162" t="s">
        <v>155</v>
      </c>
      <c r="F105" s="489" t="s">
        <v>2150</v>
      </c>
      <c r="G105" s="138" t="s">
        <v>582</v>
      </c>
      <c r="H105" s="137"/>
      <c r="I105" s="164" t="s">
        <v>185</v>
      </c>
      <c r="J105" s="200" t="s">
        <v>185</v>
      </c>
      <c r="K105" s="158" t="s">
        <v>185</v>
      </c>
      <c r="L105" s="158" t="s">
        <v>185</v>
      </c>
      <c r="M105" s="158"/>
      <c r="N105" s="165" t="s">
        <v>162</v>
      </c>
      <c r="O105" s="165" t="s">
        <v>162</v>
      </c>
      <c r="P105" s="165" t="s">
        <v>162</v>
      </c>
      <c r="Q105" s="165" t="s">
        <v>162</v>
      </c>
      <c r="R105" s="167"/>
      <c r="S105" s="165" t="s">
        <v>162</v>
      </c>
      <c r="T105" s="165" t="s">
        <v>162</v>
      </c>
      <c r="U105" s="158" t="s">
        <v>162</v>
      </c>
      <c r="V105" s="168"/>
      <c r="W105" s="158" t="s">
        <v>966</v>
      </c>
      <c r="X105" s="158" t="s">
        <v>185</v>
      </c>
      <c r="Y105" s="158" t="s">
        <v>185</v>
      </c>
      <c r="Z105" s="158"/>
      <c r="AA105" s="158" t="str">
        <f>IF(AWS_2[[#This Row],[Column14]]="-","", "v")</f>
        <v/>
      </c>
      <c r="AB105" s="158" t="str">
        <f>IF(AWS_2[[#This Row],[Column8]]="x","1",(IF(OR(AWS_2[[#This Row],[Column25]]=2,AWS_2[[#This Row],[Column26]]=2,AWS_2[[#This Row],[Column27]]=2),"1",(IF(AWS_2[[#This Row],[Column9]]="x","2",(IF(AWS_2[[#This Row],[Column10]]="x","3","")))))))</f>
        <v>2</v>
      </c>
      <c r="AC105" s="454" t="str">
        <f>IF(AWS_2[[#This Row],[Column14]] = "-", AWS_2[[#This Row],[Column14]], LEFT(AWS_2[[#This Row],[Column14]], SEARCH(" ", AWS_2[[#This Row],[Column14]] &amp; " ") - 1))</f>
        <v>-</v>
      </c>
    </row>
    <row r="106" spans="1:29" ht="30">
      <c r="A10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6" s="137" t="str">
        <f>AWS_2[[#This Row],[Column30]]</f>
        <v>-</v>
      </c>
      <c r="C106" s="137">
        <v>8.6999999999999993</v>
      </c>
      <c r="D106" s="138" t="s">
        <v>390</v>
      </c>
      <c r="E106" s="162" t="s">
        <v>155</v>
      </c>
      <c r="F106" s="489" t="s">
        <v>2151</v>
      </c>
      <c r="G106" s="138" t="s">
        <v>584</v>
      </c>
      <c r="H106" s="137"/>
      <c r="I106" s="164" t="s">
        <v>185</v>
      </c>
      <c r="J106" s="200" t="s">
        <v>185</v>
      </c>
      <c r="K106" s="158" t="s">
        <v>185</v>
      </c>
      <c r="L106" s="158" t="s">
        <v>185</v>
      </c>
      <c r="M106" s="158"/>
      <c r="N106" s="165" t="s">
        <v>162</v>
      </c>
      <c r="O106" s="165" t="s">
        <v>162</v>
      </c>
      <c r="P106" s="165" t="s">
        <v>162</v>
      </c>
      <c r="Q106" s="165" t="s">
        <v>162</v>
      </c>
      <c r="R106" s="167"/>
      <c r="S106" s="165" t="s">
        <v>162</v>
      </c>
      <c r="T106" s="165" t="s">
        <v>162</v>
      </c>
      <c r="U106" s="158" t="s">
        <v>162</v>
      </c>
      <c r="V106" s="168"/>
      <c r="W106" s="158" t="s">
        <v>966</v>
      </c>
      <c r="X106" s="158" t="s">
        <v>185</v>
      </c>
      <c r="Y106" s="158" t="s">
        <v>185</v>
      </c>
      <c r="Z106" s="158"/>
      <c r="AA106" s="158" t="str">
        <f>IF(AWS_2[[#This Row],[Column14]]="-","", "v")</f>
        <v/>
      </c>
      <c r="AB106" s="158" t="str">
        <f>IF(AWS_2[[#This Row],[Column8]]="x","1",(IF(OR(AWS_2[[#This Row],[Column25]]=2,AWS_2[[#This Row],[Column26]]=2,AWS_2[[#This Row],[Column27]]=2),"1",(IF(AWS_2[[#This Row],[Column9]]="x","2",(IF(AWS_2[[#This Row],[Column10]]="x","3","")))))))</f>
        <v>2</v>
      </c>
      <c r="AC106" s="454" t="str">
        <f>IF(AWS_2[[#This Row],[Column14]] = "-", AWS_2[[#This Row],[Column14]], LEFT(AWS_2[[#This Row],[Column14]], SEARCH(" ", AWS_2[[#This Row],[Column14]] &amp; " ") - 1))</f>
        <v>-</v>
      </c>
    </row>
    <row r="107" spans="1:29" ht="33">
      <c r="A10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7" s="137" t="str">
        <f>AWS_2[[#This Row],[Column30]]</f>
        <v>-</v>
      </c>
      <c r="C107" s="137">
        <v>8.8000000000000007</v>
      </c>
      <c r="D107" s="138" t="s">
        <v>352</v>
      </c>
      <c r="E107" s="162" t="s">
        <v>155</v>
      </c>
      <c r="F107" s="489" t="s">
        <v>2152</v>
      </c>
      <c r="G107" s="139" t="s">
        <v>586</v>
      </c>
      <c r="H107" s="137"/>
      <c r="I107" s="164" t="s">
        <v>185</v>
      </c>
      <c r="J107" s="200" t="s">
        <v>185</v>
      </c>
      <c r="K107" s="158" t="s">
        <v>185</v>
      </c>
      <c r="L107" s="158" t="s">
        <v>185</v>
      </c>
      <c r="M107" s="158"/>
      <c r="N107" s="165" t="s">
        <v>162</v>
      </c>
      <c r="O107" s="165" t="s">
        <v>162</v>
      </c>
      <c r="P107" s="165" t="s">
        <v>162</v>
      </c>
      <c r="Q107" s="165" t="s">
        <v>162</v>
      </c>
      <c r="R107" s="167"/>
      <c r="S107" s="165" t="s">
        <v>162</v>
      </c>
      <c r="T107" s="165" t="s">
        <v>162</v>
      </c>
      <c r="U107" s="158" t="s">
        <v>162</v>
      </c>
      <c r="V107" s="168"/>
      <c r="W107" s="158" t="s">
        <v>966</v>
      </c>
      <c r="X107" s="158" t="s">
        <v>185</v>
      </c>
      <c r="Y107" s="158" t="s">
        <v>185</v>
      </c>
      <c r="Z107" s="158"/>
      <c r="AA107" s="158" t="str">
        <f>IF(AWS_2[[#This Row],[Column14]]="-","", "v")</f>
        <v/>
      </c>
      <c r="AB107" s="158" t="str">
        <f>IF(AWS_2[[#This Row],[Column8]]="x","1",(IF(OR(AWS_2[[#This Row],[Column25]]=2,AWS_2[[#This Row],[Column26]]=2,AWS_2[[#This Row],[Column27]]=2),"1",(IF(AWS_2[[#This Row],[Column9]]="x","2",(IF(AWS_2[[#This Row],[Column10]]="x","3","")))))))</f>
        <v>2</v>
      </c>
      <c r="AC107" s="454" t="str">
        <f>IF(AWS_2[[#This Row],[Column14]] = "-", AWS_2[[#This Row],[Column14]], LEFT(AWS_2[[#This Row],[Column14]], SEARCH(" ", AWS_2[[#This Row],[Column14]] &amp; " ") - 1))</f>
        <v>-</v>
      </c>
    </row>
    <row r="108" spans="1:29" ht="409.5">
      <c r="A10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8" s="137" t="str">
        <f>AWS_2[[#This Row],[Column30]]</f>
        <v>3.4</v>
      </c>
      <c r="C108" s="137">
        <v>8.9</v>
      </c>
      <c r="D108" s="138" t="s">
        <v>390</v>
      </c>
      <c r="E108" s="162" t="s">
        <v>155</v>
      </c>
      <c r="F108" s="489" t="s">
        <v>2153</v>
      </c>
      <c r="G108" s="139" t="s">
        <v>588</v>
      </c>
      <c r="H108" s="137"/>
      <c r="I108" s="164" t="s">
        <v>185</v>
      </c>
      <c r="J108" s="200" t="s">
        <v>185</v>
      </c>
      <c r="K108" s="176" t="s">
        <v>185</v>
      </c>
      <c r="L108" s="176" t="s">
        <v>185</v>
      </c>
      <c r="M108" s="176" t="s">
        <v>185</v>
      </c>
      <c r="N108" s="165" t="s">
        <v>564</v>
      </c>
      <c r="O108" s="197" t="s">
        <v>198</v>
      </c>
      <c r="P108" s="166" t="s">
        <v>565</v>
      </c>
      <c r="Q108" s="166" t="s">
        <v>566</v>
      </c>
      <c r="R108" s="167" t="s">
        <v>567</v>
      </c>
      <c r="S108" s="166" t="s">
        <v>568</v>
      </c>
      <c r="T108" s="166" t="s">
        <v>569</v>
      </c>
      <c r="U108" s="158" t="s">
        <v>975</v>
      </c>
      <c r="V108" s="168" t="s">
        <v>913</v>
      </c>
      <c r="W108" s="158" t="s">
        <v>967</v>
      </c>
      <c r="X108" s="158" t="s">
        <v>185</v>
      </c>
      <c r="Y108" s="158" t="s">
        <v>185</v>
      </c>
      <c r="Z108" s="158"/>
      <c r="AA108" s="158" t="str">
        <f>IF(AWS_2[[#This Row],[Column14]]="-","", "v")</f>
        <v>v</v>
      </c>
      <c r="AB108" s="158" t="str">
        <f>IF(AWS_2[[#This Row],[Column8]]="x","1",(IF(OR(AWS_2[[#This Row],[Column25]]=2,AWS_2[[#This Row],[Column26]]=2,AWS_2[[#This Row],[Column27]]=2),"1",(IF(AWS_2[[#This Row],[Column9]]="x","2",(IF(AWS_2[[#This Row],[Column10]]="x","3","")))))))</f>
        <v>2</v>
      </c>
      <c r="AC108" s="454" t="str">
        <f>IF(AWS_2[[#This Row],[Column14]] = "-", AWS_2[[#This Row],[Column14]], LEFT(AWS_2[[#This Row],[Column14]], SEARCH(" ", AWS_2[[#This Row],[Column14]] &amp; " ") - 1))</f>
        <v>3.4</v>
      </c>
    </row>
    <row r="109" spans="1:29" ht="15.75">
      <c r="A10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NOT(ISBLANK(K109)),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NOT(ISBLANK(L109)),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NOT(ISBLANK(M109)),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09" s="137" t="str">
        <f>AWS_2[[#This Row],[Column30]]</f>
        <v>-</v>
      </c>
      <c r="C109" s="140">
        <v>8.1</v>
      </c>
      <c r="D109" s="138" t="s">
        <v>390</v>
      </c>
      <c r="E109" s="162" t="s">
        <v>156</v>
      </c>
      <c r="F109" s="489" t="s">
        <v>2154</v>
      </c>
      <c r="G109" s="138" t="s">
        <v>590</v>
      </c>
      <c r="H109" s="137"/>
      <c r="I109" s="164" t="s">
        <v>185</v>
      </c>
      <c r="J109" s="200" t="s">
        <v>185</v>
      </c>
      <c r="K109" s="176" t="s">
        <v>185</v>
      </c>
      <c r="L109" s="176" t="s">
        <v>185</v>
      </c>
      <c r="M109" s="176" t="s">
        <v>185</v>
      </c>
      <c r="N109" s="165" t="s">
        <v>162</v>
      </c>
      <c r="O109" s="165" t="s">
        <v>162</v>
      </c>
      <c r="P109" s="165" t="s">
        <v>162</v>
      </c>
      <c r="Q109" s="165" t="s">
        <v>162</v>
      </c>
      <c r="R109" s="167"/>
      <c r="S109" s="165" t="s">
        <v>162</v>
      </c>
      <c r="T109" s="165" t="s">
        <v>162</v>
      </c>
      <c r="U109" s="158" t="s">
        <v>162</v>
      </c>
      <c r="V109" s="168"/>
      <c r="W109" s="158" t="s">
        <v>966</v>
      </c>
      <c r="X109" s="158" t="s">
        <v>185</v>
      </c>
      <c r="Y109" s="158" t="s">
        <v>185</v>
      </c>
      <c r="Z109" s="158"/>
      <c r="AA109" s="158" t="str">
        <f>IF(AWS_2[[#This Row],[Column14]]="-","", "v")</f>
        <v/>
      </c>
      <c r="AB109" s="158" t="str">
        <f>IF(AWS_2[[#This Row],[Column8]]="x","1",(IF(OR(AWS_2[[#This Row],[Column25]]=2,AWS_2[[#This Row],[Column26]]=2,AWS_2[[#This Row],[Column27]]=2),"1",(IF(AWS_2[[#This Row],[Column9]]="x","2",(IF(AWS_2[[#This Row],[Column10]]="x","3","")))))))</f>
        <v>2</v>
      </c>
      <c r="AC109" s="454" t="str">
        <f>IF(AWS_2[[#This Row],[Column14]] = "-", AWS_2[[#This Row],[Column14]], LEFT(AWS_2[[#This Row],[Column14]], SEARCH(" ", AWS_2[[#This Row],[Column14]] &amp; " ") - 1))</f>
        <v>-</v>
      </c>
    </row>
    <row r="110" spans="1:29" ht="313.5">
      <c r="A11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0" s="137" t="str">
        <f>AWS_2[[#This Row],[Column30]]</f>
        <v>3.2</v>
      </c>
      <c r="C110" s="137">
        <v>8.11</v>
      </c>
      <c r="D110" s="138" t="s">
        <v>390</v>
      </c>
      <c r="E110" s="162" t="s">
        <v>155</v>
      </c>
      <c r="F110" s="489" t="s">
        <v>2155</v>
      </c>
      <c r="G110" s="138" t="s">
        <v>592</v>
      </c>
      <c r="H110" s="137"/>
      <c r="I110" s="164" t="s">
        <v>185</v>
      </c>
      <c r="J110" s="200" t="s">
        <v>185</v>
      </c>
      <c r="K110" s="176" t="s">
        <v>185</v>
      </c>
      <c r="L110" s="176" t="s">
        <v>185</v>
      </c>
      <c r="M110" s="176" t="s">
        <v>185</v>
      </c>
      <c r="N110" s="165" t="s">
        <v>593</v>
      </c>
      <c r="O110" s="197" t="s">
        <v>187</v>
      </c>
      <c r="P110" s="166" t="s">
        <v>594</v>
      </c>
      <c r="Q110" s="166" t="s">
        <v>595</v>
      </c>
      <c r="R110" s="167" t="s">
        <v>596</v>
      </c>
      <c r="S110" s="166" t="s">
        <v>597</v>
      </c>
      <c r="T110" s="166" t="s">
        <v>598</v>
      </c>
      <c r="U110" s="158" t="s">
        <v>975</v>
      </c>
      <c r="V110" s="168" t="s">
        <v>915</v>
      </c>
      <c r="W110" s="158" t="s">
        <v>967</v>
      </c>
      <c r="X110" s="158" t="s">
        <v>185</v>
      </c>
      <c r="Y110" s="158" t="s">
        <v>185</v>
      </c>
      <c r="Z110" s="158"/>
      <c r="AA110" s="158" t="str">
        <f>IF(AWS_2[[#This Row],[Column14]]="-","", "v")</f>
        <v>v</v>
      </c>
      <c r="AB110" s="158" t="str">
        <f>IF(AWS_2[[#This Row],[Column8]]="x","1",(IF(OR(AWS_2[[#This Row],[Column25]]=2,AWS_2[[#This Row],[Column26]]=2,AWS_2[[#This Row],[Column27]]=2),"1",(IF(AWS_2[[#This Row],[Column9]]="x","2",(IF(AWS_2[[#This Row],[Column10]]="x","3","")))))))</f>
        <v>2</v>
      </c>
      <c r="AC110" s="454" t="str">
        <f>IF(AWS_2[[#This Row],[Column14]] = "-", AWS_2[[#This Row],[Column14]], LEFT(AWS_2[[#This Row],[Column14]], SEARCH(" ", AWS_2[[#This Row],[Column14]] &amp; " ") - 1))</f>
        <v>3.2</v>
      </c>
    </row>
    <row r="111" spans="1:29" ht="409.5">
      <c r="A11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1" s="137" t="str">
        <f>AWS_2[[#This Row],[Column30]]</f>
        <v>4.1</v>
      </c>
      <c r="C111" s="137">
        <v>8.11</v>
      </c>
      <c r="D111" s="138" t="s">
        <v>390</v>
      </c>
      <c r="E111" s="162" t="s">
        <v>155</v>
      </c>
      <c r="F111" s="489" t="s">
        <v>2155</v>
      </c>
      <c r="G111" s="138" t="s">
        <v>592</v>
      </c>
      <c r="H111" s="137"/>
      <c r="I111" s="164" t="s">
        <v>185</v>
      </c>
      <c r="J111" s="200" t="s">
        <v>185</v>
      </c>
      <c r="K111" s="176" t="s">
        <v>185</v>
      </c>
      <c r="L111" s="176" t="s">
        <v>185</v>
      </c>
      <c r="M111" s="176" t="s">
        <v>185</v>
      </c>
      <c r="N111" s="165" t="s">
        <v>599</v>
      </c>
      <c r="O111" s="197" t="s">
        <v>187</v>
      </c>
      <c r="P111" s="166" t="s">
        <v>600</v>
      </c>
      <c r="Q111" s="166" t="s">
        <v>601</v>
      </c>
      <c r="R111" s="167" t="s">
        <v>602</v>
      </c>
      <c r="S111" s="166" t="s">
        <v>603</v>
      </c>
      <c r="T111" s="166" t="s">
        <v>604</v>
      </c>
      <c r="U111" s="158" t="s">
        <v>975</v>
      </c>
      <c r="V111" s="168" t="s">
        <v>915</v>
      </c>
      <c r="W111" s="158" t="s">
        <v>967</v>
      </c>
      <c r="X111" s="158" t="s">
        <v>185</v>
      </c>
      <c r="Y111" s="158" t="s">
        <v>185</v>
      </c>
      <c r="Z111" s="158"/>
      <c r="AA111" s="158" t="str">
        <f>IF(AWS_2[[#This Row],[Column14]]="-","", "v")</f>
        <v>v</v>
      </c>
      <c r="AB111" s="158" t="str">
        <f>IF(AWS_2[[#This Row],[Column8]]="x","1",(IF(OR(AWS_2[[#This Row],[Column25]]=2,AWS_2[[#This Row],[Column26]]=2,AWS_2[[#This Row],[Column27]]=2),"1",(IF(AWS_2[[#This Row],[Column9]]="x","2",(IF(AWS_2[[#This Row],[Column10]]="x","3","")))))))</f>
        <v>2</v>
      </c>
      <c r="AC111" s="454" t="str">
        <f>IF(AWS_2[[#This Row],[Column14]] = "-", AWS_2[[#This Row],[Column14]], LEFT(AWS_2[[#This Row],[Column14]], SEARCH(" ", AWS_2[[#This Row],[Column14]] &amp; " ") - 1))</f>
        <v>4.1</v>
      </c>
    </row>
    <row r="112" spans="1:29" ht="409.5">
      <c r="A11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2" s="137" t="str">
        <f>AWS_2[[#This Row],[Column30]]</f>
        <v>4.2</v>
      </c>
      <c r="C112" s="137">
        <v>8.11</v>
      </c>
      <c r="D112" s="138" t="s">
        <v>390</v>
      </c>
      <c r="E112" s="162" t="s">
        <v>155</v>
      </c>
      <c r="F112" s="489" t="s">
        <v>2155</v>
      </c>
      <c r="G112" s="138" t="s">
        <v>592</v>
      </c>
      <c r="H112" s="137"/>
      <c r="I112" s="164" t="s">
        <v>185</v>
      </c>
      <c r="J112" s="200" t="s">
        <v>185</v>
      </c>
      <c r="K112" s="176" t="s">
        <v>185</v>
      </c>
      <c r="L112" s="176" t="s">
        <v>185</v>
      </c>
      <c r="M112" s="176" t="s">
        <v>185</v>
      </c>
      <c r="N112" s="165" t="s">
        <v>605</v>
      </c>
      <c r="O112" s="197" t="s">
        <v>198</v>
      </c>
      <c r="P112" s="166" t="s">
        <v>606</v>
      </c>
      <c r="Q112" s="166" t="s">
        <v>607</v>
      </c>
      <c r="R112" s="167" t="s">
        <v>608</v>
      </c>
      <c r="S112" s="166" t="s">
        <v>609</v>
      </c>
      <c r="T112" s="166" t="s">
        <v>610</v>
      </c>
      <c r="U112" s="158" t="s">
        <v>162</v>
      </c>
      <c r="V112" s="168" t="s">
        <v>916</v>
      </c>
      <c r="W112" s="158" t="s">
        <v>967</v>
      </c>
      <c r="X112" s="158" t="s">
        <v>185</v>
      </c>
      <c r="Y112" s="158" t="s">
        <v>185</v>
      </c>
      <c r="Z112" s="158"/>
      <c r="AA112" s="158" t="str">
        <f>IF(AWS_2[[#This Row],[Column14]]="-","", "v")</f>
        <v>v</v>
      </c>
      <c r="AB112" s="158" t="str">
        <f>IF(AWS_2[[#This Row],[Column8]]="x","1",(IF(OR(AWS_2[[#This Row],[Column25]]=2,AWS_2[[#This Row],[Column26]]=2,AWS_2[[#This Row],[Column27]]=2),"1",(IF(AWS_2[[#This Row],[Column9]]="x","2",(IF(AWS_2[[#This Row],[Column10]]="x","3","")))))))</f>
        <v>2</v>
      </c>
      <c r="AC112" s="454" t="str">
        <f>IF(AWS_2[[#This Row],[Column14]] = "-", AWS_2[[#This Row],[Column14]], LEFT(AWS_2[[#This Row],[Column14]], SEARCH(" ", AWS_2[[#This Row],[Column14]] &amp; " ") - 1))</f>
        <v>4.2</v>
      </c>
    </row>
    <row r="113" spans="1:29" ht="409.5">
      <c r="A11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3" s="137" t="str">
        <f>AWS_2[[#This Row],[Column30]]</f>
        <v>4.3</v>
      </c>
      <c r="C113" s="137">
        <v>8.11</v>
      </c>
      <c r="D113" s="138" t="s">
        <v>390</v>
      </c>
      <c r="E113" s="162" t="s">
        <v>155</v>
      </c>
      <c r="F113" s="489" t="s">
        <v>2155</v>
      </c>
      <c r="G113" s="138" t="s">
        <v>592</v>
      </c>
      <c r="H113" s="137"/>
      <c r="I113" s="164" t="s">
        <v>185</v>
      </c>
      <c r="J113" s="200" t="s">
        <v>185</v>
      </c>
      <c r="K113" s="176" t="s">
        <v>185</v>
      </c>
      <c r="L113" s="176" t="s">
        <v>185</v>
      </c>
      <c r="M113" s="176" t="s">
        <v>185</v>
      </c>
      <c r="N113" s="165" t="s">
        <v>611</v>
      </c>
      <c r="O113" s="197" t="s">
        <v>198</v>
      </c>
      <c r="P113" s="166" t="s">
        <v>612</v>
      </c>
      <c r="Q113" s="166" t="s">
        <v>613</v>
      </c>
      <c r="R113" s="167" t="s">
        <v>614</v>
      </c>
      <c r="S113" s="166" t="s">
        <v>615</v>
      </c>
      <c r="T113" s="166" t="s">
        <v>616</v>
      </c>
      <c r="U113" s="158" t="s">
        <v>975</v>
      </c>
      <c r="V113" s="168" t="s">
        <v>916</v>
      </c>
      <c r="W113" s="158" t="s">
        <v>967</v>
      </c>
      <c r="X113" s="158" t="s">
        <v>185</v>
      </c>
      <c r="Y113" s="158" t="s">
        <v>185</v>
      </c>
      <c r="Z113" s="158"/>
      <c r="AA113" s="158" t="str">
        <f>IF(AWS_2[[#This Row],[Column14]]="-","", "v")</f>
        <v>v</v>
      </c>
      <c r="AB113" s="158" t="str">
        <f>IF(AWS_2[[#This Row],[Column8]]="x","1",(IF(OR(AWS_2[[#This Row],[Column25]]=2,AWS_2[[#This Row],[Column26]]=2,AWS_2[[#This Row],[Column27]]=2),"1",(IF(AWS_2[[#This Row],[Column9]]="x","2",(IF(AWS_2[[#This Row],[Column10]]="x","3","")))))))</f>
        <v>2</v>
      </c>
      <c r="AC113" s="454" t="str">
        <f>IF(AWS_2[[#This Row],[Column14]] = "-", AWS_2[[#This Row],[Column14]], LEFT(AWS_2[[#This Row],[Column14]], SEARCH(" ", AWS_2[[#This Row],[Column14]] &amp; " ") - 1))</f>
        <v>4.3</v>
      </c>
    </row>
    <row r="114" spans="1:29" ht="409.5">
      <c r="A11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4" s="137" t="str">
        <f>AWS_2[[#This Row],[Column30]]</f>
        <v>4.4</v>
      </c>
      <c r="C114" s="137">
        <v>8.11</v>
      </c>
      <c r="D114" s="138" t="s">
        <v>390</v>
      </c>
      <c r="E114" s="162" t="s">
        <v>155</v>
      </c>
      <c r="F114" s="489" t="s">
        <v>2155</v>
      </c>
      <c r="G114" s="138" t="s">
        <v>592</v>
      </c>
      <c r="H114" s="137"/>
      <c r="I114" s="164" t="s">
        <v>185</v>
      </c>
      <c r="J114" s="200" t="s">
        <v>185</v>
      </c>
      <c r="K114" s="176" t="s">
        <v>185</v>
      </c>
      <c r="L114" s="176" t="s">
        <v>185</v>
      </c>
      <c r="M114" s="176" t="s">
        <v>185</v>
      </c>
      <c r="N114" s="165" t="s">
        <v>617</v>
      </c>
      <c r="O114" s="197" t="s">
        <v>198</v>
      </c>
      <c r="P114" s="166" t="s">
        <v>618</v>
      </c>
      <c r="Q114" s="166" t="s">
        <v>619</v>
      </c>
      <c r="R114" s="167" t="s">
        <v>620</v>
      </c>
      <c r="S114" s="166" t="s">
        <v>621</v>
      </c>
      <c r="T114" s="166" t="s">
        <v>622</v>
      </c>
      <c r="U114" s="158" t="s">
        <v>162</v>
      </c>
      <c r="V114" s="168" t="s">
        <v>917</v>
      </c>
      <c r="W114" s="158" t="s">
        <v>967</v>
      </c>
      <c r="X114" s="158" t="s">
        <v>185</v>
      </c>
      <c r="Y114" s="158" t="s">
        <v>185</v>
      </c>
      <c r="Z114" s="158"/>
      <c r="AA114" s="158" t="str">
        <f>IF(AWS_2[[#This Row],[Column14]]="-","", "v")</f>
        <v>v</v>
      </c>
      <c r="AB114" s="158" t="str">
        <f>IF(AWS_2[[#This Row],[Column8]]="x","1",(IF(OR(AWS_2[[#This Row],[Column25]]=2,AWS_2[[#This Row],[Column26]]=2,AWS_2[[#This Row],[Column27]]=2),"1",(IF(AWS_2[[#This Row],[Column9]]="x","2",(IF(AWS_2[[#This Row],[Column10]]="x","3","")))))))</f>
        <v>2</v>
      </c>
      <c r="AC114" s="454" t="str">
        <f>IF(AWS_2[[#This Row],[Column14]] = "-", AWS_2[[#This Row],[Column14]], LEFT(AWS_2[[#This Row],[Column14]], SEARCH(" ", AWS_2[[#This Row],[Column14]] &amp; " ") - 1))</f>
        <v>4.4</v>
      </c>
    </row>
    <row r="115" spans="1:29" ht="409.5">
      <c r="A11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5" s="137" t="str">
        <f>AWS_2[[#This Row],[Column30]]</f>
        <v>4.5</v>
      </c>
      <c r="C115" s="137">
        <v>8.11</v>
      </c>
      <c r="D115" s="138" t="s">
        <v>390</v>
      </c>
      <c r="E115" s="162" t="s">
        <v>155</v>
      </c>
      <c r="F115" s="489" t="s">
        <v>2155</v>
      </c>
      <c r="G115" s="138" t="s">
        <v>592</v>
      </c>
      <c r="H115" s="137"/>
      <c r="I115" s="164" t="s">
        <v>185</v>
      </c>
      <c r="J115" s="200" t="s">
        <v>185</v>
      </c>
      <c r="K115" s="176" t="s">
        <v>185</v>
      </c>
      <c r="L115" s="176" t="s">
        <v>185</v>
      </c>
      <c r="M115" s="176" t="s">
        <v>185</v>
      </c>
      <c r="N115" s="165" t="s">
        <v>623</v>
      </c>
      <c r="O115" s="197" t="s">
        <v>198</v>
      </c>
      <c r="P115" s="166" t="s">
        <v>624</v>
      </c>
      <c r="Q115" s="166" t="s">
        <v>625</v>
      </c>
      <c r="R115" s="167" t="s">
        <v>626</v>
      </c>
      <c r="S115" s="166" t="s">
        <v>627</v>
      </c>
      <c r="T115" s="166" t="s">
        <v>628</v>
      </c>
      <c r="U115" s="158" t="s">
        <v>975</v>
      </c>
      <c r="V115" s="168" t="s">
        <v>919</v>
      </c>
      <c r="W115" s="158" t="s">
        <v>967</v>
      </c>
      <c r="X115" s="158" t="s">
        <v>185</v>
      </c>
      <c r="Y115" s="158" t="s">
        <v>185</v>
      </c>
      <c r="Z115" s="158"/>
      <c r="AA115" s="158" t="str">
        <f>IF(AWS_2[[#This Row],[Column14]]="-","", "v")</f>
        <v>v</v>
      </c>
      <c r="AB115" s="158" t="str">
        <f>IF(AWS_2[[#This Row],[Column8]]="x","1",(IF(OR(AWS_2[[#This Row],[Column25]]=2,AWS_2[[#This Row],[Column26]]=2,AWS_2[[#This Row],[Column27]]=2),"1",(IF(AWS_2[[#This Row],[Column9]]="x","2",(IF(AWS_2[[#This Row],[Column10]]="x","3","")))))))</f>
        <v>2</v>
      </c>
      <c r="AC115" s="454" t="str">
        <f>IF(AWS_2[[#This Row],[Column14]] = "-", AWS_2[[#This Row],[Column14]], LEFT(AWS_2[[#This Row],[Column14]], SEARCH(" ", AWS_2[[#This Row],[Column14]] &amp; " ") - 1))</f>
        <v>4.5</v>
      </c>
    </row>
    <row r="116" spans="1:29" ht="409.5">
      <c r="A11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6" s="137" t="str">
        <f>AWS_2[[#This Row],[Column30]]</f>
        <v>4.6</v>
      </c>
      <c r="C116" s="137">
        <v>8.11</v>
      </c>
      <c r="D116" s="138" t="s">
        <v>390</v>
      </c>
      <c r="E116" s="162" t="s">
        <v>155</v>
      </c>
      <c r="F116" s="489" t="s">
        <v>2155</v>
      </c>
      <c r="G116" s="138" t="s">
        <v>592</v>
      </c>
      <c r="H116" s="137"/>
      <c r="I116" s="164" t="s">
        <v>185</v>
      </c>
      <c r="J116" s="200" t="s">
        <v>185</v>
      </c>
      <c r="K116" s="176" t="s">
        <v>185</v>
      </c>
      <c r="L116" s="176" t="s">
        <v>185</v>
      </c>
      <c r="M116" s="176" t="s">
        <v>185</v>
      </c>
      <c r="N116" s="165" t="s">
        <v>629</v>
      </c>
      <c r="O116" s="197" t="s">
        <v>187</v>
      </c>
      <c r="P116" s="166" t="s">
        <v>630</v>
      </c>
      <c r="Q116" s="166" t="s">
        <v>631</v>
      </c>
      <c r="R116" s="167" t="s">
        <v>632</v>
      </c>
      <c r="S116" s="166" t="s">
        <v>633</v>
      </c>
      <c r="T116" s="166" t="s">
        <v>634</v>
      </c>
      <c r="U116" s="158" t="s">
        <v>975</v>
      </c>
      <c r="V116" s="168" t="s">
        <v>918</v>
      </c>
      <c r="W116" s="158" t="s">
        <v>967</v>
      </c>
      <c r="X116" s="158" t="s">
        <v>185</v>
      </c>
      <c r="Y116" s="158" t="s">
        <v>185</v>
      </c>
      <c r="Z116" s="158"/>
      <c r="AA116" s="158" t="str">
        <f>IF(AWS_2[[#This Row],[Column14]]="-","", "v")</f>
        <v>v</v>
      </c>
      <c r="AB116" s="158" t="str">
        <f>IF(AWS_2[[#This Row],[Column8]]="x","1",(IF(OR(AWS_2[[#This Row],[Column25]]=2,AWS_2[[#This Row],[Column26]]=2,AWS_2[[#This Row],[Column27]]=2),"1",(IF(AWS_2[[#This Row],[Column9]]="x","2",(IF(AWS_2[[#This Row],[Column10]]="x","3","")))))))</f>
        <v>2</v>
      </c>
      <c r="AC116" s="454" t="str">
        <f>IF(AWS_2[[#This Row],[Column14]] = "-", AWS_2[[#This Row],[Column14]], LEFT(AWS_2[[#This Row],[Column14]], SEARCH(" ", AWS_2[[#This Row],[Column14]] &amp; " ") - 1))</f>
        <v>4.6</v>
      </c>
    </row>
    <row r="117" spans="1:29" ht="409.5">
      <c r="A11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7" s="137" t="str">
        <f>AWS_2[[#This Row],[Column30]]</f>
        <v>4.7</v>
      </c>
      <c r="C117" s="137">
        <v>8.11</v>
      </c>
      <c r="D117" s="138" t="s">
        <v>390</v>
      </c>
      <c r="E117" s="162" t="s">
        <v>155</v>
      </c>
      <c r="F117" s="489" t="s">
        <v>2155</v>
      </c>
      <c r="G117" s="138" t="s">
        <v>592</v>
      </c>
      <c r="H117" s="137"/>
      <c r="I117" s="164" t="s">
        <v>185</v>
      </c>
      <c r="J117" s="200" t="s">
        <v>185</v>
      </c>
      <c r="K117" s="176" t="s">
        <v>185</v>
      </c>
      <c r="L117" s="176" t="s">
        <v>185</v>
      </c>
      <c r="M117" s="176" t="s">
        <v>185</v>
      </c>
      <c r="N117" s="165" t="s">
        <v>635</v>
      </c>
      <c r="O117" s="197" t="s">
        <v>187</v>
      </c>
      <c r="P117" s="166" t="s">
        <v>636</v>
      </c>
      <c r="Q117" s="166" t="s">
        <v>637</v>
      </c>
      <c r="R117" s="167" t="s">
        <v>638</v>
      </c>
      <c r="S117" s="166" t="s">
        <v>639</v>
      </c>
      <c r="T117" s="166" t="s">
        <v>640</v>
      </c>
      <c r="U117" s="158" t="s">
        <v>975</v>
      </c>
      <c r="V117" s="168" t="s">
        <v>918</v>
      </c>
      <c r="W117" s="158" t="s">
        <v>967</v>
      </c>
      <c r="X117" s="158" t="s">
        <v>185</v>
      </c>
      <c r="Y117" s="158" t="s">
        <v>185</v>
      </c>
      <c r="Z117" s="158"/>
      <c r="AA117" s="158" t="str">
        <f>IF(AWS_2[[#This Row],[Column14]]="-","", "v")</f>
        <v>v</v>
      </c>
      <c r="AB117" s="158" t="str">
        <f>IF(AWS_2[[#This Row],[Column8]]="x","1",(IF(OR(AWS_2[[#This Row],[Column25]]=2,AWS_2[[#This Row],[Column26]]=2,AWS_2[[#This Row],[Column27]]=2),"1",(IF(AWS_2[[#This Row],[Column9]]="x","2",(IF(AWS_2[[#This Row],[Column10]]="x","3","")))))))</f>
        <v>2</v>
      </c>
      <c r="AC117" s="454" t="str">
        <f>IF(AWS_2[[#This Row],[Column14]] = "-", AWS_2[[#This Row],[Column14]], LEFT(AWS_2[[#This Row],[Column14]], SEARCH(" ", AWS_2[[#This Row],[Column14]] &amp; " ") - 1))</f>
        <v>4.7</v>
      </c>
    </row>
    <row r="118" spans="1:29" ht="409.5">
      <c r="A11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8" s="137" t="str">
        <f>AWS_2[[#This Row],[Column30]]</f>
        <v>4.8</v>
      </c>
      <c r="C118" s="137">
        <v>8.11</v>
      </c>
      <c r="D118" s="138" t="s">
        <v>390</v>
      </c>
      <c r="E118" s="162" t="s">
        <v>155</v>
      </c>
      <c r="F118" s="489" t="s">
        <v>2155</v>
      </c>
      <c r="G118" s="138" t="s">
        <v>592</v>
      </c>
      <c r="H118" s="137"/>
      <c r="I118" s="164" t="s">
        <v>185</v>
      </c>
      <c r="J118" s="200" t="s">
        <v>185</v>
      </c>
      <c r="K118" s="176" t="s">
        <v>185</v>
      </c>
      <c r="L118" s="176" t="s">
        <v>185</v>
      </c>
      <c r="M118" s="176" t="s">
        <v>185</v>
      </c>
      <c r="N118" s="165" t="s">
        <v>641</v>
      </c>
      <c r="O118" s="197" t="s">
        <v>198</v>
      </c>
      <c r="P118" s="166" t="s">
        <v>642</v>
      </c>
      <c r="Q118" s="166" t="s">
        <v>643</v>
      </c>
      <c r="R118" s="167" t="s">
        <v>644</v>
      </c>
      <c r="S118" s="166" t="s">
        <v>645</v>
      </c>
      <c r="T118" s="166" t="s">
        <v>646</v>
      </c>
      <c r="U118" s="158" t="s">
        <v>975</v>
      </c>
      <c r="V118" s="168" t="s">
        <v>918</v>
      </c>
      <c r="W118" s="158" t="s">
        <v>967</v>
      </c>
      <c r="X118" s="158" t="s">
        <v>185</v>
      </c>
      <c r="Y118" s="158" t="s">
        <v>185</v>
      </c>
      <c r="Z118" s="158"/>
      <c r="AA118" s="158" t="str">
        <f>IF(AWS_2[[#This Row],[Column14]]="-","", "v")</f>
        <v>v</v>
      </c>
      <c r="AB118" s="158" t="str">
        <f>IF(AWS_2[[#This Row],[Column8]]="x","1",(IF(OR(AWS_2[[#This Row],[Column25]]=2,AWS_2[[#This Row],[Column26]]=2,AWS_2[[#This Row],[Column27]]=2),"1",(IF(AWS_2[[#This Row],[Column9]]="x","2",(IF(AWS_2[[#This Row],[Column10]]="x","3","")))))))</f>
        <v>2</v>
      </c>
      <c r="AC118" s="454" t="str">
        <f>IF(AWS_2[[#This Row],[Column14]] = "-", AWS_2[[#This Row],[Column14]], LEFT(AWS_2[[#This Row],[Column14]], SEARCH(" ", AWS_2[[#This Row],[Column14]] &amp; " ") - 1))</f>
        <v>4.8</v>
      </c>
    </row>
    <row r="119" spans="1:29" ht="409.5">
      <c r="A11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NOT(ISBLANK(K119)),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NOT(ISBLANK(L119)),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NOT(ISBLANK(M119)),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19" s="137" t="str">
        <f>AWS_2[[#This Row],[Column30]]</f>
        <v>4.9</v>
      </c>
      <c r="C119" s="137">
        <v>8.11</v>
      </c>
      <c r="D119" s="138" t="s">
        <v>390</v>
      </c>
      <c r="E119" s="162" t="s">
        <v>155</v>
      </c>
      <c r="F119" s="489" t="s">
        <v>2155</v>
      </c>
      <c r="G119" s="138" t="s">
        <v>592</v>
      </c>
      <c r="H119" s="137"/>
      <c r="I119" s="164" t="s">
        <v>185</v>
      </c>
      <c r="J119" s="200" t="s">
        <v>185</v>
      </c>
      <c r="K119" s="176" t="s">
        <v>185</v>
      </c>
      <c r="L119" s="176" t="s">
        <v>185</v>
      </c>
      <c r="M119" s="176" t="s">
        <v>185</v>
      </c>
      <c r="N119" s="165" t="s">
        <v>647</v>
      </c>
      <c r="O119" s="197" t="s">
        <v>187</v>
      </c>
      <c r="P119" s="166" t="s">
        <v>648</v>
      </c>
      <c r="Q119" s="166" t="s">
        <v>649</v>
      </c>
      <c r="R119" s="167" t="s">
        <v>650</v>
      </c>
      <c r="S119" s="166" t="s">
        <v>651</v>
      </c>
      <c r="T119" s="166" t="s">
        <v>652</v>
      </c>
      <c r="U119" s="158" t="s">
        <v>975</v>
      </c>
      <c r="V119" s="168" t="s">
        <v>920</v>
      </c>
      <c r="W119" s="158" t="s">
        <v>967</v>
      </c>
      <c r="X119" s="158" t="s">
        <v>185</v>
      </c>
      <c r="Y119" s="158" t="s">
        <v>185</v>
      </c>
      <c r="Z119" s="158"/>
      <c r="AA119" s="158" t="str">
        <f>IF(AWS_2[[#This Row],[Column14]]="-","", "v")</f>
        <v>v</v>
      </c>
      <c r="AB119" s="158" t="str">
        <f>IF(AWS_2[[#This Row],[Column8]]="x","1",(IF(OR(AWS_2[[#This Row],[Column25]]=2,AWS_2[[#This Row],[Column26]]=2,AWS_2[[#This Row],[Column27]]=2),"1",(IF(AWS_2[[#This Row],[Column9]]="x","2",(IF(AWS_2[[#This Row],[Column10]]="x","3","")))))))</f>
        <v>2</v>
      </c>
      <c r="AC119" s="454" t="str">
        <f>IF(AWS_2[[#This Row],[Column14]] = "-", AWS_2[[#This Row],[Column14]], LEFT(AWS_2[[#This Row],[Column14]], SEARCH(" ", AWS_2[[#This Row],[Column14]] &amp; " ") - 1))</f>
        <v>4.9</v>
      </c>
    </row>
    <row r="120" spans="1:29" ht="409.5">
      <c r="A12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0" s="137" t="str">
        <f>AWS_2[[#This Row],[Column30]]</f>
        <v>4.10</v>
      </c>
      <c r="C120" s="137">
        <v>8.11</v>
      </c>
      <c r="D120" s="138" t="s">
        <v>390</v>
      </c>
      <c r="E120" s="162" t="s">
        <v>155</v>
      </c>
      <c r="F120" s="489" t="s">
        <v>2155</v>
      </c>
      <c r="G120" s="138" t="s">
        <v>592</v>
      </c>
      <c r="H120" s="137"/>
      <c r="I120" s="164" t="s">
        <v>185</v>
      </c>
      <c r="J120" s="200" t="s">
        <v>185</v>
      </c>
      <c r="K120" s="176" t="s">
        <v>185</v>
      </c>
      <c r="L120" s="176" t="s">
        <v>185</v>
      </c>
      <c r="M120" s="176" t="s">
        <v>185</v>
      </c>
      <c r="N120" s="165" t="s">
        <v>246</v>
      </c>
      <c r="O120" s="197" t="s">
        <v>187</v>
      </c>
      <c r="P120" s="166" t="s">
        <v>247</v>
      </c>
      <c r="Q120" s="166" t="s">
        <v>248</v>
      </c>
      <c r="R120" s="167" t="s">
        <v>264</v>
      </c>
      <c r="S120" s="166" t="s">
        <v>265</v>
      </c>
      <c r="T120" s="166" t="s">
        <v>251</v>
      </c>
      <c r="U120" s="158" t="s">
        <v>162</v>
      </c>
      <c r="V120" s="168" t="s">
        <v>921</v>
      </c>
      <c r="W120" s="158" t="s">
        <v>967</v>
      </c>
      <c r="X120" s="158" t="s">
        <v>185</v>
      </c>
      <c r="Y120" s="158" t="s">
        <v>185</v>
      </c>
      <c r="Z120" s="158"/>
      <c r="AA120" s="158" t="str">
        <f>IF(AWS_2[[#This Row],[Column14]]="-","", "v")</f>
        <v>v</v>
      </c>
      <c r="AB120" s="158" t="str">
        <f>IF(AWS_2[[#This Row],[Column8]]="x","1",(IF(OR(AWS_2[[#This Row],[Column25]]=2,AWS_2[[#This Row],[Column26]]=2,AWS_2[[#This Row],[Column27]]=2),"1",(IF(AWS_2[[#This Row],[Column9]]="x","2",(IF(AWS_2[[#This Row],[Column10]]="x","3","")))))))</f>
        <v>2</v>
      </c>
      <c r="AC120" s="454" t="str">
        <f>IF(AWS_2[[#This Row],[Column14]] = "-", AWS_2[[#This Row],[Column14]], LEFT(AWS_2[[#This Row],[Column14]], SEARCH(" ", AWS_2[[#This Row],[Column14]] &amp; " ") - 1))</f>
        <v>4.10</v>
      </c>
    </row>
    <row r="121" spans="1:29" ht="409.5">
      <c r="A12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1" s="137" t="str">
        <f>AWS_2[[#This Row],[Column30]]</f>
        <v>4.11</v>
      </c>
      <c r="C121" s="137">
        <v>8.11</v>
      </c>
      <c r="D121" s="138" t="s">
        <v>390</v>
      </c>
      <c r="E121" s="162" t="s">
        <v>155</v>
      </c>
      <c r="F121" s="489" t="s">
        <v>2155</v>
      </c>
      <c r="G121" s="138" t="s">
        <v>592</v>
      </c>
      <c r="H121" s="137"/>
      <c r="I121" s="164" t="s">
        <v>185</v>
      </c>
      <c r="J121" s="200" t="s">
        <v>185</v>
      </c>
      <c r="K121" s="176" t="s">
        <v>185</v>
      </c>
      <c r="L121" s="176" t="s">
        <v>185</v>
      </c>
      <c r="M121" s="176" t="s">
        <v>185</v>
      </c>
      <c r="N121" s="165" t="s">
        <v>653</v>
      </c>
      <c r="O121" s="197" t="s">
        <v>187</v>
      </c>
      <c r="P121" s="166" t="s">
        <v>654</v>
      </c>
      <c r="Q121" s="166" t="s">
        <v>655</v>
      </c>
      <c r="R121" s="167" t="s">
        <v>656</v>
      </c>
      <c r="S121" s="166" t="s">
        <v>162</v>
      </c>
      <c r="T121" s="166" t="s">
        <v>162</v>
      </c>
      <c r="U121" s="158" t="s">
        <v>162</v>
      </c>
      <c r="V121" s="168" t="s">
        <v>921</v>
      </c>
      <c r="W121" s="158" t="s">
        <v>967</v>
      </c>
      <c r="X121" s="158" t="s">
        <v>185</v>
      </c>
      <c r="Y121" s="158" t="s">
        <v>185</v>
      </c>
      <c r="Z121" s="158"/>
      <c r="AA121" s="158" t="str">
        <f>IF(AWS_2[[#This Row],[Column14]]="-","", "v")</f>
        <v>v</v>
      </c>
      <c r="AB121" s="158" t="str">
        <f>IF(AWS_2[[#This Row],[Column8]]="x","1",(IF(OR(AWS_2[[#This Row],[Column25]]=2,AWS_2[[#This Row],[Column26]]=2,AWS_2[[#This Row],[Column27]]=2),"1",(IF(AWS_2[[#This Row],[Column9]]="x","2",(IF(AWS_2[[#This Row],[Column10]]="x","3","")))))))</f>
        <v>2</v>
      </c>
      <c r="AC121" s="454" t="str">
        <f>IF(AWS_2[[#This Row],[Column14]] = "-", AWS_2[[#This Row],[Column14]], LEFT(AWS_2[[#This Row],[Column14]], SEARCH(" ", AWS_2[[#This Row],[Column14]] &amp; " ") - 1))</f>
        <v>4.11</v>
      </c>
    </row>
    <row r="122" spans="1:29" ht="409.5">
      <c r="A12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2" s="137" t="str">
        <f>AWS_2[[#This Row],[Column30]]</f>
        <v>4.12</v>
      </c>
      <c r="C122" s="137">
        <v>8.11</v>
      </c>
      <c r="D122" s="138" t="s">
        <v>390</v>
      </c>
      <c r="E122" s="162" t="s">
        <v>155</v>
      </c>
      <c r="F122" s="489" t="s">
        <v>2155</v>
      </c>
      <c r="G122" s="138" t="s">
        <v>592</v>
      </c>
      <c r="H122" s="137"/>
      <c r="I122" s="164" t="s">
        <v>185</v>
      </c>
      <c r="J122" s="200" t="s">
        <v>185</v>
      </c>
      <c r="K122" s="176" t="s">
        <v>185</v>
      </c>
      <c r="L122" s="176" t="s">
        <v>185</v>
      </c>
      <c r="M122" s="176" t="s">
        <v>185</v>
      </c>
      <c r="N122" s="165" t="s">
        <v>657</v>
      </c>
      <c r="O122" s="197" t="s">
        <v>198</v>
      </c>
      <c r="P122" s="166" t="s">
        <v>658</v>
      </c>
      <c r="Q122" s="166" t="s">
        <v>659</v>
      </c>
      <c r="R122" s="167" t="s">
        <v>660</v>
      </c>
      <c r="S122" s="166" t="s">
        <v>661</v>
      </c>
      <c r="T122" s="166" t="s">
        <v>662</v>
      </c>
      <c r="U122" s="158" t="s">
        <v>975</v>
      </c>
      <c r="V122" s="168" t="s">
        <v>922</v>
      </c>
      <c r="W122" s="158" t="s">
        <v>967</v>
      </c>
      <c r="X122" s="158" t="s">
        <v>185</v>
      </c>
      <c r="Y122" s="158" t="s">
        <v>185</v>
      </c>
      <c r="Z122" s="158"/>
      <c r="AA122" s="158" t="str">
        <f>IF(AWS_2[[#This Row],[Column14]]="-","", "v")</f>
        <v>v</v>
      </c>
      <c r="AB122" s="158" t="str">
        <f>IF(AWS_2[[#This Row],[Column8]]="x","1",(IF(OR(AWS_2[[#This Row],[Column25]]=2,AWS_2[[#This Row],[Column26]]=2,AWS_2[[#This Row],[Column27]]=2),"1",(IF(AWS_2[[#This Row],[Column9]]="x","2",(IF(AWS_2[[#This Row],[Column10]]="x","3","")))))))</f>
        <v>2</v>
      </c>
      <c r="AC122" s="454" t="str">
        <f>IF(AWS_2[[#This Row],[Column14]] = "-", AWS_2[[#This Row],[Column14]], LEFT(AWS_2[[#This Row],[Column14]], SEARCH(" ", AWS_2[[#This Row],[Column14]] &amp; " ") - 1))</f>
        <v>4.12</v>
      </c>
    </row>
    <row r="123" spans="1:29" ht="409.5">
      <c r="A12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3" s="137" t="str">
        <f>AWS_2[[#This Row],[Column30]]</f>
        <v>4.13</v>
      </c>
      <c r="C123" s="137">
        <v>8.11</v>
      </c>
      <c r="D123" s="138" t="s">
        <v>390</v>
      </c>
      <c r="E123" s="162" t="s">
        <v>155</v>
      </c>
      <c r="F123" s="489" t="s">
        <v>2155</v>
      </c>
      <c r="G123" s="138" t="s">
        <v>592</v>
      </c>
      <c r="H123" s="137"/>
      <c r="I123" s="164" t="s">
        <v>185</v>
      </c>
      <c r="J123" s="200" t="s">
        <v>185</v>
      </c>
      <c r="K123" s="176" t="s">
        <v>185</v>
      </c>
      <c r="L123" s="176" t="s">
        <v>185</v>
      </c>
      <c r="M123" s="176" t="s">
        <v>185</v>
      </c>
      <c r="N123" s="165" t="s">
        <v>663</v>
      </c>
      <c r="O123" s="197" t="s">
        <v>198</v>
      </c>
      <c r="P123" s="166" t="s">
        <v>664</v>
      </c>
      <c r="Q123" s="166" t="s">
        <v>665</v>
      </c>
      <c r="R123" s="167" t="s">
        <v>666</v>
      </c>
      <c r="S123" s="166" t="s">
        <v>667</v>
      </c>
      <c r="T123" s="166" t="s">
        <v>668</v>
      </c>
      <c r="U123" s="158" t="s">
        <v>975</v>
      </c>
      <c r="V123" s="168" t="s">
        <v>922</v>
      </c>
      <c r="W123" s="158" t="s">
        <v>967</v>
      </c>
      <c r="X123" s="158" t="s">
        <v>185</v>
      </c>
      <c r="Y123" s="158" t="s">
        <v>185</v>
      </c>
      <c r="Z123" s="158"/>
      <c r="AA123" s="158" t="str">
        <f>IF(AWS_2[[#This Row],[Column14]]="-","", "v")</f>
        <v>v</v>
      </c>
      <c r="AB123" s="158" t="str">
        <f>IF(AWS_2[[#This Row],[Column8]]="x","1",(IF(OR(AWS_2[[#This Row],[Column25]]=2,AWS_2[[#This Row],[Column26]]=2,AWS_2[[#This Row],[Column27]]=2),"1",(IF(AWS_2[[#This Row],[Column9]]="x","2",(IF(AWS_2[[#This Row],[Column10]]="x","3","")))))))</f>
        <v>2</v>
      </c>
      <c r="AC123" s="454" t="str">
        <f>IF(AWS_2[[#This Row],[Column14]] = "-", AWS_2[[#This Row],[Column14]], LEFT(AWS_2[[#This Row],[Column14]], SEARCH(" ", AWS_2[[#This Row],[Column14]] &amp; " ") - 1))</f>
        <v>4.13</v>
      </c>
    </row>
    <row r="124" spans="1:29" ht="409.5">
      <c r="A12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4" s="137" t="str">
        <f>AWS_2[[#This Row],[Column30]]</f>
        <v>4.14</v>
      </c>
      <c r="C124" s="137">
        <v>8.11</v>
      </c>
      <c r="D124" s="138" t="s">
        <v>390</v>
      </c>
      <c r="E124" s="162" t="s">
        <v>155</v>
      </c>
      <c r="F124" s="489" t="s">
        <v>2155</v>
      </c>
      <c r="G124" s="138" t="s">
        <v>592</v>
      </c>
      <c r="H124" s="137"/>
      <c r="I124" s="164" t="s">
        <v>185</v>
      </c>
      <c r="J124" s="200" t="s">
        <v>185</v>
      </c>
      <c r="K124" s="176" t="s">
        <v>185</v>
      </c>
      <c r="L124" s="176" t="s">
        <v>185</v>
      </c>
      <c r="M124" s="176" t="s">
        <v>185</v>
      </c>
      <c r="N124" s="165" t="s">
        <v>669</v>
      </c>
      <c r="O124" s="197" t="s">
        <v>198</v>
      </c>
      <c r="P124" s="166" t="s">
        <v>670</v>
      </c>
      <c r="Q124" s="166" t="s">
        <v>671</v>
      </c>
      <c r="R124" s="167" t="s">
        <v>672</v>
      </c>
      <c r="S124" s="166" t="s">
        <v>673</v>
      </c>
      <c r="T124" s="166" t="s">
        <v>674</v>
      </c>
      <c r="U124" s="158" t="s">
        <v>162</v>
      </c>
      <c r="V124" s="168" t="s">
        <v>921</v>
      </c>
      <c r="W124" s="158" t="s">
        <v>967</v>
      </c>
      <c r="X124" s="158" t="s">
        <v>185</v>
      </c>
      <c r="Y124" s="158" t="s">
        <v>185</v>
      </c>
      <c r="Z124" s="158"/>
      <c r="AA124" s="158" t="str">
        <f>IF(AWS_2[[#This Row],[Column14]]="-","", "v")</f>
        <v>v</v>
      </c>
      <c r="AB124" s="158" t="str">
        <f>IF(AWS_2[[#This Row],[Column8]]="x","1",(IF(OR(AWS_2[[#This Row],[Column25]]=2,AWS_2[[#This Row],[Column26]]=2,AWS_2[[#This Row],[Column27]]=2),"1",(IF(AWS_2[[#This Row],[Column9]]="x","2",(IF(AWS_2[[#This Row],[Column10]]="x","3","")))))))</f>
        <v>2</v>
      </c>
      <c r="AC124" s="454" t="str">
        <f>IF(AWS_2[[#This Row],[Column14]] = "-", AWS_2[[#This Row],[Column14]], LEFT(AWS_2[[#This Row],[Column14]], SEARCH(" ", AWS_2[[#This Row],[Column14]] &amp; " ") - 1))</f>
        <v>4.14</v>
      </c>
    </row>
    <row r="125" spans="1:29" ht="409.5">
      <c r="A12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5" s="137" t="str">
        <f>AWS_2[[#This Row],[Column30]]</f>
        <v>4.15</v>
      </c>
      <c r="C125" s="137">
        <v>8.11</v>
      </c>
      <c r="D125" s="138" t="s">
        <v>390</v>
      </c>
      <c r="E125" s="162" t="s">
        <v>155</v>
      </c>
      <c r="F125" s="489" t="s">
        <v>2155</v>
      </c>
      <c r="G125" s="138" t="s">
        <v>592</v>
      </c>
      <c r="H125" s="137"/>
      <c r="I125" s="164" t="s">
        <v>185</v>
      </c>
      <c r="J125" s="200" t="s">
        <v>185</v>
      </c>
      <c r="K125" s="176" t="s">
        <v>185</v>
      </c>
      <c r="L125" s="176" t="s">
        <v>185</v>
      </c>
      <c r="M125" s="176" t="s">
        <v>185</v>
      </c>
      <c r="N125" s="165" t="s">
        <v>675</v>
      </c>
      <c r="O125" s="197" t="s">
        <v>198</v>
      </c>
      <c r="P125" s="166" t="s">
        <v>676</v>
      </c>
      <c r="Q125" s="166" t="s">
        <v>677</v>
      </c>
      <c r="R125" s="167" t="s">
        <v>678</v>
      </c>
      <c r="S125" s="166" t="s">
        <v>679</v>
      </c>
      <c r="T125" s="166" t="s">
        <v>680</v>
      </c>
      <c r="U125" s="158" t="s">
        <v>975</v>
      </c>
      <c r="V125" s="168" t="s">
        <v>922</v>
      </c>
      <c r="W125" s="158" t="s">
        <v>967</v>
      </c>
      <c r="X125" s="158" t="s">
        <v>185</v>
      </c>
      <c r="Y125" s="158" t="s">
        <v>185</v>
      </c>
      <c r="Z125" s="158"/>
      <c r="AA125" s="158" t="str">
        <f>IF(AWS_2[[#This Row],[Column14]]="-","", "v")</f>
        <v>v</v>
      </c>
      <c r="AB125" s="158" t="str">
        <f>IF(AWS_2[[#This Row],[Column8]]="x","1",(IF(OR(AWS_2[[#This Row],[Column25]]=2,AWS_2[[#This Row],[Column26]]=2,AWS_2[[#This Row],[Column27]]=2),"1",(IF(AWS_2[[#This Row],[Column9]]="x","2",(IF(AWS_2[[#This Row],[Column10]]="x","3","")))))))</f>
        <v>2</v>
      </c>
      <c r="AC125" s="454" t="str">
        <f>IF(AWS_2[[#This Row],[Column14]] = "-", AWS_2[[#This Row],[Column14]], LEFT(AWS_2[[#This Row],[Column14]], SEARCH(" ", AWS_2[[#This Row],[Column14]] &amp; " ") - 1))</f>
        <v>4.15</v>
      </c>
    </row>
    <row r="126" spans="1:29" ht="409.5">
      <c r="A12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6" s="137" t="str">
        <f>AWS_2[[#This Row],[Column30]]</f>
        <v>4.16</v>
      </c>
      <c r="C126" s="137">
        <v>8.11</v>
      </c>
      <c r="D126" s="138" t="s">
        <v>390</v>
      </c>
      <c r="E126" s="162" t="s">
        <v>155</v>
      </c>
      <c r="F126" s="489" t="s">
        <v>2155</v>
      </c>
      <c r="G126" s="138" t="s">
        <v>592</v>
      </c>
      <c r="H126" s="137"/>
      <c r="I126" s="164" t="s">
        <v>185</v>
      </c>
      <c r="J126" s="200" t="s">
        <v>185</v>
      </c>
      <c r="K126" s="176" t="s">
        <v>185</v>
      </c>
      <c r="L126" s="176" t="s">
        <v>185</v>
      </c>
      <c r="M126" s="176" t="s">
        <v>185</v>
      </c>
      <c r="N126" s="165" t="s">
        <v>681</v>
      </c>
      <c r="O126" s="197" t="s">
        <v>187</v>
      </c>
      <c r="P126" s="166" t="s">
        <v>682</v>
      </c>
      <c r="Q126" s="166" t="s">
        <v>683</v>
      </c>
      <c r="R126" s="167" t="s">
        <v>684</v>
      </c>
      <c r="S126" s="166" t="s">
        <v>685</v>
      </c>
      <c r="T126" s="166" t="s">
        <v>686</v>
      </c>
      <c r="U126" s="158" t="s">
        <v>975</v>
      </c>
      <c r="V126" s="168" t="s">
        <v>923</v>
      </c>
      <c r="W126" s="158" t="s">
        <v>967</v>
      </c>
      <c r="X126" s="158" t="s">
        <v>185</v>
      </c>
      <c r="Y126" s="158" t="s">
        <v>185</v>
      </c>
      <c r="Z126" s="158"/>
      <c r="AA126" s="158" t="str">
        <f>IF(AWS_2[[#This Row],[Column14]]="-","", "v")</f>
        <v>v</v>
      </c>
      <c r="AB126" s="158" t="str">
        <f>IF(AWS_2[[#This Row],[Column8]]="x","1",(IF(OR(AWS_2[[#This Row],[Column25]]=2,AWS_2[[#This Row],[Column26]]=2,AWS_2[[#This Row],[Column27]]=2),"1",(IF(AWS_2[[#This Row],[Column9]]="x","2",(IF(AWS_2[[#This Row],[Column10]]="x","3","")))))))</f>
        <v>2</v>
      </c>
      <c r="AC126" s="454" t="str">
        <f>IF(AWS_2[[#This Row],[Column14]] = "-", AWS_2[[#This Row],[Column14]], LEFT(AWS_2[[#This Row],[Column14]], SEARCH(" ", AWS_2[[#This Row],[Column14]] &amp; " ") - 1))</f>
        <v>4.16</v>
      </c>
    </row>
    <row r="127" spans="1:29" ht="228">
      <c r="A12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27" s="137" t="str">
        <f>AWS_2[[#This Row],[Column30]]</f>
        <v>5.1</v>
      </c>
      <c r="C127" s="137">
        <v>8.11</v>
      </c>
      <c r="D127" s="138" t="s">
        <v>390</v>
      </c>
      <c r="E127" s="162" t="s">
        <v>155</v>
      </c>
      <c r="F127" s="489" t="s">
        <v>2155</v>
      </c>
      <c r="G127" s="138" t="s">
        <v>592</v>
      </c>
      <c r="H127" s="137"/>
      <c r="I127" s="164" t="s">
        <v>185</v>
      </c>
      <c r="J127" s="200" t="s">
        <v>185</v>
      </c>
      <c r="K127" s="176" t="s">
        <v>185</v>
      </c>
      <c r="L127" s="176" t="s">
        <v>185</v>
      </c>
      <c r="M127" s="176" t="s">
        <v>185</v>
      </c>
      <c r="N127" s="165" t="s">
        <v>687</v>
      </c>
      <c r="O127" s="197" t="s">
        <v>198</v>
      </c>
      <c r="P127" s="166" t="s">
        <v>688</v>
      </c>
      <c r="Q127" s="166" t="s">
        <v>689</v>
      </c>
      <c r="R127" s="167" t="s">
        <v>690</v>
      </c>
      <c r="S127" s="166" t="s">
        <v>691</v>
      </c>
      <c r="T127" s="166" t="s">
        <v>692</v>
      </c>
      <c r="U127" s="158" t="s">
        <v>162</v>
      </c>
      <c r="V127" s="168" t="s">
        <v>917</v>
      </c>
      <c r="W127" s="158" t="s">
        <v>967</v>
      </c>
      <c r="X127" s="158" t="s">
        <v>185</v>
      </c>
      <c r="Y127" s="158" t="s">
        <v>185</v>
      </c>
      <c r="Z127" s="158"/>
      <c r="AA127" s="158" t="str">
        <f>IF(AWS_2[[#This Row],[Column14]]="-","", "v")</f>
        <v>v</v>
      </c>
      <c r="AB127" s="158" t="str">
        <f>IF(AWS_2[[#This Row],[Column8]]="x","1",(IF(OR(AWS_2[[#This Row],[Column25]]=2,AWS_2[[#This Row],[Column26]]=2,AWS_2[[#This Row],[Column27]]=2),"1",(IF(AWS_2[[#This Row],[Column9]]="x","2",(IF(AWS_2[[#This Row],[Column10]]="x","3","")))))))</f>
        <v>2</v>
      </c>
      <c r="AC127" s="454" t="str">
        <f>IF(AWS_2[[#This Row],[Column14]] = "-", AWS_2[[#This Row],[Column14]], LEFT(AWS_2[[#This Row],[Column14]], SEARCH(" ", AWS_2[[#This Row],[Column14]] &amp; " ") - 1))</f>
        <v>5.1</v>
      </c>
    </row>
    <row r="128" spans="1:29" ht="45">
      <c r="A12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NOT(ISBLANK(K128)),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NOT(ISBLANK(L128)),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NOT(ISBLANK(M128)),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128" s="137" t="str">
        <f>AWS_2[[#This Row],[Column30]]</f>
        <v>-</v>
      </c>
      <c r="C128" s="137">
        <v>8.1199999999999992</v>
      </c>
      <c r="D128" s="138" t="s">
        <v>182</v>
      </c>
      <c r="E128" s="162" t="s">
        <v>155</v>
      </c>
      <c r="F128" s="489" t="s">
        <v>2156</v>
      </c>
      <c r="G128" s="139" t="s">
        <v>335</v>
      </c>
      <c r="H128" s="204"/>
      <c r="I128" s="204"/>
      <c r="J128" s="200" t="s">
        <v>185</v>
      </c>
      <c r="K128" s="176" t="s">
        <v>185</v>
      </c>
      <c r="L128" s="176" t="s">
        <v>185</v>
      </c>
      <c r="M128" s="176" t="s">
        <v>185</v>
      </c>
      <c r="N128" s="165" t="s">
        <v>162</v>
      </c>
      <c r="O128" s="165" t="s">
        <v>162</v>
      </c>
      <c r="P128" s="165" t="s">
        <v>162</v>
      </c>
      <c r="Q128" s="165" t="s">
        <v>162</v>
      </c>
      <c r="R128" s="167"/>
      <c r="S128" s="165" t="s">
        <v>162</v>
      </c>
      <c r="T128" s="165" t="s">
        <v>162</v>
      </c>
      <c r="U128" s="158" t="s">
        <v>162</v>
      </c>
      <c r="V128" s="168"/>
      <c r="W128" s="158" t="s">
        <v>966</v>
      </c>
      <c r="X128" s="158" t="s">
        <v>185</v>
      </c>
      <c r="Y128" s="158" t="s">
        <v>185</v>
      </c>
      <c r="Z128" s="158"/>
      <c r="AA128" s="158" t="str">
        <f>IF(AWS_2[[#This Row],[Column14]]="-","", "v")</f>
        <v/>
      </c>
      <c r="AB128" s="158" t="str">
        <f>IF(AWS_2[[#This Row],[Column8]]="x","1",(IF(OR(AWS_2[[#This Row],[Column25]]=2,AWS_2[[#This Row],[Column26]]=2,AWS_2[[#This Row],[Column27]]=2),"1",(IF(AWS_2[[#This Row],[Column9]]="x","2",(IF(AWS_2[[#This Row],[Column10]]="x","3","")))))))</f>
        <v>3</v>
      </c>
      <c r="AC128" s="454" t="str">
        <f>IF(AWS_2[[#This Row],[Column14]] = "-", AWS_2[[#This Row],[Column14]], LEFT(AWS_2[[#This Row],[Column14]], SEARCH(" ", AWS_2[[#This Row],[Column14]] &amp; " ") - 1))</f>
        <v>-</v>
      </c>
    </row>
    <row r="129" spans="1:29" ht="45">
      <c r="A129" s="178" t="s">
        <v>942</v>
      </c>
      <c r="B129" s="154" t="s">
        <v>162</v>
      </c>
      <c r="C129" s="154" t="s">
        <v>162</v>
      </c>
      <c r="D129" s="154" t="s">
        <v>162</v>
      </c>
      <c r="E129" s="154" t="s">
        <v>162</v>
      </c>
      <c r="F129" s="488" t="s">
        <v>2157</v>
      </c>
      <c r="G129" s="157" t="s">
        <v>694</v>
      </c>
      <c r="H129" s="154"/>
      <c r="I129" s="154"/>
      <c r="J129" s="154"/>
      <c r="K129" s="161"/>
      <c r="L129" s="161"/>
      <c r="M129" s="161"/>
      <c r="N129" s="154" t="s">
        <v>162</v>
      </c>
      <c r="O129" s="154" t="s">
        <v>162</v>
      </c>
      <c r="P129" s="154" t="s">
        <v>162</v>
      </c>
      <c r="Q129" s="154" t="s">
        <v>162</v>
      </c>
      <c r="R129" s="167"/>
      <c r="S129" s="154" t="s">
        <v>162</v>
      </c>
      <c r="T129" s="154" t="s">
        <v>162</v>
      </c>
      <c r="U129" s="245" t="s">
        <v>162</v>
      </c>
      <c r="V129" s="245" t="s">
        <v>162</v>
      </c>
      <c r="W129" s="245" t="s">
        <v>162</v>
      </c>
      <c r="X129" s="245" t="s">
        <v>162</v>
      </c>
      <c r="Y129" s="245" t="s">
        <v>162</v>
      </c>
      <c r="Z129" s="245" t="s">
        <v>162</v>
      </c>
      <c r="AA129" s="154" t="s">
        <v>162</v>
      </c>
      <c r="AB129" s="154" t="s">
        <v>162</v>
      </c>
      <c r="AC129" s="454" t="str">
        <f>IF(AWS_2[[#This Row],[Column14]] = "-", AWS_2[[#This Row],[Column14]], LEFT(AWS_2[[#This Row],[Column14]], SEARCH(" ", AWS_2[[#This Row],[Column14]] &amp; " ") - 1))</f>
        <v>-</v>
      </c>
    </row>
    <row r="130" spans="1:29" ht="45">
      <c r="A13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0" s="137" t="str">
        <f>AWS_2[[#This Row],[Column30]]</f>
        <v>-</v>
      </c>
      <c r="C130" s="137">
        <v>9.1</v>
      </c>
      <c r="D130" s="138" t="s">
        <v>371</v>
      </c>
      <c r="E130" s="162" t="s">
        <v>156</v>
      </c>
      <c r="F130" s="489" t="s">
        <v>2158</v>
      </c>
      <c r="G130" s="138" t="s">
        <v>696</v>
      </c>
      <c r="H130" s="163" t="s">
        <v>185</v>
      </c>
      <c r="I130" s="164" t="s">
        <v>185</v>
      </c>
      <c r="J130" s="200" t="s">
        <v>185</v>
      </c>
      <c r="K130" s="176" t="s">
        <v>185</v>
      </c>
      <c r="L130" s="176" t="s">
        <v>185</v>
      </c>
      <c r="M130" s="176" t="s">
        <v>185</v>
      </c>
      <c r="N130" s="165" t="s">
        <v>162</v>
      </c>
      <c r="O130" s="165" t="s">
        <v>162</v>
      </c>
      <c r="P130" s="165" t="s">
        <v>162</v>
      </c>
      <c r="Q130" s="165" t="s">
        <v>162</v>
      </c>
      <c r="R130" s="167"/>
      <c r="S130" s="165" t="s">
        <v>162</v>
      </c>
      <c r="T130" s="165" t="s">
        <v>162</v>
      </c>
      <c r="U130" s="158" t="s">
        <v>162</v>
      </c>
      <c r="V130" s="168"/>
      <c r="W130" s="158" t="s">
        <v>966</v>
      </c>
      <c r="X130" s="158" t="s">
        <v>185</v>
      </c>
      <c r="Y130" s="158"/>
      <c r="Z130" s="158" t="s">
        <v>185</v>
      </c>
      <c r="AA130" s="158" t="str">
        <f>IF(AWS_2[[#This Row],[Column14]]="-","", "v")</f>
        <v/>
      </c>
      <c r="AB130" s="158" t="str">
        <f>IF(AWS_2[[#This Row],[Column8]]="x","1",(IF(OR(AWS_2[[#This Row],[Column25]]=2,AWS_2[[#This Row],[Column26]]=2,AWS_2[[#This Row],[Column27]]=2),"1",(IF(AWS_2[[#This Row],[Column9]]="x","2",(IF(AWS_2[[#This Row],[Column10]]="x","3","")))))))</f>
        <v>1</v>
      </c>
      <c r="AC130" s="454" t="str">
        <f>IF(AWS_2[[#This Row],[Column14]] = "-", AWS_2[[#This Row],[Column14]], LEFT(AWS_2[[#This Row],[Column14]], SEARCH(" ", AWS_2[[#This Row],[Column14]] &amp; " ") - 1))</f>
        <v>-</v>
      </c>
    </row>
    <row r="131" spans="1:29" ht="30">
      <c r="A13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1" s="137" t="str">
        <f>AWS_2[[#This Row],[Column30]]</f>
        <v>-</v>
      </c>
      <c r="C131" s="137">
        <v>9.1999999999999993</v>
      </c>
      <c r="D131" s="138" t="s">
        <v>390</v>
      </c>
      <c r="E131" s="162" t="s">
        <v>156</v>
      </c>
      <c r="F131" s="489" t="s">
        <v>2159</v>
      </c>
      <c r="G131" s="138" t="s">
        <v>698</v>
      </c>
      <c r="H131" s="163" t="s">
        <v>185</v>
      </c>
      <c r="I131" s="164" t="s">
        <v>185</v>
      </c>
      <c r="J131" s="200" t="s">
        <v>185</v>
      </c>
      <c r="K131" s="176" t="s">
        <v>185</v>
      </c>
      <c r="L131" s="176" t="s">
        <v>185</v>
      </c>
      <c r="M131" s="176"/>
      <c r="N131" s="165" t="s">
        <v>162</v>
      </c>
      <c r="O131" s="165" t="s">
        <v>162</v>
      </c>
      <c r="P131" s="165" t="s">
        <v>162</v>
      </c>
      <c r="Q131" s="165" t="s">
        <v>162</v>
      </c>
      <c r="R131" s="167"/>
      <c r="S131" s="165" t="s">
        <v>162</v>
      </c>
      <c r="T131" s="165" t="s">
        <v>162</v>
      </c>
      <c r="U131" s="158" t="s">
        <v>162</v>
      </c>
      <c r="V131" s="168"/>
      <c r="W131" s="158" t="s">
        <v>966</v>
      </c>
      <c r="X131" s="158" t="s">
        <v>185</v>
      </c>
      <c r="Y131" s="158"/>
      <c r="Z131" s="158" t="s">
        <v>185</v>
      </c>
      <c r="AA131" s="158" t="str">
        <f>IF(AWS_2[[#This Row],[Column14]]="-","", "v")</f>
        <v/>
      </c>
      <c r="AB131" s="158" t="str">
        <f>IF(AWS_2[[#This Row],[Column8]]="x","1",(IF(OR(AWS_2[[#This Row],[Column25]]=2,AWS_2[[#This Row],[Column26]]=2,AWS_2[[#This Row],[Column27]]=2),"1",(IF(AWS_2[[#This Row],[Column9]]="x","2",(IF(AWS_2[[#This Row],[Column10]]="x","3","")))))))</f>
        <v>1</v>
      </c>
      <c r="AC131" s="454" t="str">
        <f>IF(AWS_2[[#This Row],[Column14]] = "-", AWS_2[[#This Row],[Column14]], LEFT(AWS_2[[#This Row],[Column14]], SEARCH(" ", AWS_2[[#This Row],[Column14]] &amp; " ") - 1))</f>
        <v>-</v>
      </c>
    </row>
    <row r="132" spans="1:29" ht="60">
      <c r="A13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2" s="137" t="str">
        <f>AWS_2[[#This Row],[Column30]]</f>
        <v>-</v>
      </c>
      <c r="C132" s="137">
        <v>9.3000000000000007</v>
      </c>
      <c r="D132" s="138" t="s">
        <v>390</v>
      </c>
      <c r="E132" s="162" t="s">
        <v>156</v>
      </c>
      <c r="F132" s="489" t="s">
        <v>2160</v>
      </c>
      <c r="G132" s="138" t="s">
        <v>700</v>
      </c>
      <c r="H132" s="204"/>
      <c r="I132" s="164" t="s">
        <v>185</v>
      </c>
      <c r="J132" s="200" t="s">
        <v>185</v>
      </c>
      <c r="K132" s="176" t="s">
        <v>185</v>
      </c>
      <c r="L132" s="176" t="s">
        <v>185</v>
      </c>
      <c r="M132" s="176"/>
      <c r="N132" s="165" t="s">
        <v>162</v>
      </c>
      <c r="O132" s="165" t="s">
        <v>162</v>
      </c>
      <c r="P132" s="165" t="s">
        <v>162</v>
      </c>
      <c r="Q132" s="165" t="s">
        <v>162</v>
      </c>
      <c r="R132" s="167"/>
      <c r="S132" s="165" t="s">
        <v>162</v>
      </c>
      <c r="T132" s="165" t="s">
        <v>162</v>
      </c>
      <c r="U132" s="158" t="s">
        <v>162</v>
      </c>
      <c r="V132" s="168"/>
      <c r="W132" s="158" t="s">
        <v>966</v>
      </c>
      <c r="X132" s="158" t="s">
        <v>185</v>
      </c>
      <c r="Y132" s="158"/>
      <c r="Z132" s="158" t="s">
        <v>185</v>
      </c>
      <c r="AA132" s="158" t="str">
        <f>IF(AWS_2[[#This Row],[Column14]]="-","", "v")</f>
        <v/>
      </c>
      <c r="AB132" s="158" t="str">
        <f>IF(AWS_2[[#This Row],[Column8]]="x","1",(IF(OR(AWS_2[[#This Row],[Column25]]=2,AWS_2[[#This Row],[Column26]]=2,AWS_2[[#This Row],[Column27]]=2),"1",(IF(AWS_2[[#This Row],[Column9]]="x","2",(IF(AWS_2[[#This Row],[Column10]]="x","3","")))))))</f>
        <v>2</v>
      </c>
      <c r="AC132" s="454" t="str">
        <f>IF(AWS_2[[#This Row],[Column14]] = "-", AWS_2[[#This Row],[Column14]], LEFT(AWS_2[[#This Row],[Column14]], SEARCH(" ", AWS_2[[#This Row],[Column14]] &amp; " ") - 1))</f>
        <v>-</v>
      </c>
    </row>
    <row r="133" spans="1:29" ht="30">
      <c r="A13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3" s="137" t="str">
        <f>AWS_2[[#This Row],[Column30]]</f>
        <v>-</v>
      </c>
      <c r="C133" s="137">
        <v>9.4</v>
      </c>
      <c r="D133" s="138" t="s">
        <v>371</v>
      </c>
      <c r="E133" s="162" t="s">
        <v>156</v>
      </c>
      <c r="F133" s="489" t="s">
        <v>2161</v>
      </c>
      <c r="G133" s="138" t="s">
        <v>702</v>
      </c>
      <c r="H133" s="137"/>
      <c r="I133" s="164" t="s">
        <v>185</v>
      </c>
      <c r="J133" s="200" t="s">
        <v>185</v>
      </c>
      <c r="K133" s="176" t="s">
        <v>185</v>
      </c>
      <c r="L133" s="176" t="s">
        <v>185</v>
      </c>
      <c r="M133" s="176" t="s">
        <v>185</v>
      </c>
      <c r="N133" s="165" t="s">
        <v>162</v>
      </c>
      <c r="O133" s="165" t="s">
        <v>162</v>
      </c>
      <c r="P133" s="165" t="s">
        <v>162</v>
      </c>
      <c r="Q133" s="165" t="s">
        <v>162</v>
      </c>
      <c r="R133" s="167"/>
      <c r="S133" s="165" t="s">
        <v>162</v>
      </c>
      <c r="T133" s="165" t="s">
        <v>162</v>
      </c>
      <c r="U133" s="158" t="s">
        <v>162</v>
      </c>
      <c r="V133" s="168"/>
      <c r="W133" s="158" t="s">
        <v>966</v>
      </c>
      <c r="X133" s="158" t="s">
        <v>185</v>
      </c>
      <c r="Y133" s="158"/>
      <c r="Z133" s="158" t="s">
        <v>185</v>
      </c>
      <c r="AA133" s="158" t="str">
        <f>IF(AWS_2[[#This Row],[Column14]]="-","", "v")</f>
        <v/>
      </c>
      <c r="AB133" s="158" t="str">
        <f>IF(AWS_2[[#This Row],[Column8]]="x","1",(IF(OR(AWS_2[[#This Row],[Column25]]=2,AWS_2[[#This Row],[Column26]]=2,AWS_2[[#This Row],[Column27]]=2),"1",(IF(AWS_2[[#This Row],[Column9]]="x","2",(IF(AWS_2[[#This Row],[Column10]]="x","3","")))))))</f>
        <v>2</v>
      </c>
      <c r="AC133" s="454" t="str">
        <f>IF(AWS_2[[#This Row],[Column14]] = "-", AWS_2[[#This Row],[Column14]], LEFT(AWS_2[[#This Row],[Column14]], SEARCH(" ", AWS_2[[#This Row],[Column14]] &amp; " ") - 1))</f>
        <v>-</v>
      </c>
    </row>
    <row r="134" spans="1:29" ht="45">
      <c r="A13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4" s="137" t="str">
        <f>AWS_2[[#This Row],[Column30]]</f>
        <v>-</v>
      </c>
      <c r="C134" s="137">
        <v>9.5</v>
      </c>
      <c r="D134" s="138" t="s">
        <v>390</v>
      </c>
      <c r="E134" s="162" t="s">
        <v>156</v>
      </c>
      <c r="F134" s="489" t="s">
        <v>2162</v>
      </c>
      <c r="G134" s="138" t="s">
        <v>704</v>
      </c>
      <c r="H134" s="137"/>
      <c r="I134" s="164" t="s">
        <v>185</v>
      </c>
      <c r="J134" s="200" t="s">
        <v>185</v>
      </c>
      <c r="K134" s="176" t="s">
        <v>185</v>
      </c>
      <c r="L134" s="176" t="s">
        <v>185</v>
      </c>
      <c r="M134" s="176" t="s">
        <v>185</v>
      </c>
      <c r="N134" s="165" t="s">
        <v>162</v>
      </c>
      <c r="O134" s="165" t="s">
        <v>162</v>
      </c>
      <c r="P134" s="165" t="s">
        <v>162</v>
      </c>
      <c r="Q134" s="165" t="s">
        <v>162</v>
      </c>
      <c r="R134" s="167"/>
      <c r="S134" s="165" t="s">
        <v>162</v>
      </c>
      <c r="T134" s="165" t="s">
        <v>162</v>
      </c>
      <c r="U134" s="158" t="s">
        <v>162</v>
      </c>
      <c r="V134" s="168"/>
      <c r="W134" s="158" t="s">
        <v>966</v>
      </c>
      <c r="X134" s="158" t="s">
        <v>185</v>
      </c>
      <c r="Y134" s="158"/>
      <c r="Z134" s="158" t="s">
        <v>185</v>
      </c>
      <c r="AA134" s="158" t="str">
        <f>IF(AWS_2[[#This Row],[Column14]]="-","", "v")</f>
        <v/>
      </c>
      <c r="AB134" s="158" t="str">
        <f>IF(AWS_2[[#This Row],[Column8]]="x","1",(IF(OR(AWS_2[[#This Row],[Column25]]=2,AWS_2[[#This Row],[Column26]]=2,AWS_2[[#This Row],[Column27]]=2),"1",(IF(AWS_2[[#This Row],[Column9]]="x","2",(IF(AWS_2[[#This Row],[Column10]]="x","3","")))))))</f>
        <v>2</v>
      </c>
      <c r="AC134" s="454" t="str">
        <f>IF(AWS_2[[#This Row],[Column14]] = "-", AWS_2[[#This Row],[Column14]], LEFT(AWS_2[[#This Row],[Column14]], SEARCH(" ", AWS_2[[#This Row],[Column14]] &amp; " ") - 1))</f>
        <v>-</v>
      </c>
    </row>
    <row r="135" spans="1:29" ht="15.75">
      <c r="A13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5" s="137" t="str">
        <f>AWS_2[[#This Row],[Column30]]</f>
        <v>-</v>
      </c>
      <c r="C135" s="137">
        <v>9.6</v>
      </c>
      <c r="D135" s="138" t="s">
        <v>390</v>
      </c>
      <c r="E135" s="162" t="s">
        <v>156</v>
      </c>
      <c r="F135" s="489" t="s">
        <v>2163</v>
      </c>
      <c r="G135" s="138" t="s">
        <v>706</v>
      </c>
      <c r="H135" s="137"/>
      <c r="I135" s="164" t="s">
        <v>185</v>
      </c>
      <c r="J135" s="200" t="s">
        <v>185</v>
      </c>
      <c r="K135" s="176" t="s">
        <v>185</v>
      </c>
      <c r="L135" s="176" t="s">
        <v>185</v>
      </c>
      <c r="M135" s="176" t="s">
        <v>185</v>
      </c>
      <c r="N135" s="165" t="s">
        <v>162</v>
      </c>
      <c r="O135" s="165" t="s">
        <v>162</v>
      </c>
      <c r="P135" s="165" t="s">
        <v>162</v>
      </c>
      <c r="Q135" s="165" t="s">
        <v>162</v>
      </c>
      <c r="R135" s="167"/>
      <c r="S135" s="165" t="s">
        <v>162</v>
      </c>
      <c r="T135" s="165" t="s">
        <v>162</v>
      </c>
      <c r="U135" s="158" t="s">
        <v>162</v>
      </c>
      <c r="V135" s="168"/>
      <c r="W135" s="158" t="s">
        <v>966</v>
      </c>
      <c r="X135" s="158" t="s">
        <v>185</v>
      </c>
      <c r="Y135" s="158"/>
      <c r="Z135" s="158" t="s">
        <v>185</v>
      </c>
      <c r="AA135" s="158" t="str">
        <f>IF(AWS_2[[#This Row],[Column14]]="-","", "v")</f>
        <v/>
      </c>
      <c r="AB135" s="158" t="str">
        <f>IF(AWS_2[[#This Row],[Column8]]="x","1",(IF(OR(AWS_2[[#This Row],[Column25]]=2,AWS_2[[#This Row],[Column26]]=2,AWS_2[[#This Row],[Column27]]=2),"1",(IF(AWS_2[[#This Row],[Column9]]="x","2",(IF(AWS_2[[#This Row],[Column10]]="x","3","")))))))</f>
        <v>2</v>
      </c>
      <c r="AC135" s="454" t="str">
        <f>IF(AWS_2[[#This Row],[Column14]] = "-", AWS_2[[#This Row],[Column14]], LEFT(AWS_2[[#This Row],[Column14]], SEARCH(" ", AWS_2[[#This Row],[Column14]] &amp; " ") - 1))</f>
        <v>-</v>
      </c>
    </row>
    <row r="136" spans="1:29" ht="30">
      <c r="A13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6" s="137" t="str">
        <f>AWS_2[[#This Row],[Column30]]</f>
        <v>-</v>
      </c>
      <c r="C136" s="137">
        <v>9.6999999999999993</v>
      </c>
      <c r="D136" s="138" t="s">
        <v>390</v>
      </c>
      <c r="E136" s="162" t="s">
        <v>156</v>
      </c>
      <c r="F136" s="489" t="s">
        <v>2164</v>
      </c>
      <c r="G136" s="138" t="s">
        <v>708</v>
      </c>
      <c r="H136" s="137"/>
      <c r="I136" s="137"/>
      <c r="J136" s="200" t="s">
        <v>185</v>
      </c>
      <c r="K136" s="176" t="s">
        <v>185</v>
      </c>
      <c r="L136" s="176" t="s">
        <v>185</v>
      </c>
      <c r="M136" s="176" t="s">
        <v>185</v>
      </c>
      <c r="N136" s="165" t="s">
        <v>162</v>
      </c>
      <c r="O136" s="165" t="s">
        <v>162</v>
      </c>
      <c r="P136" s="165" t="s">
        <v>162</v>
      </c>
      <c r="Q136" s="165" t="s">
        <v>162</v>
      </c>
      <c r="R136" s="167"/>
      <c r="S136" s="165" t="s">
        <v>162</v>
      </c>
      <c r="T136" s="165" t="s">
        <v>162</v>
      </c>
      <c r="U136" s="158" t="s">
        <v>162</v>
      </c>
      <c r="V136" s="168"/>
      <c r="W136" s="158" t="s">
        <v>966</v>
      </c>
      <c r="X136" s="158" t="s">
        <v>185</v>
      </c>
      <c r="Y136" s="158"/>
      <c r="Z136" s="158" t="s">
        <v>185</v>
      </c>
      <c r="AA136" s="158" t="str">
        <f>IF(AWS_2[[#This Row],[Column14]]="-","", "v")</f>
        <v/>
      </c>
      <c r="AB136" s="158" t="str">
        <f>IF(AWS_2[[#This Row],[Column8]]="x","1",(IF(OR(AWS_2[[#This Row],[Column25]]=2,AWS_2[[#This Row],[Column26]]=2,AWS_2[[#This Row],[Column27]]=2),"1",(IF(AWS_2[[#This Row],[Column9]]="x","2",(IF(AWS_2[[#This Row],[Column10]]="x","3","")))))))</f>
        <v>3</v>
      </c>
      <c r="AC136" s="454" t="str">
        <f>IF(AWS_2[[#This Row],[Column14]] = "-", AWS_2[[#This Row],[Column14]], LEFT(AWS_2[[#This Row],[Column14]], SEARCH(" ", AWS_2[[#This Row],[Column14]] &amp; " ") - 1))</f>
        <v>-</v>
      </c>
    </row>
    <row r="137" spans="1:29" ht="30">
      <c r="A137" s="178" t="s">
        <v>942</v>
      </c>
      <c r="B137" s="154" t="s">
        <v>162</v>
      </c>
      <c r="C137" s="154" t="s">
        <v>162</v>
      </c>
      <c r="D137" s="154" t="s">
        <v>162</v>
      </c>
      <c r="E137" s="154" t="s">
        <v>162</v>
      </c>
      <c r="F137" s="488" t="s">
        <v>2165</v>
      </c>
      <c r="G137" s="157" t="s">
        <v>710</v>
      </c>
      <c r="H137" s="154"/>
      <c r="I137" s="154"/>
      <c r="J137" s="154"/>
      <c r="K137" s="161"/>
      <c r="L137" s="161"/>
      <c r="M137" s="161"/>
      <c r="N137" s="154" t="s">
        <v>162</v>
      </c>
      <c r="O137" s="154" t="s">
        <v>162</v>
      </c>
      <c r="P137" s="154" t="s">
        <v>162</v>
      </c>
      <c r="Q137" s="154" t="s">
        <v>162</v>
      </c>
      <c r="R137" s="167"/>
      <c r="S137" s="154" t="s">
        <v>162</v>
      </c>
      <c r="T137" s="154" t="s">
        <v>162</v>
      </c>
      <c r="U137" s="245" t="s">
        <v>162</v>
      </c>
      <c r="V137" s="245" t="s">
        <v>162</v>
      </c>
      <c r="W137" s="245" t="s">
        <v>162</v>
      </c>
      <c r="X137" s="245" t="s">
        <v>162</v>
      </c>
      <c r="Y137" s="245" t="s">
        <v>162</v>
      </c>
      <c r="Z137" s="245" t="s">
        <v>162</v>
      </c>
      <c r="AA137" s="154" t="s">
        <v>162</v>
      </c>
      <c r="AB137" s="154" t="s">
        <v>162</v>
      </c>
      <c r="AC137" s="454" t="str">
        <f>IF(AWS_2[[#This Row],[Column14]] = "-", AWS_2[[#This Row],[Column14]], LEFT(AWS_2[[#This Row],[Column14]], SEARCH(" ", AWS_2[[#This Row],[Column14]] &amp; " ") - 1))</f>
        <v>-</v>
      </c>
    </row>
    <row r="138" spans="1:29" ht="15.75">
      <c r="A13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8" s="137" t="str">
        <f>AWS_2[[#This Row],[Column30]]</f>
        <v>-</v>
      </c>
      <c r="C138" s="137">
        <v>10.1</v>
      </c>
      <c r="D138" s="138" t="s">
        <v>352</v>
      </c>
      <c r="E138" s="162" t="s">
        <v>156</v>
      </c>
      <c r="F138" s="489" t="s">
        <v>2166</v>
      </c>
      <c r="G138" s="138" t="s">
        <v>712</v>
      </c>
      <c r="H138" s="163" t="s">
        <v>185</v>
      </c>
      <c r="I138" s="164" t="s">
        <v>185</v>
      </c>
      <c r="J138" s="200" t="s">
        <v>185</v>
      </c>
      <c r="K138" s="176" t="s">
        <v>185</v>
      </c>
      <c r="L138" s="176" t="s">
        <v>185</v>
      </c>
      <c r="M138" s="158"/>
      <c r="N138" s="165" t="s">
        <v>162</v>
      </c>
      <c r="O138" s="165" t="s">
        <v>162</v>
      </c>
      <c r="P138" s="165" t="s">
        <v>162</v>
      </c>
      <c r="Q138" s="165" t="s">
        <v>162</v>
      </c>
      <c r="R138" s="167"/>
      <c r="S138" s="165" t="s">
        <v>162</v>
      </c>
      <c r="T138" s="165" t="s">
        <v>162</v>
      </c>
      <c r="U138" s="158" t="s">
        <v>162</v>
      </c>
      <c r="V138" s="168"/>
      <c r="W138" s="158" t="s">
        <v>966</v>
      </c>
      <c r="X138" s="158" t="s">
        <v>185</v>
      </c>
      <c r="Y138" s="158" t="s">
        <v>185</v>
      </c>
      <c r="Z138" s="158" t="s">
        <v>185</v>
      </c>
      <c r="AA138" s="158" t="str">
        <f>IF(AWS_2[[#This Row],[Column14]]="-","", "v")</f>
        <v/>
      </c>
      <c r="AB138" s="158" t="str">
        <f>IF(AWS_2[[#This Row],[Column8]]="x","1",(IF(OR(AWS_2[[#This Row],[Column25]]=2,AWS_2[[#This Row],[Column26]]=2,AWS_2[[#This Row],[Column27]]=2),"1",(IF(AWS_2[[#This Row],[Column9]]="x","2",(IF(AWS_2[[#This Row],[Column10]]="x","3","")))))))</f>
        <v>1</v>
      </c>
      <c r="AC138" s="454" t="str">
        <f>IF(AWS_2[[#This Row],[Column14]] = "-", AWS_2[[#This Row],[Column14]], LEFT(AWS_2[[#This Row],[Column14]], SEARCH(" ", AWS_2[[#This Row],[Column14]] &amp; " ") - 1))</f>
        <v>-</v>
      </c>
    </row>
    <row r="139" spans="1:29" ht="30">
      <c r="A13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NOT(ISBLANK(K139)),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NOT(ISBLANK(L139)),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NOT(ISBLANK(M139)),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39" s="137" t="str">
        <f>AWS_2[[#This Row],[Column30]]</f>
        <v>-</v>
      </c>
      <c r="C139" s="137">
        <v>10.199999999999999</v>
      </c>
      <c r="D139" s="138" t="s">
        <v>352</v>
      </c>
      <c r="E139" s="162" t="s">
        <v>156</v>
      </c>
      <c r="F139" s="489" t="s">
        <v>2167</v>
      </c>
      <c r="G139" s="138" t="s">
        <v>714</v>
      </c>
      <c r="H139" s="163" t="s">
        <v>185</v>
      </c>
      <c r="I139" s="164" t="s">
        <v>185</v>
      </c>
      <c r="J139" s="200" t="s">
        <v>185</v>
      </c>
      <c r="K139" s="176" t="s">
        <v>185</v>
      </c>
      <c r="L139" s="176" t="s">
        <v>185</v>
      </c>
      <c r="M139" s="158"/>
      <c r="N139" s="165" t="s">
        <v>162</v>
      </c>
      <c r="O139" s="165" t="s">
        <v>162</v>
      </c>
      <c r="P139" s="165" t="s">
        <v>162</v>
      </c>
      <c r="Q139" s="165" t="s">
        <v>162</v>
      </c>
      <c r="R139" s="167"/>
      <c r="S139" s="165" t="s">
        <v>162</v>
      </c>
      <c r="T139" s="165" t="s">
        <v>162</v>
      </c>
      <c r="U139" s="158" t="s">
        <v>162</v>
      </c>
      <c r="V139" s="168"/>
      <c r="W139" s="158" t="s">
        <v>966</v>
      </c>
      <c r="X139" s="158" t="s">
        <v>185</v>
      </c>
      <c r="Y139" s="158" t="s">
        <v>185</v>
      </c>
      <c r="Z139" s="158" t="s">
        <v>185</v>
      </c>
      <c r="AA139" s="158" t="str">
        <f>IF(AWS_2[[#This Row],[Column14]]="-","", "v")</f>
        <v/>
      </c>
      <c r="AB139" s="158" t="str">
        <f>IF(AWS_2[[#This Row],[Column8]]="x","1",(IF(OR(AWS_2[[#This Row],[Column25]]=2,AWS_2[[#This Row],[Column26]]=2,AWS_2[[#This Row],[Column27]]=2),"1",(IF(AWS_2[[#This Row],[Column9]]="x","2",(IF(AWS_2[[#This Row],[Column10]]="x","3","")))))))</f>
        <v>1</v>
      </c>
      <c r="AC139" s="454" t="str">
        <f>IF(AWS_2[[#This Row],[Column14]] = "-", AWS_2[[#This Row],[Column14]], LEFT(AWS_2[[#This Row],[Column14]], SEARCH(" ", AWS_2[[#This Row],[Column14]] &amp; " ") - 1))</f>
        <v>-</v>
      </c>
    </row>
    <row r="140" spans="1:29" ht="15.75">
      <c r="A14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0" s="137" t="str">
        <f>AWS_2[[#This Row],[Column30]]</f>
        <v>-</v>
      </c>
      <c r="C140" s="137">
        <v>10.3</v>
      </c>
      <c r="D140" s="138" t="s">
        <v>352</v>
      </c>
      <c r="E140" s="162" t="s">
        <v>156</v>
      </c>
      <c r="F140" s="489" t="s">
        <v>2168</v>
      </c>
      <c r="G140" s="138" t="s">
        <v>716</v>
      </c>
      <c r="H140" s="163" t="s">
        <v>185</v>
      </c>
      <c r="I140" s="164" t="s">
        <v>185</v>
      </c>
      <c r="J140" s="200" t="s">
        <v>185</v>
      </c>
      <c r="K140" s="176" t="s">
        <v>185</v>
      </c>
      <c r="L140" s="176"/>
      <c r="M140" s="158"/>
      <c r="N140" s="165" t="s">
        <v>162</v>
      </c>
      <c r="O140" s="165" t="s">
        <v>162</v>
      </c>
      <c r="P140" s="165" t="s">
        <v>162</v>
      </c>
      <c r="Q140" s="165" t="s">
        <v>162</v>
      </c>
      <c r="R140" s="167"/>
      <c r="S140" s="165" t="s">
        <v>162</v>
      </c>
      <c r="T140" s="165" t="s">
        <v>162</v>
      </c>
      <c r="U140" s="158" t="s">
        <v>162</v>
      </c>
      <c r="V140" s="168"/>
      <c r="W140" s="158" t="s">
        <v>966</v>
      </c>
      <c r="X140" s="158" t="s">
        <v>185</v>
      </c>
      <c r="Y140" s="158" t="s">
        <v>185</v>
      </c>
      <c r="Z140" s="158" t="s">
        <v>185</v>
      </c>
      <c r="AA140" s="158" t="str">
        <f>IF(AWS_2[[#This Row],[Column14]]="-","", "v")</f>
        <v/>
      </c>
      <c r="AB140" s="158" t="str">
        <f>IF(AWS_2[[#This Row],[Column8]]="x","1",(IF(OR(AWS_2[[#This Row],[Column25]]=2,AWS_2[[#This Row],[Column26]]=2,AWS_2[[#This Row],[Column27]]=2),"1",(IF(AWS_2[[#This Row],[Column9]]="x","2",(IF(AWS_2[[#This Row],[Column10]]="x","3","")))))))</f>
        <v>1</v>
      </c>
      <c r="AC140" s="454" t="str">
        <f>IF(AWS_2[[#This Row],[Column14]] = "-", AWS_2[[#This Row],[Column14]], LEFT(AWS_2[[#This Row],[Column14]], SEARCH(" ", AWS_2[[#This Row],[Column14]] &amp; " ") - 1))</f>
        <v>-</v>
      </c>
    </row>
    <row r="141" spans="1:29" ht="15.75">
      <c r="A14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1" s="137" t="str">
        <f>AWS_2[[#This Row],[Column30]]</f>
        <v>-</v>
      </c>
      <c r="C141" s="137">
        <v>10.4</v>
      </c>
      <c r="D141" s="138" t="s">
        <v>352</v>
      </c>
      <c r="E141" s="162" t="s">
        <v>155</v>
      </c>
      <c r="F141" s="489" t="s">
        <v>2169</v>
      </c>
      <c r="G141" s="138" t="s">
        <v>718</v>
      </c>
      <c r="H141" s="204"/>
      <c r="I141" s="164" t="s">
        <v>185</v>
      </c>
      <c r="J141" s="200" t="s">
        <v>185</v>
      </c>
      <c r="K141" s="176" t="s">
        <v>185</v>
      </c>
      <c r="L141" s="176"/>
      <c r="M141" s="158"/>
      <c r="N141" s="165" t="s">
        <v>162</v>
      </c>
      <c r="O141" s="165" t="s">
        <v>162</v>
      </c>
      <c r="P141" s="165" t="s">
        <v>162</v>
      </c>
      <c r="Q141" s="165" t="s">
        <v>162</v>
      </c>
      <c r="R141" s="167"/>
      <c r="S141" s="165" t="s">
        <v>162</v>
      </c>
      <c r="T141" s="165" t="s">
        <v>162</v>
      </c>
      <c r="U141" s="158" t="s">
        <v>162</v>
      </c>
      <c r="V141" s="168"/>
      <c r="W141" s="158" t="s">
        <v>966</v>
      </c>
      <c r="X141" s="158" t="s">
        <v>185</v>
      </c>
      <c r="Y141" s="158" t="s">
        <v>185</v>
      </c>
      <c r="Z141" s="158" t="s">
        <v>185</v>
      </c>
      <c r="AA141" s="158" t="str">
        <f>IF(AWS_2[[#This Row],[Column14]]="-","", "v")</f>
        <v/>
      </c>
      <c r="AB141" s="158" t="str">
        <f>IF(AWS_2[[#This Row],[Column8]]="x","1",(IF(OR(AWS_2[[#This Row],[Column25]]=2,AWS_2[[#This Row],[Column26]]=2,AWS_2[[#This Row],[Column27]]=2),"1",(IF(AWS_2[[#This Row],[Column9]]="x","2",(IF(AWS_2[[#This Row],[Column10]]="x","3","")))))))</f>
        <v>2</v>
      </c>
      <c r="AC141" s="454" t="str">
        <f>IF(AWS_2[[#This Row],[Column14]] = "-", AWS_2[[#This Row],[Column14]], LEFT(AWS_2[[#This Row],[Column14]], SEARCH(" ", AWS_2[[#This Row],[Column14]] &amp; " ") - 1))</f>
        <v>-</v>
      </c>
    </row>
    <row r="142" spans="1:29" ht="60">
      <c r="A14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2" s="137" t="str">
        <f>AWS_2[[#This Row],[Column30]]</f>
        <v>-</v>
      </c>
      <c r="C142" s="137">
        <v>10.5</v>
      </c>
      <c r="D142" s="138" t="s">
        <v>352</v>
      </c>
      <c r="E142" s="162" t="s">
        <v>156</v>
      </c>
      <c r="F142" s="489" t="s">
        <v>2170</v>
      </c>
      <c r="G142" s="139" t="s">
        <v>720</v>
      </c>
      <c r="H142" s="204"/>
      <c r="I142" s="164" t="s">
        <v>185</v>
      </c>
      <c r="J142" s="200" t="s">
        <v>185</v>
      </c>
      <c r="K142" s="176" t="s">
        <v>185</v>
      </c>
      <c r="L142" s="176" t="s">
        <v>185</v>
      </c>
      <c r="M142" s="158"/>
      <c r="N142" s="165" t="s">
        <v>162</v>
      </c>
      <c r="O142" s="165" t="s">
        <v>162</v>
      </c>
      <c r="P142" s="165" t="s">
        <v>162</v>
      </c>
      <c r="Q142" s="165" t="s">
        <v>162</v>
      </c>
      <c r="R142" s="167"/>
      <c r="S142" s="165" t="s">
        <v>162</v>
      </c>
      <c r="T142" s="165" t="s">
        <v>162</v>
      </c>
      <c r="U142" s="158" t="s">
        <v>162</v>
      </c>
      <c r="V142" s="168"/>
      <c r="W142" s="158" t="s">
        <v>966</v>
      </c>
      <c r="X142" s="158" t="s">
        <v>185</v>
      </c>
      <c r="Y142" s="158" t="s">
        <v>185</v>
      </c>
      <c r="Z142" s="158" t="s">
        <v>185</v>
      </c>
      <c r="AA142" s="158" t="str">
        <f>IF(AWS_2[[#This Row],[Column14]]="-","", "v")</f>
        <v/>
      </c>
      <c r="AB142" s="158" t="str">
        <f>IF(AWS_2[[#This Row],[Column8]]="x","1",(IF(OR(AWS_2[[#This Row],[Column25]]=2,AWS_2[[#This Row],[Column26]]=2,AWS_2[[#This Row],[Column27]]=2),"1",(IF(AWS_2[[#This Row],[Column9]]="x","2",(IF(AWS_2[[#This Row],[Column10]]="x","3","")))))))</f>
        <v>2</v>
      </c>
      <c r="AC142" s="454" t="str">
        <f>IF(AWS_2[[#This Row],[Column14]] = "-", AWS_2[[#This Row],[Column14]], LEFT(AWS_2[[#This Row],[Column14]], SEARCH(" ", AWS_2[[#This Row],[Column14]] &amp; " ") - 1))</f>
        <v>-</v>
      </c>
    </row>
    <row r="143" spans="1:29" ht="15.75">
      <c r="A14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3" s="137" t="str">
        <f>AWS_2[[#This Row],[Column30]]</f>
        <v>-</v>
      </c>
      <c r="C143" s="137">
        <v>10.6</v>
      </c>
      <c r="D143" s="138" t="s">
        <v>352</v>
      </c>
      <c r="E143" s="162" t="s">
        <v>156</v>
      </c>
      <c r="F143" s="489" t="s">
        <v>2171</v>
      </c>
      <c r="G143" s="138" t="s">
        <v>722</v>
      </c>
      <c r="H143" s="137"/>
      <c r="I143" s="164" t="s">
        <v>185</v>
      </c>
      <c r="J143" s="200" t="s">
        <v>185</v>
      </c>
      <c r="K143" s="176" t="s">
        <v>185</v>
      </c>
      <c r="L143" s="176" t="s">
        <v>185</v>
      </c>
      <c r="M143" s="158"/>
      <c r="N143" s="165" t="s">
        <v>162</v>
      </c>
      <c r="O143" s="165" t="s">
        <v>162</v>
      </c>
      <c r="P143" s="165" t="s">
        <v>162</v>
      </c>
      <c r="Q143" s="165" t="s">
        <v>162</v>
      </c>
      <c r="R143" s="167"/>
      <c r="S143" s="165" t="s">
        <v>162</v>
      </c>
      <c r="T143" s="165" t="s">
        <v>162</v>
      </c>
      <c r="U143" s="158" t="s">
        <v>162</v>
      </c>
      <c r="V143" s="168"/>
      <c r="W143" s="158" t="s">
        <v>966</v>
      </c>
      <c r="X143" s="158" t="s">
        <v>185</v>
      </c>
      <c r="Y143" s="158" t="s">
        <v>185</v>
      </c>
      <c r="Z143" s="158" t="s">
        <v>185</v>
      </c>
      <c r="AA143" s="158" t="str">
        <f>IF(AWS_2[[#This Row],[Column14]]="-","", "v")</f>
        <v/>
      </c>
      <c r="AB143" s="158" t="str">
        <f>IF(AWS_2[[#This Row],[Column8]]="x","1",(IF(OR(AWS_2[[#This Row],[Column25]]=2,AWS_2[[#This Row],[Column26]]=2,AWS_2[[#This Row],[Column27]]=2),"1",(IF(AWS_2[[#This Row],[Column9]]="x","2",(IF(AWS_2[[#This Row],[Column10]]="x","3","")))))))</f>
        <v>2</v>
      </c>
      <c r="AC143" s="454" t="str">
        <f>IF(AWS_2[[#This Row],[Column14]] = "-", AWS_2[[#This Row],[Column14]], LEFT(AWS_2[[#This Row],[Column14]], SEARCH(" ", AWS_2[[#This Row],[Column14]] &amp; " ") - 1))</f>
        <v>-</v>
      </c>
    </row>
    <row r="144" spans="1:29" ht="15.75">
      <c r="A14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4" s="137" t="str">
        <f>AWS_2[[#This Row],[Column30]]</f>
        <v>-</v>
      </c>
      <c r="C144" s="137">
        <v>10.7</v>
      </c>
      <c r="D144" s="138" t="s">
        <v>352</v>
      </c>
      <c r="E144" s="162" t="s">
        <v>155</v>
      </c>
      <c r="F144" s="489" t="s">
        <v>2172</v>
      </c>
      <c r="G144" s="138" t="s">
        <v>724</v>
      </c>
      <c r="H144" s="137"/>
      <c r="I144" s="164" t="s">
        <v>185</v>
      </c>
      <c r="J144" s="200" t="s">
        <v>185</v>
      </c>
      <c r="K144" s="176" t="s">
        <v>185</v>
      </c>
      <c r="L144" s="176" t="s">
        <v>185</v>
      </c>
      <c r="M144" s="158"/>
      <c r="N144" s="165" t="s">
        <v>162</v>
      </c>
      <c r="O144" s="165" t="s">
        <v>162</v>
      </c>
      <c r="P144" s="165" t="s">
        <v>162</v>
      </c>
      <c r="Q144" s="165" t="s">
        <v>162</v>
      </c>
      <c r="R144" s="167"/>
      <c r="S144" s="165" t="s">
        <v>162</v>
      </c>
      <c r="T144" s="165" t="s">
        <v>162</v>
      </c>
      <c r="U144" s="158" t="s">
        <v>162</v>
      </c>
      <c r="V144" s="168"/>
      <c r="W144" s="158" t="s">
        <v>966</v>
      </c>
      <c r="X144" s="158" t="s">
        <v>185</v>
      </c>
      <c r="Y144" s="158" t="s">
        <v>185</v>
      </c>
      <c r="Z144" s="158" t="s">
        <v>185</v>
      </c>
      <c r="AA144" s="158" t="str">
        <f>IF(AWS_2[[#This Row],[Column14]]="-","", "v")</f>
        <v/>
      </c>
      <c r="AB144" s="158" t="str">
        <f>IF(AWS_2[[#This Row],[Column8]]="x","1",(IF(OR(AWS_2[[#This Row],[Column25]]=2,AWS_2[[#This Row],[Column26]]=2,AWS_2[[#This Row],[Column27]]=2),"1",(IF(AWS_2[[#This Row],[Column9]]="x","2",(IF(AWS_2[[#This Row],[Column10]]="x","3","")))))))</f>
        <v>2</v>
      </c>
      <c r="AC144" s="454" t="str">
        <f>IF(AWS_2[[#This Row],[Column14]] = "-", AWS_2[[#This Row],[Column14]], LEFT(AWS_2[[#This Row],[Column14]], SEARCH(" ", AWS_2[[#This Row],[Column14]] &amp; " ") - 1))</f>
        <v>-</v>
      </c>
    </row>
    <row r="145" spans="1:29" ht="30">
      <c r="A145" s="178" t="s">
        <v>942</v>
      </c>
      <c r="B145" s="154" t="s">
        <v>162</v>
      </c>
      <c r="C145" s="154" t="s">
        <v>162</v>
      </c>
      <c r="D145" s="154" t="s">
        <v>162</v>
      </c>
      <c r="E145" s="154" t="s">
        <v>162</v>
      </c>
      <c r="F145" s="488" t="s">
        <v>2173</v>
      </c>
      <c r="G145" s="157" t="s">
        <v>726</v>
      </c>
      <c r="H145" s="154"/>
      <c r="I145" s="154"/>
      <c r="J145" s="154"/>
      <c r="K145" s="161"/>
      <c r="L145" s="161"/>
      <c r="M145" s="161"/>
      <c r="N145" s="154" t="s">
        <v>162</v>
      </c>
      <c r="O145" s="154" t="s">
        <v>162</v>
      </c>
      <c r="P145" s="154" t="s">
        <v>162</v>
      </c>
      <c r="Q145" s="154" t="s">
        <v>162</v>
      </c>
      <c r="R145" s="167"/>
      <c r="S145" s="154" t="s">
        <v>162</v>
      </c>
      <c r="T145" s="154" t="s">
        <v>162</v>
      </c>
      <c r="U145" s="245" t="s">
        <v>162</v>
      </c>
      <c r="V145" s="245" t="s">
        <v>162</v>
      </c>
      <c r="W145" s="245" t="s">
        <v>162</v>
      </c>
      <c r="X145" s="245" t="s">
        <v>162</v>
      </c>
      <c r="Y145" s="245" t="s">
        <v>162</v>
      </c>
      <c r="Z145" s="245" t="s">
        <v>162</v>
      </c>
      <c r="AA145" s="154" t="s">
        <v>162</v>
      </c>
      <c r="AB145" s="154" t="s">
        <v>162</v>
      </c>
      <c r="AC145" s="454" t="str">
        <f>IF(AWS_2[[#This Row],[Column14]] = "-", AWS_2[[#This Row],[Column14]], LEFT(AWS_2[[#This Row],[Column14]], SEARCH(" ", AWS_2[[#This Row],[Column14]] &amp; " ") - 1))</f>
        <v>-</v>
      </c>
    </row>
    <row r="146" spans="1:29" ht="60">
      <c r="A14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6" s="137" t="str">
        <f>AWS_2[[#This Row],[Column30]]</f>
        <v>-</v>
      </c>
      <c r="C146" s="137">
        <v>11.1</v>
      </c>
      <c r="D146" s="138" t="s">
        <v>182</v>
      </c>
      <c r="E146" s="169" t="s">
        <v>158</v>
      </c>
      <c r="F146" s="489" t="s">
        <v>2174</v>
      </c>
      <c r="G146" s="138" t="s">
        <v>337</v>
      </c>
      <c r="H146" s="163" t="s">
        <v>185</v>
      </c>
      <c r="I146" s="164" t="s">
        <v>185</v>
      </c>
      <c r="J146" s="200" t="s">
        <v>185</v>
      </c>
      <c r="K146" s="176" t="s">
        <v>185</v>
      </c>
      <c r="L146" s="176" t="s">
        <v>185</v>
      </c>
      <c r="M146" s="176" t="s">
        <v>185</v>
      </c>
      <c r="N146" s="165" t="s">
        <v>162</v>
      </c>
      <c r="O146" s="165" t="s">
        <v>162</v>
      </c>
      <c r="P146" s="165" t="s">
        <v>162</v>
      </c>
      <c r="Q146" s="165" t="s">
        <v>162</v>
      </c>
      <c r="R146" s="167"/>
      <c r="S146" s="165" t="s">
        <v>162</v>
      </c>
      <c r="T146" s="165" t="s">
        <v>162</v>
      </c>
      <c r="U146" s="158" t="s">
        <v>162</v>
      </c>
      <c r="V146" s="168"/>
      <c r="W146" s="158" t="s">
        <v>966</v>
      </c>
      <c r="X146" s="158"/>
      <c r="Y146" s="158"/>
      <c r="Z146" s="158" t="s">
        <v>185</v>
      </c>
      <c r="AA146" s="158" t="str">
        <f>IF(AWS_2[[#This Row],[Column14]]="-","", "v")</f>
        <v/>
      </c>
      <c r="AB146" s="158" t="str">
        <f>IF(AWS_2[[#This Row],[Column8]]="x","1",(IF(OR(AWS_2[[#This Row],[Column25]]=2,AWS_2[[#This Row],[Column26]]=2,AWS_2[[#This Row],[Column27]]=2),"1",(IF(AWS_2[[#This Row],[Column9]]="x","2",(IF(AWS_2[[#This Row],[Column10]]="x","3","")))))))</f>
        <v>1</v>
      </c>
      <c r="AC146" s="454" t="str">
        <f>IF(AWS_2[[#This Row],[Column14]] = "-", AWS_2[[#This Row],[Column14]], LEFT(AWS_2[[#This Row],[Column14]], SEARCH(" ", AWS_2[[#This Row],[Column14]] &amp; " ") - 1))</f>
        <v>-</v>
      </c>
    </row>
    <row r="147" spans="1:29" ht="30">
      <c r="A14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7" s="137" t="str">
        <f>AWS_2[[#This Row],[Column30]]</f>
        <v>-</v>
      </c>
      <c r="C147" s="137">
        <v>11.2</v>
      </c>
      <c r="D147" s="138" t="s">
        <v>182</v>
      </c>
      <c r="E147" s="169" t="s">
        <v>158</v>
      </c>
      <c r="F147" s="489" t="s">
        <v>2175</v>
      </c>
      <c r="G147" s="138" t="s">
        <v>339</v>
      </c>
      <c r="H147" s="163" t="s">
        <v>185</v>
      </c>
      <c r="I147" s="164" t="s">
        <v>185</v>
      </c>
      <c r="J147" s="200" t="s">
        <v>185</v>
      </c>
      <c r="K147" s="176" t="s">
        <v>185</v>
      </c>
      <c r="L147" s="176" t="s">
        <v>185</v>
      </c>
      <c r="M147" s="176" t="s">
        <v>185</v>
      </c>
      <c r="N147" s="165" t="s">
        <v>162</v>
      </c>
      <c r="O147" s="165" t="s">
        <v>162</v>
      </c>
      <c r="P147" s="165" t="s">
        <v>162</v>
      </c>
      <c r="Q147" s="165" t="s">
        <v>162</v>
      </c>
      <c r="R147" s="167"/>
      <c r="S147" s="165" t="s">
        <v>162</v>
      </c>
      <c r="T147" s="165" t="s">
        <v>162</v>
      </c>
      <c r="U147" s="158" t="s">
        <v>162</v>
      </c>
      <c r="V147" s="168"/>
      <c r="W147" s="158" t="s">
        <v>966</v>
      </c>
      <c r="X147" s="158"/>
      <c r="Y147" s="158"/>
      <c r="Z147" s="158" t="s">
        <v>185</v>
      </c>
      <c r="AA147" s="158" t="str">
        <f>IF(AWS_2[[#This Row],[Column14]]="-","", "v")</f>
        <v/>
      </c>
      <c r="AB147" s="158" t="str">
        <f>IF(AWS_2[[#This Row],[Column8]]="x","1",(IF(OR(AWS_2[[#This Row],[Column25]]=2,AWS_2[[#This Row],[Column26]]=2,AWS_2[[#This Row],[Column27]]=2),"1",(IF(AWS_2[[#This Row],[Column9]]="x","2",(IF(AWS_2[[#This Row],[Column10]]="x","3","")))))))</f>
        <v>1</v>
      </c>
      <c r="AC147" s="454" t="str">
        <f>IF(AWS_2[[#This Row],[Column14]] = "-", AWS_2[[#This Row],[Column14]], LEFT(AWS_2[[#This Row],[Column14]], SEARCH(" ", AWS_2[[#This Row],[Column14]] &amp; " ") - 1))</f>
        <v>-</v>
      </c>
    </row>
    <row r="148" spans="1:29" ht="30">
      <c r="A14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8" s="137" t="str">
        <f>AWS_2[[#This Row],[Column30]]</f>
        <v>-</v>
      </c>
      <c r="C148" s="137">
        <v>11.3</v>
      </c>
      <c r="D148" s="138" t="s">
        <v>182</v>
      </c>
      <c r="E148" s="162" t="s">
        <v>156</v>
      </c>
      <c r="F148" s="489" t="s">
        <v>2176</v>
      </c>
      <c r="G148" s="138" t="s">
        <v>341</v>
      </c>
      <c r="H148" s="163" t="s">
        <v>185</v>
      </c>
      <c r="I148" s="164" t="s">
        <v>185</v>
      </c>
      <c r="J148" s="200" t="s">
        <v>185</v>
      </c>
      <c r="K148" s="176" t="s">
        <v>185</v>
      </c>
      <c r="L148" s="176" t="s">
        <v>185</v>
      </c>
      <c r="M148" s="176" t="s">
        <v>185</v>
      </c>
      <c r="N148" s="165" t="s">
        <v>162</v>
      </c>
      <c r="O148" s="165" t="s">
        <v>162</v>
      </c>
      <c r="P148" s="165" t="s">
        <v>162</v>
      </c>
      <c r="Q148" s="165" t="s">
        <v>162</v>
      </c>
      <c r="R148" s="167"/>
      <c r="S148" s="165" t="s">
        <v>162</v>
      </c>
      <c r="T148" s="165" t="s">
        <v>162</v>
      </c>
      <c r="U148" s="158" t="s">
        <v>162</v>
      </c>
      <c r="V148" s="168"/>
      <c r="W148" s="158" t="s">
        <v>966</v>
      </c>
      <c r="X148" s="158"/>
      <c r="Y148" s="158"/>
      <c r="Z148" s="158" t="s">
        <v>185</v>
      </c>
      <c r="AA148" s="158" t="str">
        <f>IF(AWS_2[[#This Row],[Column14]]="-","", "v")</f>
        <v/>
      </c>
      <c r="AB148" s="158" t="str">
        <f>IF(AWS_2[[#This Row],[Column8]]="x","1",(IF(OR(AWS_2[[#This Row],[Column25]]=2,AWS_2[[#This Row],[Column26]]=2,AWS_2[[#This Row],[Column27]]=2),"1",(IF(AWS_2[[#This Row],[Column9]]="x","2",(IF(AWS_2[[#This Row],[Column10]]="x","3","")))))))</f>
        <v>1</v>
      </c>
      <c r="AC148" s="454" t="str">
        <f>IF(AWS_2[[#This Row],[Column14]] = "-", AWS_2[[#This Row],[Column14]], LEFT(AWS_2[[#This Row],[Column14]], SEARCH(" ", AWS_2[[#This Row],[Column14]] &amp; " ") - 1))</f>
        <v>-</v>
      </c>
    </row>
    <row r="149" spans="1:29" ht="45">
      <c r="A14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NOT(ISBLANK(K149)),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NOT(ISBLANK(L149)),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NOT(ISBLANK(M149)),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49" s="137" t="str">
        <f>AWS_2[[#This Row],[Column30]]</f>
        <v>-</v>
      </c>
      <c r="C149" s="137">
        <v>11.4</v>
      </c>
      <c r="D149" s="138" t="s">
        <v>182</v>
      </c>
      <c r="E149" s="169" t="s">
        <v>158</v>
      </c>
      <c r="F149" s="489" t="s">
        <v>2177</v>
      </c>
      <c r="G149" s="139" t="s">
        <v>343</v>
      </c>
      <c r="H149" s="163" t="s">
        <v>185</v>
      </c>
      <c r="I149" s="164" t="s">
        <v>185</v>
      </c>
      <c r="J149" s="200" t="s">
        <v>185</v>
      </c>
      <c r="K149" s="176" t="s">
        <v>185</v>
      </c>
      <c r="L149" s="176" t="s">
        <v>185</v>
      </c>
      <c r="M149" s="176" t="s">
        <v>185</v>
      </c>
      <c r="N149" s="165" t="s">
        <v>162</v>
      </c>
      <c r="O149" s="165" t="s">
        <v>162</v>
      </c>
      <c r="P149" s="165" t="s">
        <v>162</v>
      </c>
      <c r="Q149" s="165" t="s">
        <v>162</v>
      </c>
      <c r="R149" s="167"/>
      <c r="S149" s="165" t="s">
        <v>162</v>
      </c>
      <c r="T149" s="165" t="s">
        <v>162</v>
      </c>
      <c r="U149" s="158" t="s">
        <v>162</v>
      </c>
      <c r="V149" s="168"/>
      <c r="W149" s="158" t="s">
        <v>966</v>
      </c>
      <c r="X149" s="158"/>
      <c r="Y149" s="158"/>
      <c r="Z149" s="158" t="s">
        <v>185</v>
      </c>
      <c r="AA149" s="158" t="str">
        <f>IF(AWS_2[[#This Row],[Column14]]="-","", "v")</f>
        <v/>
      </c>
      <c r="AB149" s="158" t="str">
        <f>IF(AWS_2[[#This Row],[Column8]]="x","1",(IF(OR(AWS_2[[#This Row],[Column25]]=2,AWS_2[[#This Row],[Column26]]=2,AWS_2[[#This Row],[Column27]]=2),"1",(IF(AWS_2[[#This Row],[Column9]]="x","2",(IF(AWS_2[[#This Row],[Column10]]="x","3","")))))))</f>
        <v>1</v>
      </c>
      <c r="AC149" s="454" t="str">
        <f>IF(AWS_2[[#This Row],[Column14]] = "-", AWS_2[[#This Row],[Column14]], LEFT(AWS_2[[#This Row],[Column14]], SEARCH(" ", AWS_2[[#This Row],[Column14]] &amp; " ") - 1))</f>
        <v>-</v>
      </c>
    </row>
    <row r="150" spans="1:29" ht="30">
      <c r="A15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0" s="137" t="str">
        <f>AWS_2[[#This Row],[Column30]]</f>
        <v>-</v>
      </c>
      <c r="C150" s="137">
        <v>11.5</v>
      </c>
      <c r="D150" s="138" t="s">
        <v>182</v>
      </c>
      <c r="E150" s="169" t="s">
        <v>158</v>
      </c>
      <c r="F150" s="489" t="s">
        <v>2178</v>
      </c>
      <c r="G150" s="138" t="s">
        <v>345</v>
      </c>
      <c r="H150" s="204"/>
      <c r="I150" s="164" t="s">
        <v>185</v>
      </c>
      <c r="J150" s="200" t="s">
        <v>185</v>
      </c>
      <c r="K150" s="176" t="s">
        <v>185</v>
      </c>
      <c r="L150" s="176" t="s">
        <v>185</v>
      </c>
      <c r="M150" s="176" t="s">
        <v>185</v>
      </c>
      <c r="N150" s="165" t="s">
        <v>162</v>
      </c>
      <c r="O150" s="165" t="s">
        <v>162</v>
      </c>
      <c r="P150" s="165" t="s">
        <v>162</v>
      </c>
      <c r="Q150" s="165" t="s">
        <v>162</v>
      </c>
      <c r="R150" s="167"/>
      <c r="S150" s="165" t="s">
        <v>162</v>
      </c>
      <c r="T150" s="165" t="s">
        <v>162</v>
      </c>
      <c r="U150" s="158" t="s">
        <v>162</v>
      </c>
      <c r="V150" s="168"/>
      <c r="W150" s="158" t="s">
        <v>966</v>
      </c>
      <c r="X150" s="158"/>
      <c r="Y150" s="158"/>
      <c r="Z150" s="158" t="s">
        <v>185</v>
      </c>
      <c r="AA150" s="158" t="str">
        <f>IF(AWS_2[[#This Row],[Column14]]="-","", "v")</f>
        <v/>
      </c>
      <c r="AB150" s="158" t="str">
        <f>IF(AWS_2[[#This Row],[Column8]]="x","1",(IF(OR(AWS_2[[#This Row],[Column25]]=2,AWS_2[[#This Row],[Column26]]=2,AWS_2[[#This Row],[Column27]]=2),"1",(IF(AWS_2[[#This Row],[Column9]]="x","2",(IF(AWS_2[[#This Row],[Column10]]="x","3","")))))))</f>
        <v>2</v>
      </c>
      <c r="AC150" s="454" t="str">
        <f>IF(AWS_2[[#This Row],[Column14]] = "-", AWS_2[[#This Row],[Column14]], LEFT(AWS_2[[#This Row],[Column14]], SEARCH(" ", AWS_2[[#This Row],[Column14]] &amp; " ") - 1))</f>
        <v>-</v>
      </c>
    </row>
    <row r="151" spans="1:29" ht="45">
      <c r="A151" s="178" t="s">
        <v>942</v>
      </c>
      <c r="B151" s="154" t="s">
        <v>162</v>
      </c>
      <c r="C151" s="154" t="s">
        <v>162</v>
      </c>
      <c r="D151" s="154" t="s">
        <v>162</v>
      </c>
      <c r="E151" s="154" t="s">
        <v>162</v>
      </c>
      <c r="F151" s="488" t="s">
        <v>2179</v>
      </c>
      <c r="G151" s="157" t="s">
        <v>728</v>
      </c>
      <c r="H151" s="178"/>
      <c r="I151" s="178"/>
      <c r="J151" s="178"/>
      <c r="K151" s="161"/>
      <c r="L151" s="161"/>
      <c r="M151" s="161"/>
      <c r="N151" s="154" t="s">
        <v>162</v>
      </c>
      <c r="O151" s="154" t="s">
        <v>162</v>
      </c>
      <c r="P151" s="154" t="s">
        <v>162</v>
      </c>
      <c r="Q151" s="154" t="s">
        <v>162</v>
      </c>
      <c r="R151" s="167"/>
      <c r="S151" s="154" t="s">
        <v>162</v>
      </c>
      <c r="T151" s="154" t="s">
        <v>162</v>
      </c>
      <c r="U151" s="245" t="s">
        <v>162</v>
      </c>
      <c r="V151" s="245" t="s">
        <v>162</v>
      </c>
      <c r="W151" s="245" t="s">
        <v>162</v>
      </c>
      <c r="X151" s="245" t="s">
        <v>162</v>
      </c>
      <c r="Y151" s="245" t="s">
        <v>162</v>
      </c>
      <c r="Z151" s="245" t="s">
        <v>162</v>
      </c>
      <c r="AA151" s="154" t="s">
        <v>162</v>
      </c>
      <c r="AB151" s="154" t="s">
        <v>162</v>
      </c>
      <c r="AC151" s="454" t="str">
        <f>IF(AWS_2[[#This Row],[Column14]] = "-", AWS_2[[#This Row],[Column14]], LEFT(AWS_2[[#This Row],[Column14]], SEARCH(" ", AWS_2[[#This Row],[Column14]] &amp; " ") - 1))</f>
        <v>-</v>
      </c>
    </row>
    <row r="152" spans="1:29" ht="60">
      <c r="A15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2" s="137" t="str">
        <f>AWS_2[[#This Row],[Column30]]</f>
        <v>-</v>
      </c>
      <c r="C152" s="137">
        <v>12.1</v>
      </c>
      <c r="D152" s="138" t="s">
        <v>390</v>
      </c>
      <c r="E152" s="162" t="s">
        <v>156</v>
      </c>
      <c r="F152" s="489" t="s">
        <v>2180</v>
      </c>
      <c r="G152" s="138" t="s">
        <v>730</v>
      </c>
      <c r="H152" s="163" t="s">
        <v>185</v>
      </c>
      <c r="I152" s="164" t="s">
        <v>185</v>
      </c>
      <c r="J152" s="200" t="s">
        <v>185</v>
      </c>
      <c r="K152" s="176" t="s">
        <v>185</v>
      </c>
      <c r="L152" s="176"/>
      <c r="M152" s="176"/>
      <c r="N152" s="165" t="s">
        <v>162</v>
      </c>
      <c r="O152" s="165" t="s">
        <v>162</v>
      </c>
      <c r="P152" s="165" t="s">
        <v>162</v>
      </c>
      <c r="Q152" s="165" t="s">
        <v>162</v>
      </c>
      <c r="R152" s="167"/>
      <c r="S152" s="165" t="s">
        <v>162</v>
      </c>
      <c r="T152" s="165" t="s">
        <v>162</v>
      </c>
      <c r="U152" s="158" t="s">
        <v>162</v>
      </c>
      <c r="V152" s="168"/>
      <c r="W152" s="158" t="s">
        <v>966</v>
      </c>
      <c r="X152" s="158" t="s">
        <v>185</v>
      </c>
      <c r="Y152" s="158"/>
      <c r="Z152" s="158" t="s">
        <v>185</v>
      </c>
      <c r="AA152" s="158" t="str">
        <f>IF(AWS_2[[#This Row],[Column14]]="-","", "v")</f>
        <v/>
      </c>
      <c r="AB152" s="158" t="str">
        <f>IF(AWS_2[[#This Row],[Column8]]="x","1",(IF(OR(AWS_2[[#This Row],[Column25]]=2,AWS_2[[#This Row],[Column26]]=2,AWS_2[[#This Row],[Column27]]=2),"1",(IF(AWS_2[[#This Row],[Column9]]="x","2",(IF(AWS_2[[#This Row],[Column10]]="x","3","")))))))</f>
        <v>1</v>
      </c>
      <c r="AC152" s="454" t="str">
        <f>IF(AWS_2[[#This Row],[Column14]] = "-", AWS_2[[#This Row],[Column14]], LEFT(AWS_2[[#This Row],[Column14]], SEARCH(" ", AWS_2[[#This Row],[Column14]] &amp; " ") - 1))</f>
        <v>-</v>
      </c>
    </row>
    <row r="153" spans="1:29" ht="45">
      <c r="A15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3" s="137" t="str">
        <f>AWS_2[[#This Row],[Column30]]</f>
        <v>-</v>
      </c>
      <c r="C153" s="137">
        <v>12.2</v>
      </c>
      <c r="D153" s="138" t="s">
        <v>390</v>
      </c>
      <c r="E153" s="162" t="s">
        <v>156</v>
      </c>
      <c r="F153" s="489" t="s">
        <v>2181</v>
      </c>
      <c r="G153" s="138" t="s">
        <v>732</v>
      </c>
      <c r="H153" s="204"/>
      <c r="I153" s="164" t="s">
        <v>185</v>
      </c>
      <c r="J153" s="200" t="s">
        <v>185</v>
      </c>
      <c r="K153" s="176" t="s">
        <v>185</v>
      </c>
      <c r="L153" s="176" t="s">
        <v>185</v>
      </c>
      <c r="M153" s="176" t="s">
        <v>185</v>
      </c>
      <c r="N153" s="165" t="s">
        <v>162</v>
      </c>
      <c r="O153" s="165" t="s">
        <v>162</v>
      </c>
      <c r="P153" s="165" t="s">
        <v>162</v>
      </c>
      <c r="Q153" s="165" t="s">
        <v>162</v>
      </c>
      <c r="R153" s="167"/>
      <c r="S153" s="165" t="s">
        <v>162</v>
      </c>
      <c r="T153" s="165" t="s">
        <v>162</v>
      </c>
      <c r="U153" s="158" t="s">
        <v>162</v>
      </c>
      <c r="V153" s="168"/>
      <c r="W153" s="158" t="s">
        <v>966</v>
      </c>
      <c r="X153" s="158" t="s">
        <v>185</v>
      </c>
      <c r="Y153" s="158"/>
      <c r="Z153" s="158" t="s">
        <v>185</v>
      </c>
      <c r="AA153" s="158" t="str">
        <f>IF(AWS_2[[#This Row],[Column14]]="-","", "v")</f>
        <v/>
      </c>
      <c r="AB153" s="158" t="str">
        <f>IF(AWS_2[[#This Row],[Column8]]="x","1",(IF(OR(AWS_2[[#This Row],[Column25]]=2,AWS_2[[#This Row],[Column26]]=2,AWS_2[[#This Row],[Column27]]=2),"1",(IF(AWS_2[[#This Row],[Column9]]="x","2",(IF(AWS_2[[#This Row],[Column10]]="x","3","")))))))</f>
        <v>2</v>
      </c>
      <c r="AC153" s="454" t="str">
        <f>IF(AWS_2[[#This Row],[Column14]] = "-", AWS_2[[#This Row],[Column14]], LEFT(AWS_2[[#This Row],[Column14]], SEARCH(" ", AWS_2[[#This Row],[Column14]] &amp; " ") - 1))</f>
        <v>-</v>
      </c>
    </row>
    <row r="154" spans="1:29" ht="45">
      <c r="A15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4" s="137" t="str">
        <f>AWS_2[[#This Row],[Column30]]</f>
        <v>-</v>
      </c>
      <c r="C154" s="137">
        <v>12.3</v>
      </c>
      <c r="D154" s="138" t="s">
        <v>390</v>
      </c>
      <c r="E154" s="162" t="s">
        <v>156</v>
      </c>
      <c r="F154" s="489" t="s">
        <v>2182</v>
      </c>
      <c r="G154" s="138" t="s">
        <v>734</v>
      </c>
      <c r="H154" s="204"/>
      <c r="I154" s="164" t="s">
        <v>185</v>
      </c>
      <c r="J154" s="200" t="s">
        <v>185</v>
      </c>
      <c r="K154" s="176" t="s">
        <v>185</v>
      </c>
      <c r="L154" s="176" t="s">
        <v>185</v>
      </c>
      <c r="M154" s="176" t="s">
        <v>185</v>
      </c>
      <c r="N154" s="165" t="s">
        <v>162</v>
      </c>
      <c r="O154" s="165" t="s">
        <v>162</v>
      </c>
      <c r="P154" s="165" t="s">
        <v>162</v>
      </c>
      <c r="Q154" s="165" t="s">
        <v>162</v>
      </c>
      <c r="R154" s="167"/>
      <c r="S154" s="165" t="s">
        <v>162</v>
      </c>
      <c r="T154" s="165" t="s">
        <v>162</v>
      </c>
      <c r="U154" s="158" t="s">
        <v>162</v>
      </c>
      <c r="V154" s="168"/>
      <c r="W154" s="158" t="s">
        <v>966</v>
      </c>
      <c r="X154" s="158" t="s">
        <v>185</v>
      </c>
      <c r="Y154" s="158"/>
      <c r="Z154" s="158" t="s">
        <v>185</v>
      </c>
      <c r="AA154" s="158" t="str">
        <f>IF(AWS_2[[#This Row],[Column14]]="-","", "v")</f>
        <v/>
      </c>
      <c r="AB154" s="158" t="str">
        <f>IF(AWS_2[[#This Row],[Column8]]="x","1",(IF(OR(AWS_2[[#This Row],[Column25]]=2,AWS_2[[#This Row],[Column26]]=2,AWS_2[[#This Row],[Column27]]=2),"1",(IF(AWS_2[[#This Row],[Column9]]="x","2",(IF(AWS_2[[#This Row],[Column10]]="x","3","")))))))</f>
        <v>2</v>
      </c>
      <c r="AC154" s="454" t="str">
        <f>IF(AWS_2[[#This Row],[Column14]] = "-", AWS_2[[#This Row],[Column14]], LEFT(AWS_2[[#This Row],[Column14]], SEARCH(" ", AWS_2[[#This Row],[Column14]] &amp; " ") - 1))</f>
        <v>-</v>
      </c>
    </row>
    <row r="155" spans="1:29" ht="45">
      <c r="A15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5" s="137" t="str">
        <f>AWS_2[[#This Row],[Column30]]</f>
        <v>-</v>
      </c>
      <c r="C155" s="137">
        <v>12.4</v>
      </c>
      <c r="D155" s="138" t="s">
        <v>390</v>
      </c>
      <c r="E155" s="162" t="s">
        <v>154</v>
      </c>
      <c r="F155" s="489" t="s">
        <v>2183</v>
      </c>
      <c r="G155" s="138" t="s">
        <v>736</v>
      </c>
      <c r="H155" s="204"/>
      <c r="I155" s="164" t="s">
        <v>185</v>
      </c>
      <c r="J155" s="200" t="s">
        <v>185</v>
      </c>
      <c r="K155" s="176" t="s">
        <v>185</v>
      </c>
      <c r="L155" s="176" t="s">
        <v>185</v>
      </c>
      <c r="M155" s="176" t="s">
        <v>185</v>
      </c>
      <c r="N155" s="165" t="s">
        <v>162</v>
      </c>
      <c r="O155" s="165" t="s">
        <v>162</v>
      </c>
      <c r="P155" s="165" t="s">
        <v>162</v>
      </c>
      <c r="Q155" s="165" t="s">
        <v>162</v>
      </c>
      <c r="R155" s="167"/>
      <c r="S155" s="165" t="s">
        <v>162</v>
      </c>
      <c r="T155" s="165" t="s">
        <v>162</v>
      </c>
      <c r="U155" s="158" t="s">
        <v>162</v>
      </c>
      <c r="V155" s="168"/>
      <c r="W155" s="158" t="s">
        <v>966</v>
      </c>
      <c r="X155" s="158" t="s">
        <v>185</v>
      </c>
      <c r="Y155" s="158"/>
      <c r="Z155" s="158" t="s">
        <v>185</v>
      </c>
      <c r="AA155" s="158" t="str">
        <f>IF(AWS_2[[#This Row],[Column14]]="-","", "v")</f>
        <v/>
      </c>
      <c r="AB155" s="158" t="str">
        <f>IF(AWS_2[[#This Row],[Column8]]="x","1",(IF(OR(AWS_2[[#This Row],[Column25]]=2,AWS_2[[#This Row],[Column26]]=2,AWS_2[[#This Row],[Column27]]=2),"1",(IF(AWS_2[[#This Row],[Column9]]="x","2",(IF(AWS_2[[#This Row],[Column10]]="x","3","")))))))</f>
        <v>2</v>
      </c>
      <c r="AC155" s="454" t="str">
        <f>IF(AWS_2[[#This Row],[Column14]] = "-", AWS_2[[#This Row],[Column14]], LEFT(AWS_2[[#This Row],[Column14]], SEARCH(" ", AWS_2[[#This Row],[Column14]] &amp; " ") - 1))</f>
        <v>-</v>
      </c>
    </row>
    <row r="156" spans="1:29" ht="15.75">
      <c r="A15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6" s="137" t="str">
        <f>AWS_2[[#This Row],[Column30]]</f>
        <v>-</v>
      </c>
      <c r="C156" s="137">
        <v>12.5</v>
      </c>
      <c r="D156" s="138" t="s">
        <v>390</v>
      </c>
      <c r="E156" s="162" t="s">
        <v>156</v>
      </c>
      <c r="F156" s="489" t="s">
        <v>2184</v>
      </c>
      <c r="G156" s="138" t="s">
        <v>738</v>
      </c>
      <c r="H156" s="204"/>
      <c r="I156" s="164" t="s">
        <v>185</v>
      </c>
      <c r="J156" s="200" t="s">
        <v>185</v>
      </c>
      <c r="K156" s="176" t="s">
        <v>185</v>
      </c>
      <c r="L156" s="176"/>
      <c r="M156" s="176"/>
      <c r="N156" s="165" t="s">
        <v>162</v>
      </c>
      <c r="O156" s="165" t="s">
        <v>162</v>
      </c>
      <c r="P156" s="165" t="s">
        <v>162</v>
      </c>
      <c r="Q156" s="165" t="s">
        <v>162</v>
      </c>
      <c r="R156" s="167"/>
      <c r="S156" s="165" t="s">
        <v>162</v>
      </c>
      <c r="T156" s="165" t="s">
        <v>162</v>
      </c>
      <c r="U156" s="158" t="s">
        <v>162</v>
      </c>
      <c r="V156" s="168"/>
      <c r="W156" s="158" t="s">
        <v>966</v>
      </c>
      <c r="X156" s="158" t="s">
        <v>185</v>
      </c>
      <c r="Y156" s="158"/>
      <c r="Z156" s="158" t="s">
        <v>185</v>
      </c>
      <c r="AA156" s="158" t="str">
        <f>IF(AWS_2[[#This Row],[Column14]]="-","", "v")</f>
        <v/>
      </c>
      <c r="AB156" s="158" t="str">
        <f>IF(AWS_2[[#This Row],[Column8]]="x","1",(IF(OR(AWS_2[[#This Row],[Column25]]=2,AWS_2[[#This Row],[Column26]]=2,AWS_2[[#This Row],[Column27]]=2),"1",(IF(AWS_2[[#This Row],[Column9]]="x","2",(IF(AWS_2[[#This Row],[Column10]]="x","3","")))))))</f>
        <v>2</v>
      </c>
      <c r="AC156" s="454" t="str">
        <f>IF(AWS_2[[#This Row],[Column14]] = "-", AWS_2[[#This Row],[Column14]], LEFT(AWS_2[[#This Row],[Column14]], SEARCH(" ", AWS_2[[#This Row],[Column14]] &amp; " ") - 1))</f>
        <v>-</v>
      </c>
    </row>
    <row r="157" spans="1:29" ht="30">
      <c r="A15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7" s="137" t="str">
        <f>AWS_2[[#This Row],[Column30]]</f>
        <v>-</v>
      </c>
      <c r="C157" s="137">
        <v>12.6</v>
      </c>
      <c r="D157" s="138" t="s">
        <v>390</v>
      </c>
      <c r="E157" s="162" t="s">
        <v>156</v>
      </c>
      <c r="F157" s="489" t="s">
        <v>2185</v>
      </c>
      <c r="G157" s="139" t="s">
        <v>740</v>
      </c>
      <c r="H157" s="204"/>
      <c r="I157" s="164" t="s">
        <v>185</v>
      </c>
      <c r="J157" s="200" t="s">
        <v>185</v>
      </c>
      <c r="K157" s="176" t="s">
        <v>185</v>
      </c>
      <c r="L157" s="176"/>
      <c r="M157" s="176"/>
      <c r="N157" s="165" t="s">
        <v>162</v>
      </c>
      <c r="O157" s="165" t="s">
        <v>162</v>
      </c>
      <c r="P157" s="165" t="s">
        <v>162</v>
      </c>
      <c r="Q157" s="165" t="s">
        <v>162</v>
      </c>
      <c r="R157" s="167"/>
      <c r="S157" s="165" t="s">
        <v>162</v>
      </c>
      <c r="T157" s="165" t="s">
        <v>162</v>
      </c>
      <c r="U157" s="158" t="s">
        <v>162</v>
      </c>
      <c r="V157" s="168"/>
      <c r="W157" s="158" t="s">
        <v>966</v>
      </c>
      <c r="X157" s="158" t="s">
        <v>185</v>
      </c>
      <c r="Y157" s="158"/>
      <c r="Z157" s="158" t="s">
        <v>185</v>
      </c>
      <c r="AA157" s="158" t="str">
        <f>IF(AWS_2[[#This Row],[Column14]]="-","", "v")</f>
        <v/>
      </c>
      <c r="AB157" s="158" t="str">
        <f>IF(AWS_2[[#This Row],[Column8]]="x","1",(IF(OR(AWS_2[[#This Row],[Column25]]=2,AWS_2[[#This Row],[Column26]]=2,AWS_2[[#This Row],[Column27]]=2),"1",(IF(AWS_2[[#This Row],[Column9]]="x","2",(IF(AWS_2[[#This Row],[Column10]]="x","3","")))))))</f>
        <v>2</v>
      </c>
      <c r="AC157" s="454" t="str">
        <f>IF(AWS_2[[#This Row],[Column14]] = "-", AWS_2[[#This Row],[Column14]], LEFT(AWS_2[[#This Row],[Column14]], SEARCH(" ", AWS_2[[#This Row],[Column14]] &amp; " ") - 1))</f>
        <v>-</v>
      </c>
    </row>
    <row r="158" spans="1:29" ht="30">
      <c r="A15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8" s="137" t="str">
        <f>AWS_2[[#This Row],[Column30]]</f>
        <v>-</v>
      </c>
      <c r="C158" s="137">
        <v>12.7</v>
      </c>
      <c r="D158" s="138" t="s">
        <v>352</v>
      </c>
      <c r="E158" s="162" t="s">
        <v>156</v>
      </c>
      <c r="F158" s="489" t="s">
        <v>2186</v>
      </c>
      <c r="G158" s="139" t="s">
        <v>742</v>
      </c>
      <c r="H158" s="204"/>
      <c r="I158" s="164" t="s">
        <v>185</v>
      </c>
      <c r="J158" s="200" t="s">
        <v>185</v>
      </c>
      <c r="K158" s="176" t="s">
        <v>185</v>
      </c>
      <c r="L158" s="176"/>
      <c r="M158" s="176"/>
      <c r="N158" s="165" t="s">
        <v>162</v>
      </c>
      <c r="O158" s="165" t="s">
        <v>162</v>
      </c>
      <c r="P158" s="165" t="s">
        <v>162</v>
      </c>
      <c r="Q158" s="165" t="s">
        <v>162</v>
      </c>
      <c r="R158" s="167"/>
      <c r="S158" s="165" t="s">
        <v>162</v>
      </c>
      <c r="T158" s="165" t="s">
        <v>162</v>
      </c>
      <c r="U158" s="158" t="s">
        <v>162</v>
      </c>
      <c r="V158" s="168"/>
      <c r="W158" s="158" t="s">
        <v>966</v>
      </c>
      <c r="X158" s="158" t="s">
        <v>185</v>
      </c>
      <c r="Y158" s="158"/>
      <c r="Z158" s="158" t="s">
        <v>185</v>
      </c>
      <c r="AA158" s="158" t="str">
        <f>IF(AWS_2[[#This Row],[Column14]]="-","", "v")</f>
        <v/>
      </c>
      <c r="AB158" s="158" t="str">
        <f>IF(AWS_2[[#This Row],[Column8]]="x","1",(IF(OR(AWS_2[[#This Row],[Column25]]=2,AWS_2[[#This Row],[Column26]]=2,AWS_2[[#This Row],[Column27]]=2),"1",(IF(AWS_2[[#This Row],[Column9]]="x","2",(IF(AWS_2[[#This Row],[Column10]]="x","3","")))))))</f>
        <v>2</v>
      </c>
      <c r="AC158" s="454" t="str">
        <f>IF(AWS_2[[#This Row],[Column14]] = "-", AWS_2[[#This Row],[Column14]], LEFT(AWS_2[[#This Row],[Column14]], SEARCH(" ", AWS_2[[#This Row],[Column14]] &amp; " ") - 1))</f>
        <v>-</v>
      </c>
    </row>
    <row r="159" spans="1:29" ht="60">
      <c r="A15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NOT(ISBLANK(K159)),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NOT(ISBLANK(L159)),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NOT(ISBLANK(M159)),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59" s="137" t="str">
        <f>AWS_2[[#This Row],[Column30]]</f>
        <v>-</v>
      </c>
      <c r="C159" s="137">
        <v>12.8</v>
      </c>
      <c r="D159" s="138" t="s">
        <v>352</v>
      </c>
      <c r="E159" s="162" t="s">
        <v>156</v>
      </c>
      <c r="F159" s="489" t="s">
        <v>2187</v>
      </c>
      <c r="G159" s="138" t="s">
        <v>744</v>
      </c>
      <c r="H159" s="137"/>
      <c r="I159" s="137"/>
      <c r="J159" s="200" t="s">
        <v>185</v>
      </c>
      <c r="K159" s="176" t="s">
        <v>185</v>
      </c>
      <c r="L159" s="176"/>
      <c r="M159" s="176"/>
      <c r="N159" s="165" t="s">
        <v>162</v>
      </c>
      <c r="O159" s="165" t="s">
        <v>162</v>
      </c>
      <c r="P159" s="165" t="s">
        <v>162</v>
      </c>
      <c r="Q159" s="165" t="s">
        <v>162</v>
      </c>
      <c r="R159" s="167"/>
      <c r="S159" s="165" t="s">
        <v>162</v>
      </c>
      <c r="T159" s="165" t="s">
        <v>162</v>
      </c>
      <c r="U159" s="158" t="s">
        <v>162</v>
      </c>
      <c r="V159" s="168"/>
      <c r="W159" s="158" t="s">
        <v>966</v>
      </c>
      <c r="X159" s="158" t="s">
        <v>185</v>
      </c>
      <c r="Y159" s="158"/>
      <c r="Z159" s="158" t="s">
        <v>185</v>
      </c>
      <c r="AA159" s="158" t="str">
        <f>IF(AWS_2[[#This Row],[Column14]]="-","", "v")</f>
        <v/>
      </c>
      <c r="AB159" s="158" t="str">
        <f>IF(AWS_2[[#This Row],[Column8]]="x","1",(IF(OR(AWS_2[[#This Row],[Column25]]=2,AWS_2[[#This Row],[Column26]]=2,AWS_2[[#This Row],[Column27]]=2),"1",(IF(AWS_2[[#This Row],[Column9]]="x","2",(IF(AWS_2[[#This Row],[Column10]]="x","3","")))))))</f>
        <v>3</v>
      </c>
      <c r="AC159" s="454" t="str">
        <f>IF(AWS_2[[#This Row],[Column14]] = "-", AWS_2[[#This Row],[Column14]], LEFT(AWS_2[[#This Row],[Column14]], SEARCH(" ", AWS_2[[#This Row],[Column14]] &amp; " ") - 1))</f>
        <v>-</v>
      </c>
    </row>
    <row r="160" spans="1:29" ht="45">
      <c r="A160" s="178" t="s">
        <v>942</v>
      </c>
      <c r="B160" s="154" t="s">
        <v>162</v>
      </c>
      <c r="C160" s="154" t="s">
        <v>162</v>
      </c>
      <c r="D160" s="154" t="s">
        <v>162</v>
      </c>
      <c r="E160" s="154" t="s">
        <v>162</v>
      </c>
      <c r="F160" s="488" t="s">
        <v>2188</v>
      </c>
      <c r="G160" s="157" t="s">
        <v>746</v>
      </c>
      <c r="H160" s="154"/>
      <c r="I160" s="154"/>
      <c r="J160" s="154"/>
      <c r="K160" s="161"/>
      <c r="L160" s="161"/>
      <c r="M160" s="161"/>
      <c r="N160" s="154" t="s">
        <v>162</v>
      </c>
      <c r="O160" s="154" t="s">
        <v>162</v>
      </c>
      <c r="P160" s="154" t="s">
        <v>162</v>
      </c>
      <c r="Q160" s="154" t="s">
        <v>162</v>
      </c>
      <c r="R160" s="167"/>
      <c r="S160" s="154" t="s">
        <v>162</v>
      </c>
      <c r="T160" s="154" t="s">
        <v>162</v>
      </c>
      <c r="U160" s="245" t="s">
        <v>162</v>
      </c>
      <c r="V160" s="245" t="s">
        <v>162</v>
      </c>
      <c r="W160" s="245" t="s">
        <v>162</v>
      </c>
      <c r="X160" s="245" t="s">
        <v>162</v>
      </c>
      <c r="Y160" s="245" t="s">
        <v>162</v>
      </c>
      <c r="Z160" s="245" t="s">
        <v>162</v>
      </c>
      <c r="AA160" s="154" t="s">
        <v>162</v>
      </c>
      <c r="AB160" s="154" t="s">
        <v>162</v>
      </c>
      <c r="AC160" s="454" t="str">
        <f>IF(AWS_2[[#This Row],[Column14]] = "-", AWS_2[[#This Row],[Column14]], LEFT(AWS_2[[#This Row],[Column14]], SEARCH(" ", AWS_2[[#This Row],[Column14]] &amp; " ") - 1))</f>
        <v>-</v>
      </c>
    </row>
    <row r="161" spans="1:29" ht="60">
      <c r="A16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1" s="137" t="str">
        <f>AWS_2[[#This Row],[Column30]]</f>
        <v>-</v>
      </c>
      <c r="C161" s="137">
        <v>13.1</v>
      </c>
      <c r="D161" s="138" t="s">
        <v>390</v>
      </c>
      <c r="E161" s="162" t="s">
        <v>155</v>
      </c>
      <c r="F161" s="489" t="s">
        <v>2189</v>
      </c>
      <c r="G161" s="139" t="s">
        <v>748</v>
      </c>
      <c r="H161" s="137"/>
      <c r="I161" s="164" t="s">
        <v>185</v>
      </c>
      <c r="J161" s="200" t="s">
        <v>185</v>
      </c>
      <c r="K161" s="176" t="s">
        <v>185</v>
      </c>
      <c r="L161" s="176" t="s">
        <v>185</v>
      </c>
      <c r="M161" s="176" t="s">
        <v>185</v>
      </c>
      <c r="N161" s="165" t="s">
        <v>162</v>
      </c>
      <c r="O161" s="165" t="s">
        <v>162</v>
      </c>
      <c r="P161" s="165" t="s">
        <v>162</v>
      </c>
      <c r="Q161" s="165" t="s">
        <v>162</v>
      </c>
      <c r="R161" s="167"/>
      <c r="S161" s="165" t="s">
        <v>162</v>
      </c>
      <c r="T161" s="165" t="s">
        <v>162</v>
      </c>
      <c r="U161" s="158" t="s">
        <v>162</v>
      </c>
      <c r="V161" s="168"/>
      <c r="W161" s="158" t="s">
        <v>966</v>
      </c>
      <c r="X161" s="158" t="s">
        <v>185</v>
      </c>
      <c r="Y161" s="158"/>
      <c r="Z161" s="158" t="s">
        <v>185</v>
      </c>
      <c r="AA161" s="158" t="str">
        <f>IF(AWS_2[[#This Row],[Column14]]="-","", "v")</f>
        <v/>
      </c>
      <c r="AB161" s="158" t="str">
        <f>IF(AWS_2[[#This Row],[Column8]]="x","1",(IF(OR(AWS_2[[#This Row],[Column25]]=2,AWS_2[[#This Row],[Column26]]=2,AWS_2[[#This Row],[Column27]]=2),"1",(IF(AWS_2[[#This Row],[Column9]]="x","2",(IF(AWS_2[[#This Row],[Column10]]="x","3","")))))))</f>
        <v>2</v>
      </c>
      <c r="AC161" s="454" t="str">
        <f>IF(AWS_2[[#This Row],[Column14]] = "-", AWS_2[[#This Row],[Column14]], LEFT(AWS_2[[#This Row],[Column14]], SEARCH(" ", AWS_2[[#This Row],[Column14]] &amp; " ") - 1))</f>
        <v>-</v>
      </c>
    </row>
    <row r="162" spans="1:29" ht="30">
      <c r="A16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2" s="137" t="str">
        <f>AWS_2[[#This Row],[Column30]]</f>
        <v>-</v>
      </c>
      <c r="C162" s="137">
        <v>13.2</v>
      </c>
      <c r="D162" s="138" t="s">
        <v>352</v>
      </c>
      <c r="E162" s="162" t="s">
        <v>155</v>
      </c>
      <c r="F162" s="489" t="s">
        <v>2190</v>
      </c>
      <c r="G162" s="138" t="s">
        <v>750</v>
      </c>
      <c r="H162" s="137"/>
      <c r="I162" s="164" t="s">
        <v>185</v>
      </c>
      <c r="J162" s="200" t="s">
        <v>185</v>
      </c>
      <c r="K162" s="176" t="s">
        <v>185</v>
      </c>
      <c r="L162" s="176"/>
      <c r="M162" s="176"/>
      <c r="N162" s="165" t="s">
        <v>162</v>
      </c>
      <c r="O162" s="165" t="s">
        <v>162</v>
      </c>
      <c r="P162" s="165" t="s">
        <v>162</v>
      </c>
      <c r="Q162" s="165" t="s">
        <v>162</v>
      </c>
      <c r="R162" s="167"/>
      <c r="S162" s="165" t="s">
        <v>162</v>
      </c>
      <c r="T162" s="165" t="s">
        <v>162</v>
      </c>
      <c r="U162" s="158" t="s">
        <v>162</v>
      </c>
      <c r="V162" s="168"/>
      <c r="W162" s="158" t="s">
        <v>966</v>
      </c>
      <c r="X162" s="158" t="s">
        <v>185</v>
      </c>
      <c r="Y162" s="158"/>
      <c r="Z162" s="158" t="s">
        <v>185</v>
      </c>
      <c r="AA162" s="158" t="str">
        <f>IF(AWS_2[[#This Row],[Column14]]="-","", "v")</f>
        <v/>
      </c>
      <c r="AB162" s="158" t="str">
        <f>IF(AWS_2[[#This Row],[Column8]]="x","1",(IF(OR(AWS_2[[#This Row],[Column25]]=2,AWS_2[[#This Row],[Column26]]=2,AWS_2[[#This Row],[Column27]]=2),"1",(IF(AWS_2[[#This Row],[Column9]]="x","2",(IF(AWS_2[[#This Row],[Column10]]="x","3","")))))))</f>
        <v>2</v>
      </c>
      <c r="AC162" s="454" t="str">
        <f>IF(AWS_2[[#This Row],[Column14]] = "-", AWS_2[[#This Row],[Column14]], LEFT(AWS_2[[#This Row],[Column14]], SEARCH(" ", AWS_2[[#This Row],[Column14]] &amp; " ") - 1))</f>
        <v>-</v>
      </c>
    </row>
    <row r="163" spans="1:29" ht="45">
      <c r="A16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3" s="137" t="str">
        <f>AWS_2[[#This Row],[Column30]]</f>
        <v>-</v>
      </c>
      <c r="C163" s="137">
        <v>13.3</v>
      </c>
      <c r="D163" s="138" t="s">
        <v>390</v>
      </c>
      <c r="E163" s="162" t="s">
        <v>155</v>
      </c>
      <c r="F163" s="489" t="s">
        <v>2191</v>
      </c>
      <c r="G163" s="139" t="s">
        <v>752</v>
      </c>
      <c r="H163" s="137"/>
      <c r="I163" s="164" t="s">
        <v>185</v>
      </c>
      <c r="J163" s="200" t="s">
        <v>185</v>
      </c>
      <c r="K163" s="176" t="s">
        <v>185</v>
      </c>
      <c r="L163" s="176"/>
      <c r="M163" s="176"/>
      <c r="N163" s="165" t="s">
        <v>162</v>
      </c>
      <c r="O163" s="165" t="s">
        <v>162</v>
      </c>
      <c r="P163" s="165" t="s">
        <v>162</v>
      </c>
      <c r="Q163" s="165" t="s">
        <v>162</v>
      </c>
      <c r="R163" s="167"/>
      <c r="S163" s="165" t="s">
        <v>162</v>
      </c>
      <c r="T163" s="165" t="s">
        <v>162</v>
      </c>
      <c r="U163" s="158" t="s">
        <v>162</v>
      </c>
      <c r="V163" s="168"/>
      <c r="W163" s="158" t="s">
        <v>966</v>
      </c>
      <c r="X163" s="158" t="s">
        <v>185</v>
      </c>
      <c r="Y163" s="158"/>
      <c r="Z163" s="158" t="s">
        <v>185</v>
      </c>
      <c r="AA163" s="158" t="str">
        <f>IF(AWS_2[[#This Row],[Column14]]="-","", "v")</f>
        <v/>
      </c>
      <c r="AB163" s="158" t="str">
        <f>IF(AWS_2[[#This Row],[Column8]]="x","1",(IF(OR(AWS_2[[#This Row],[Column25]]=2,AWS_2[[#This Row],[Column26]]=2,AWS_2[[#This Row],[Column27]]=2),"1",(IF(AWS_2[[#This Row],[Column9]]="x","2",(IF(AWS_2[[#This Row],[Column10]]="x","3","")))))))</f>
        <v>2</v>
      </c>
      <c r="AC163" s="454" t="str">
        <f>IF(AWS_2[[#This Row],[Column14]] = "-", AWS_2[[#This Row],[Column14]], LEFT(AWS_2[[#This Row],[Column14]], SEARCH(" ", AWS_2[[#This Row],[Column14]] &amp; " ") - 1))</f>
        <v>-</v>
      </c>
    </row>
    <row r="164" spans="1:29" ht="228">
      <c r="A16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4" s="137" t="str">
        <f>AWS_2[[#This Row],[Column30]]</f>
        <v>5.1</v>
      </c>
      <c r="C164" s="137">
        <v>13.4</v>
      </c>
      <c r="D164" s="138" t="s">
        <v>390</v>
      </c>
      <c r="E164" s="162" t="s">
        <v>156</v>
      </c>
      <c r="F164" s="489" t="s">
        <v>2192</v>
      </c>
      <c r="G164" s="138" t="s">
        <v>754</v>
      </c>
      <c r="H164" s="137"/>
      <c r="I164" s="164" t="s">
        <v>185</v>
      </c>
      <c r="J164" s="200" t="s">
        <v>185</v>
      </c>
      <c r="K164" s="176" t="s">
        <v>185</v>
      </c>
      <c r="L164" s="176"/>
      <c r="M164" s="176"/>
      <c r="N164" s="165" t="s">
        <v>687</v>
      </c>
      <c r="O164" s="197" t="s">
        <v>198</v>
      </c>
      <c r="P164" s="166" t="s">
        <v>755</v>
      </c>
      <c r="Q164" s="166" t="s">
        <v>689</v>
      </c>
      <c r="R164" s="167" t="s">
        <v>690</v>
      </c>
      <c r="S164" s="166" t="s">
        <v>691</v>
      </c>
      <c r="T164" s="166" t="s">
        <v>692</v>
      </c>
      <c r="U164" s="158" t="s">
        <v>162</v>
      </c>
      <c r="V164" s="168" t="s">
        <v>917</v>
      </c>
      <c r="W164" s="158" t="s">
        <v>967</v>
      </c>
      <c r="X164" s="158" t="s">
        <v>185</v>
      </c>
      <c r="Y164" s="158"/>
      <c r="Z164" s="158" t="s">
        <v>185</v>
      </c>
      <c r="AA164" s="158" t="str">
        <f>IF(AWS_2[[#This Row],[Column14]]="-","", "v")</f>
        <v>v</v>
      </c>
      <c r="AB164" s="158" t="str">
        <f>IF(AWS_2[[#This Row],[Column8]]="x","1",(IF(OR(AWS_2[[#This Row],[Column25]]=2,AWS_2[[#This Row],[Column26]]=2,AWS_2[[#This Row],[Column27]]=2),"1",(IF(AWS_2[[#This Row],[Column9]]="x","2",(IF(AWS_2[[#This Row],[Column10]]="x","3","")))))))</f>
        <v>2</v>
      </c>
      <c r="AC164" s="454" t="str">
        <f>IF(AWS_2[[#This Row],[Column14]] = "-", AWS_2[[#This Row],[Column14]], LEFT(AWS_2[[#This Row],[Column14]], SEARCH(" ", AWS_2[[#This Row],[Column14]] &amp; " ") - 1))</f>
        <v>5.1</v>
      </c>
    </row>
    <row r="165" spans="1:29" ht="409.5">
      <c r="A16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5" s="137" t="str">
        <f>AWS_2[[#This Row],[Column30]]</f>
        <v>5.2</v>
      </c>
      <c r="C165" s="137">
        <v>13.4</v>
      </c>
      <c r="D165" s="138" t="s">
        <v>390</v>
      </c>
      <c r="E165" s="162" t="s">
        <v>156</v>
      </c>
      <c r="F165" s="489" t="s">
        <v>2192</v>
      </c>
      <c r="G165" s="138" t="s">
        <v>754</v>
      </c>
      <c r="H165" s="137"/>
      <c r="I165" s="164" t="s">
        <v>185</v>
      </c>
      <c r="J165" s="200" t="s">
        <v>185</v>
      </c>
      <c r="K165" s="176" t="s">
        <v>185</v>
      </c>
      <c r="L165" s="176"/>
      <c r="M165" s="176"/>
      <c r="N165" s="165" t="s">
        <v>756</v>
      </c>
      <c r="O165" s="197" t="s">
        <v>198</v>
      </c>
      <c r="P165" s="166" t="s">
        <v>757</v>
      </c>
      <c r="Q165" s="166" t="s">
        <v>758</v>
      </c>
      <c r="R165" s="167" t="s">
        <v>759</v>
      </c>
      <c r="S165" s="166" t="s">
        <v>760</v>
      </c>
      <c r="T165" s="166" t="s">
        <v>761</v>
      </c>
      <c r="U165" s="158" t="s">
        <v>162</v>
      </c>
      <c r="V165" s="168" t="s">
        <v>917</v>
      </c>
      <c r="W165" s="158" t="s">
        <v>967</v>
      </c>
      <c r="X165" s="158" t="s">
        <v>185</v>
      </c>
      <c r="Y165" s="158"/>
      <c r="Z165" s="158" t="s">
        <v>185</v>
      </c>
      <c r="AA165" s="158" t="str">
        <f>IF(AWS_2[[#This Row],[Column14]]="-","", "v")</f>
        <v>v</v>
      </c>
      <c r="AB165" s="158" t="str">
        <f>IF(AWS_2[[#This Row],[Column8]]="x","1",(IF(OR(AWS_2[[#This Row],[Column25]]=2,AWS_2[[#This Row],[Column26]]=2,AWS_2[[#This Row],[Column27]]=2),"1",(IF(AWS_2[[#This Row],[Column9]]="x","2",(IF(AWS_2[[#This Row],[Column10]]="x","3","")))))))</f>
        <v>2</v>
      </c>
      <c r="AC165" s="454" t="str">
        <f>IF(AWS_2[[#This Row],[Column14]] = "-", AWS_2[[#This Row],[Column14]], LEFT(AWS_2[[#This Row],[Column14]], SEARCH(" ", AWS_2[[#This Row],[Column14]] &amp; " ") - 1))</f>
        <v>5.2</v>
      </c>
    </row>
    <row r="166" spans="1:29" ht="399">
      <c r="A16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6" s="137" t="str">
        <f>AWS_2[[#This Row],[Column30]]</f>
        <v>5.3</v>
      </c>
      <c r="C166" s="137">
        <v>13.4</v>
      </c>
      <c r="D166" s="138" t="s">
        <v>390</v>
      </c>
      <c r="E166" s="162" t="s">
        <v>156</v>
      </c>
      <c r="F166" s="489" t="s">
        <v>2192</v>
      </c>
      <c r="G166" s="138" t="s">
        <v>754</v>
      </c>
      <c r="H166" s="137"/>
      <c r="I166" s="164" t="s">
        <v>185</v>
      </c>
      <c r="J166" s="200" t="s">
        <v>185</v>
      </c>
      <c r="K166" s="176" t="s">
        <v>185</v>
      </c>
      <c r="L166" s="176"/>
      <c r="M166" s="176"/>
      <c r="N166" s="165" t="s">
        <v>762</v>
      </c>
      <c r="O166" s="197" t="s">
        <v>198</v>
      </c>
      <c r="P166" s="166" t="s">
        <v>763</v>
      </c>
      <c r="Q166" s="166" t="s">
        <v>764</v>
      </c>
      <c r="R166" s="167"/>
      <c r="S166" s="166" t="s">
        <v>162</v>
      </c>
      <c r="T166" s="166" t="s">
        <v>162</v>
      </c>
      <c r="U166" s="158" t="s">
        <v>162</v>
      </c>
      <c r="V166" s="168" t="s">
        <v>917</v>
      </c>
      <c r="W166" s="158" t="s">
        <v>967</v>
      </c>
      <c r="X166" s="158" t="s">
        <v>185</v>
      </c>
      <c r="Y166" s="158"/>
      <c r="Z166" s="158" t="s">
        <v>185</v>
      </c>
      <c r="AA166" s="158" t="str">
        <f>IF(AWS_2[[#This Row],[Column14]]="-","", "v")</f>
        <v>v</v>
      </c>
      <c r="AB166" s="158" t="str">
        <f>IF(AWS_2[[#This Row],[Column8]]="x","1",(IF(OR(AWS_2[[#This Row],[Column25]]=2,AWS_2[[#This Row],[Column26]]=2,AWS_2[[#This Row],[Column27]]=2),"1",(IF(AWS_2[[#This Row],[Column9]]="x","2",(IF(AWS_2[[#This Row],[Column10]]="x","3","")))))))</f>
        <v>2</v>
      </c>
      <c r="AC166" s="454" t="str">
        <f>IF(AWS_2[[#This Row],[Column14]] = "-", AWS_2[[#This Row],[Column14]], LEFT(AWS_2[[#This Row],[Column14]], SEARCH(" ", AWS_2[[#This Row],[Column14]] &amp; " ") - 1))</f>
        <v>5.3</v>
      </c>
    </row>
    <row r="167" spans="1:29" ht="75">
      <c r="A16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7" s="137" t="str">
        <f>AWS_2[[#This Row],[Column30]]</f>
        <v>-</v>
      </c>
      <c r="C167" s="137">
        <v>13.5</v>
      </c>
      <c r="D167" s="138" t="s">
        <v>352</v>
      </c>
      <c r="E167" s="162" t="s">
        <v>156</v>
      </c>
      <c r="F167" s="489" t="s">
        <v>2193</v>
      </c>
      <c r="G167" s="139" t="s">
        <v>766</v>
      </c>
      <c r="H167" s="137"/>
      <c r="I167" s="164" t="s">
        <v>185</v>
      </c>
      <c r="J167" s="200" t="s">
        <v>185</v>
      </c>
      <c r="K167" s="176" t="s">
        <v>185</v>
      </c>
      <c r="L167" s="176"/>
      <c r="M167" s="176"/>
      <c r="N167" s="165" t="s">
        <v>162</v>
      </c>
      <c r="O167" s="165" t="s">
        <v>162</v>
      </c>
      <c r="P167" s="165" t="s">
        <v>162</v>
      </c>
      <c r="Q167" s="165" t="s">
        <v>162</v>
      </c>
      <c r="R167" s="167"/>
      <c r="S167" s="165" t="s">
        <v>162</v>
      </c>
      <c r="T167" s="165" t="s">
        <v>162</v>
      </c>
      <c r="U167" s="158" t="s">
        <v>162</v>
      </c>
      <c r="V167" s="168"/>
      <c r="W167" s="158" t="s">
        <v>966</v>
      </c>
      <c r="X167" s="158" t="s">
        <v>185</v>
      </c>
      <c r="Y167" s="158"/>
      <c r="Z167" s="158" t="s">
        <v>185</v>
      </c>
      <c r="AA167" s="158" t="str">
        <f>IF(AWS_2[[#This Row],[Column14]]="-","", "v")</f>
        <v/>
      </c>
      <c r="AB167" s="158" t="str">
        <f>IF(AWS_2[[#This Row],[Column8]]="x","1",(IF(OR(AWS_2[[#This Row],[Column25]]=2,AWS_2[[#This Row],[Column26]]=2,AWS_2[[#This Row],[Column27]]=2),"1",(IF(AWS_2[[#This Row],[Column9]]="x","2",(IF(AWS_2[[#This Row],[Column10]]="x","3","")))))))</f>
        <v>2</v>
      </c>
      <c r="AC167" s="454" t="str">
        <f>IF(AWS_2[[#This Row],[Column14]] = "-", AWS_2[[#This Row],[Column14]], LEFT(AWS_2[[#This Row],[Column14]], SEARCH(" ", AWS_2[[#This Row],[Column14]] &amp; " ") - 1))</f>
        <v>-</v>
      </c>
    </row>
    <row r="168" spans="1:29" ht="409.5">
      <c r="A16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8" s="137" t="str">
        <f>AWS_2[[#This Row],[Column30]]</f>
        <v>3.9</v>
      </c>
      <c r="C168" s="137">
        <v>13.6</v>
      </c>
      <c r="D168" s="138" t="s">
        <v>390</v>
      </c>
      <c r="E168" s="162" t="s">
        <v>155</v>
      </c>
      <c r="F168" s="489" t="s">
        <v>2194</v>
      </c>
      <c r="G168" s="138" t="s">
        <v>768</v>
      </c>
      <c r="H168" s="137"/>
      <c r="I168" s="164" t="s">
        <v>185</v>
      </c>
      <c r="J168" s="200" t="s">
        <v>185</v>
      </c>
      <c r="K168" s="176" t="s">
        <v>185</v>
      </c>
      <c r="L168" s="176"/>
      <c r="M168" s="176"/>
      <c r="N168" s="165" t="s">
        <v>546</v>
      </c>
      <c r="O168" s="197" t="s">
        <v>187</v>
      </c>
      <c r="P168" s="166" t="s">
        <v>547</v>
      </c>
      <c r="Q168" s="166" t="s">
        <v>548</v>
      </c>
      <c r="R168" s="167" t="s">
        <v>549</v>
      </c>
      <c r="S168" s="166" t="s">
        <v>550</v>
      </c>
      <c r="T168" s="166" t="s">
        <v>551</v>
      </c>
      <c r="U168" s="158" t="s">
        <v>162</v>
      </c>
      <c r="V168" s="168" t="s">
        <v>912</v>
      </c>
      <c r="W168" s="158" t="s">
        <v>967</v>
      </c>
      <c r="X168" s="158" t="s">
        <v>185</v>
      </c>
      <c r="Y168" s="158"/>
      <c r="Z168" s="158" t="s">
        <v>185</v>
      </c>
      <c r="AA168" s="158" t="str">
        <f>IF(AWS_2[[#This Row],[Column14]]="-","", "v")</f>
        <v>v</v>
      </c>
      <c r="AB168" s="158" t="str">
        <f>IF(AWS_2[[#This Row],[Column8]]="x","1",(IF(OR(AWS_2[[#This Row],[Column25]]=2,AWS_2[[#This Row],[Column26]]=2,AWS_2[[#This Row],[Column27]]=2),"1",(IF(AWS_2[[#This Row],[Column9]]="x","2",(IF(AWS_2[[#This Row],[Column10]]="x","3","")))))))</f>
        <v>2</v>
      </c>
      <c r="AC168" s="454" t="str">
        <f>IF(AWS_2[[#This Row],[Column14]] = "-", AWS_2[[#This Row],[Column14]], LEFT(AWS_2[[#This Row],[Column14]], SEARCH(" ", AWS_2[[#This Row],[Column14]] &amp; " ") - 1))</f>
        <v>3.9</v>
      </c>
    </row>
    <row r="169" spans="1:29" ht="45">
      <c r="A16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NOT(ISBLANK(K169)),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NOT(ISBLANK(L169)),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NOT(ISBLANK(M169)),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69" s="137" t="str">
        <f>AWS_2[[#This Row],[Column30]]</f>
        <v>-</v>
      </c>
      <c r="C169" s="137">
        <v>13.7</v>
      </c>
      <c r="D169" s="138" t="s">
        <v>352</v>
      </c>
      <c r="E169" s="162" t="s">
        <v>156</v>
      </c>
      <c r="F169" s="489" t="s">
        <v>2195</v>
      </c>
      <c r="G169" s="139" t="s">
        <v>770</v>
      </c>
      <c r="H169" s="137"/>
      <c r="I169" s="137"/>
      <c r="J169" s="200" t="s">
        <v>185</v>
      </c>
      <c r="K169" s="176" t="s">
        <v>185</v>
      </c>
      <c r="L169" s="176"/>
      <c r="M169" s="176"/>
      <c r="N169" s="165" t="s">
        <v>162</v>
      </c>
      <c r="O169" s="165" t="s">
        <v>162</v>
      </c>
      <c r="P169" s="165" t="s">
        <v>162</v>
      </c>
      <c r="Q169" s="165" t="s">
        <v>162</v>
      </c>
      <c r="R169" s="167"/>
      <c r="S169" s="165" t="s">
        <v>162</v>
      </c>
      <c r="T169" s="165" t="s">
        <v>162</v>
      </c>
      <c r="U169" s="158" t="s">
        <v>162</v>
      </c>
      <c r="V169" s="168"/>
      <c r="W169" s="158" t="s">
        <v>966</v>
      </c>
      <c r="X169" s="158" t="s">
        <v>185</v>
      </c>
      <c r="Y169" s="158"/>
      <c r="Z169" s="158" t="s">
        <v>185</v>
      </c>
      <c r="AA169" s="158" t="str">
        <f>IF(AWS_2[[#This Row],[Column14]]="-","", "v")</f>
        <v/>
      </c>
      <c r="AB169" s="158" t="str">
        <f>IF(AWS_2[[#This Row],[Column8]]="x","1",(IF(OR(AWS_2[[#This Row],[Column25]]=2,AWS_2[[#This Row],[Column26]]=2,AWS_2[[#This Row],[Column27]]=2),"1",(IF(AWS_2[[#This Row],[Column9]]="x","2",(IF(AWS_2[[#This Row],[Column10]]="x","3","")))))))</f>
        <v>3</v>
      </c>
      <c r="AC169" s="454" t="str">
        <f>IF(AWS_2[[#This Row],[Column14]] = "-", AWS_2[[#This Row],[Column14]], LEFT(AWS_2[[#This Row],[Column14]], SEARCH(" ", AWS_2[[#This Row],[Column14]] &amp; " ") - 1))</f>
        <v>-</v>
      </c>
    </row>
    <row r="170" spans="1:29" ht="45">
      <c r="A17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0" s="137" t="str">
        <f>AWS_2[[#This Row],[Column30]]</f>
        <v>-</v>
      </c>
      <c r="C170" s="137">
        <v>13.8</v>
      </c>
      <c r="D170" s="138" t="s">
        <v>390</v>
      </c>
      <c r="E170" s="162" t="s">
        <v>156</v>
      </c>
      <c r="F170" s="489" t="s">
        <v>2196</v>
      </c>
      <c r="G170" s="138" t="s">
        <v>772</v>
      </c>
      <c r="H170" s="137"/>
      <c r="I170" s="137"/>
      <c r="J170" s="200" t="s">
        <v>185</v>
      </c>
      <c r="K170" s="158" t="s">
        <v>185</v>
      </c>
      <c r="L170" s="158"/>
      <c r="M170" s="158"/>
      <c r="N170" s="165" t="s">
        <v>162</v>
      </c>
      <c r="O170" s="165" t="s">
        <v>162</v>
      </c>
      <c r="P170" s="165" t="s">
        <v>162</v>
      </c>
      <c r="Q170" s="165" t="s">
        <v>162</v>
      </c>
      <c r="R170" s="167"/>
      <c r="S170" s="165" t="s">
        <v>162</v>
      </c>
      <c r="T170" s="165" t="s">
        <v>162</v>
      </c>
      <c r="U170" s="158" t="s">
        <v>162</v>
      </c>
      <c r="V170" s="168"/>
      <c r="W170" s="158" t="s">
        <v>966</v>
      </c>
      <c r="X170" s="158" t="s">
        <v>185</v>
      </c>
      <c r="Y170" s="158"/>
      <c r="Z170" s="158" t="s">
        <v>185</v>
      </c>
      <c r="AA170" s="158" t="str">
        <f>IF(AWS_2[[#This Row],[Column14]]="-","", "v")</f>
        <v/>
      </c>
      <c r="AB170" s="158" t="str">
        <f>IF(AWS_2[[#This Row],[Column8]]="x","1",(IF(OR(AWS_2[[#This Row],[Column25]]=2,AWS_2[[#This Row],[Column26]]=2,AWS_2[[#This Row],[Column27]]=2),"1",(IF(AWS_2[[#This Row],[Column9]]="x","2",(IF(AWS_2[[#This Row],[Column10]]="x","3","")))))))</f>
        <v>3</v>
      </c>
      <c r="AC170" s="454" t="str">
        <f>IF(AWS_2[[#This Row],[Column14]] = "-", AWS_2[[#This Row],[Column14]], LEFT(AWS_2[[#This Row],[Column14]], SEARCH(" ", AWS_2[[#This Row],[Column14]] &amp; " ") - 1))</f>
        <v>-</v>
      </c>
    </row>
    <row r="171" spans="1:29" ht="45">
      <c r="A17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1" s="137" t="str">
        <f>AWS_2[[#This Row],[Column30]]</f>
        <v>-</v>
      </c>
      <c r="C171" s="137">
        <v>13.9</v>
      </c>
      <c r="D171" s="138" t="s">
        <v>352</v>
      </c>
      <c r="E171" s="162" t="s">
        <v>156</v>
      </c>
      <c r="F171" s="489" t="s">
        <v>2197</v>
      </c>
      <c r="G171" s="138" t="s">
        <v>774</v>
      </c>
      <c r="H171" s="137"/>
      <c r="I171" s="137"/>
      <c r="J171" s="200" t="s">
        <v>185</v>
      </c>
      <c r="K171" s="176" t="s">
        <v>185</v>
      </c>
      <c r="L171" s="158"/>
      <c r="M171" s="158"/>
      <c r="N171" s="165" t="s">
        <v>162</v>
      </c>
      <c r="O171" s="165" t="s">
        <v>162</v>
      </c>
      <c r="P171" s="165" t="s">
        <v>162</v>
      </c>
      <c r="Q171" s="165" t="s">
        <v>162</v>
      </c>
      <c r="R171" s="167"/>
      <c r="S171" s="165" t="s">
        <v>162</v>
      </c>
      <c r="T171" s="165" t="s">
        <v>162</v>
      </c>
      <c r="U171" s="158" t="s">
        <v>162</v>
      </c>
      <c r="V171" s="168"/>
      <c r="W171" s="158" t="s">
        <v>966</v>
      </c>
      <c r="X171" s="158" t="s">
        <v>185</v>
      </c>
      <c r="Y171" s="158"/>
      <c r="Z171" s="158" t="s">
        <v>185</v>
      </c>
      <c r="AA171" s="158" t="str">
        <f>IF(AWS_2[[#This Row],[Column14]]="-","", "v")</f>
        <v/>
      </c>
      <c r="AB171" s="158" t="str">
        <f>IF(AWS_2[[#This Row],[Column8]]="x","1",(IF(OR(AWS_2[[#This Row],[Column25]]=2,AWS_2[[#This Row],[Column26]]=2,AWS_2[[#This Row],[Column27]]=2),"1",(IF(AWS_2[[#This Row],[Column9]]="x","2",(IF(AWS_2[[#This Row],[Column10]]="x","3","")))))))</f>
        <v>3</v>
      </c>
      <c r="AC171" s="454" t="str">
        <f>IF(AWS_2[[#This Row],[Column14]] = "-", AWS_2[[#This Row],[Column14]], LEFT(AWS_2[[#This Row],[Column14]], SEARCH(" ", AWS_2[[#This Row],[Column14]] &amp; " ") - 1))</f>
        <v>-</v>
      </c>
    </row>
    <row r="172" spans="1:29" ht="30">
      <c r="A17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2" s="137" t="str">
        <f>AWS_2[[#This Row],[Column30]]</f>
        <v>-</v>
      </c>
      <c r="C172" s="142">
        <v>13.1</v>
      </c>
      <c r="D172" s="138" t="s">
        <v>390</v>
      </c>
      <c r="E172" s="162" t="s">
        <v>156</v>
      </c>
      <c r="F172" s="489" t="s">
        <v>2198</v>
      </c>
      <c r="G172" s="138" t="s">
        <v>776</v>
      </c>
      <c r="H172" s="137"/>
      <c r="I172" s="137"/>
      <c r="J172" s="200" t="s">
        <v>185</v>
      </c>
      <c r="K172" s="176" t="s">
        <v>185</v>
      </c>
      <c r="L172" s="176"/>
      <c r="M172" s="176"/>
      <c r="N172" s="165" t="s">
        <v>162</v>
      </c>
      <c r="O172" s="165" t="s">
        <v>162</v>
      </c>
      <c r="P172" s="165" t="s">
        <v>162</v>
      </c>
      <c r="Q172" s="165" t="s">
        <v>162</v>
      </c>
      <c r="R172" s="167"/>
      <c r="S172" s="165" t="s">
        <v>162</v>
      </c>
      <c r="T172" s="165" t="s">
        <v>162</v>
      </c>
      <c r="U172" s="158" t="s">
        <v>162</v>
      </c>
      <c r="V172" s="168"/>
      <c r="W172" s="158" t="s">
        <v>966</v>
      </c>
      <c r="X172" s="158" t="s">
        <v>185</v>
      </c>
      <c r="Y172" s="158"/>
      <c r="Z172" s="158" t="s">
        <v>185</v>
      </c>
      <c r="AA172" s="158" t="str">
        <f>IF(AWS_2[[#This Row],[Column14]]="-","", "v")</f>
        <v/>
      </c>
      <c r="AB172" s="158" t="str">
        <f>IF(AWS_2[[#This Row],[Column8]]="x","1",(IF(OR(AWS_2[[#This Row],[Column25]]=2,AWS_2[[#This Row],[Column26]]=2,AWS_2[[#This Row],[Column27]]=2),"1",(IF(AWS_2[[#This Row],[Column9]]="x","2",(IF(AWS_2[[#This Row],[Column10]]="x","3","")))))))</f>
        <v>3</v>
      </c>
      <c r="AC172" s="454" t="str">
        <f>IF(AWS_2[[#This Row],[Column14]] = "-", AWS_2[[#This Row],[Column14]], LEFT(AWS_2[[#This Row],[Column14]], SEARCH(" ", AWS_2[[#This Row],[Column14]] &amp; " ") - 1))</f>
        <v>-</v>
      </c>
    </row>
    <row r="173" spans="1:29" ht="15.75">
      <c r="A17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3" s="137" t="str">
        <f>AWS_2[[#This Row],[Column30]]</f>
        <v>-</v>
      </c>
      <c r="C173" s="137">
        <v>13.11</v>
      </c>
      <c r="D173" s="138" t="s">
        <v>390</v>
      </c>
      <c r="E173" s="162" t="s">
        <v>155</v>
      </c>
      <c r="F173" s="489" t="s">
        <v>2199</v>
      </c>
      <c r="G173" s="138" t="s">
        <v>778</v>
      </c>
      <c r="H173" s="137"/>
      <c r="I173" s="137"/>
      <c r="J173" s="200" t="s">
        <v>185</v>
      </c>
      <c r="K173" s="176" t="s">
        <v>185</v>
      </c>
      <c r="L173" s="176" t="s">
        <v>185</v>
      </c>
      <c r="M173" s="176" t="s">
        <v>185</v>
      </c>
      <c r="N173" s="165" t="s">
        <v>162</v>
      </c>
      <c r="O173" s="165" t="s">
        <v>162</v>
      </c>
      <c r="P173" s="165" t="s">
        <v>162</v>
      </c>
      <c r="Q173" s="165" t="s">
        <v>162</v>
      </c>
      <c r="R173" s="167"/>
      <c r="S173" s="165" t="s">
        <v>162</v>
      </c>
      <c r="T173" s="165" t="s">
        <v>162</v>
      </c>
      <c r="U173" s="158" t="s">
        <v>162</v>
      </c>
      <c r="V173" s="168"/>
      <c r="W173" s="158" t="s">
        <v>966</v>
      </c>
      <c r="X173" s="158" t="s">
        <v>185</v>
      </c>
      <c r="Y173" s="158"/>
      <c r="Z173" s="158" t="s">
        <v>185</v>
      </c>
      <c r="AA173" s="158" t="str">
        <f>IF(AWS_2[[#This Row],[Column14]]="-","", "v")</f>
        <v/>
      </c>
      <c r="AB173" s="158" t="str">
        <f>IF(AWS_2[[#This Row],[Column8]]="x","1",(IF(OR(AWS_2[[#This Row],[Column25]]=2,AWS_2[[#This Row],[Column26]]=2,AWS_2[[#This Row],[Column27]]=2),"1",(IF(AWS_2[[#This Row],[Column9]]="x","2",(IF(AWS_2[[#This Row],[Column10]]="x","3","")))))))</f>
        <v>3</v>
      </c>
      <c r="AC173" s="454" t="str">
        <f>IF(AWS_2[[#This Row],[Column14]] = "-", AWS_2[[#This Row],[Column14]], LEFT(AWS_2[[#This Row],[Column14]], SEARCH(" ", AWS_2[[#This Row],[Column14]] &amp; " ") - 1))</f>
        <v>-</v>
      </c>
    </row>
    <row r="174" spans="1:29" ht="45">
      <c r="A174" s="178" t="s">
        <v>942</v>
      </c>
      <c r="B174" s="154" t="s">
        <v>162</v>
      </c>
      <c r="C174" s="154" t="s">
        <v>162</v>
      </c>
      <c r="D174" s="154" t="s">
        <v>162</v>
      </c>
      <c r="E174" s="154" t="s">
        <v>162</v>
      </c>
      <c r="F174" s="488" t="s">
        <v>2200</v>
      </c>
      <c r="G174" s="157" t="s">
        <v>780</v>
      </c>
      <c r="H174" s="178"/>
      <c r="I174" s="178"/>
      <c r="J174" s="178"/>
      <c r="K174" s="161"/>
      <c r="L174" s="161"/>
      <c r="M174" s="161"/>
      <c r="N174" s="154" t="s">
        <v>162</v>
      </c>
      <c r="O174" s="154" t="s">
        <v>162</v>
      </c>
      <c r="P174" s="154" t="s">
        <v>162</v>
      </c>
      <c r="Q174" s="154" t="s">
        <v>162</v>
      </c>
      <c r="R174" s="167"/>
      <c r="S174" s="154" t="s">
        <v>162</v>
      </c>
      <c r="T174" s="154" t="s">
        <v>162</v>
      </c>
      <c r="U174" s="245" t="s">
        <v>162</v>
      </c>
      <c r="V174" s="245" t="s">
        <v>162</v>
      </c>
      <c r="W174" s="245" t="s">
        <v>162</v>
      </c>
      <c r="X174" s="245" t="s">
        <v>162</v>
      </c>
      <c r="Y174" s="245" t="s">
        <v>162</v>
      </c>
      <c r="Z174" s="245" t="s">
        <v>162</v>
      </c>
      <c r="AA174" s="154" t="s">
        <v>162</v>
      </c>
      <c r="AB174" s="154" t="s">
        <v>162</v>
      </c>
      <c r="AC174" s="454" t="str">
        <f>IF(AWS_2[[#This Row],[Column14]] = "-", AWS_2[[#This Row],[Column14]], LEFT(AWS_2[[#This Row],[Column14]], SEARCH(" ", AWS_2[[#This Row],[Column14]] &amp; " ") - 1))</f>
        <v>-</v>
      </c>
    </row>
    <row r="175" spans="1:29" ht="75">
      <c r="A17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5" s="137" t="str">
        <f>AWS_2[[#This Row],[Column30]]</f>
        <v>-</v>
      </c>
      <c r="C175" s="137">
        <v>14.1</v>
      </c>
      <c r="D175" s="138" t="s">
        <v>781</v>
      </c>
      <c r="E175" s="162" t="s">
        <v>156</v>
      </c>
      <c r="F175" s="489" t="s">
        <v>2201</v>
      </c>
      <c r="G175" s="138" t="s">
        <v>783</v>
      </c>
      <c r="H175" s="163" t="s">
        <v>185</v>
      </c>
      <c r="I175" s="164" t="s">
        <v>185</v>
      </c>
      <c r="J175" s="200" t="s">
        <v>185</v>
      </c>
      <c r="K175" s="176" t="s">
        <v>185</v>
      </c>
      <c r="L175" s="176" t="s">
        <v>185</v>
      </c>
      <c r="M175" s="176" t="s">
        <v>185</v>
      </c>
      <c r="N175" s="165" t="s">
        <v>162</v>
      </c>
      <c r="O175" s="165" t="s">
        <v>162</v>
      </c>
      <c r="P175" s="165" t="s">
        <v>162</v>
      </c>
      <c r="Q175" s="165" t="s">
        <v>162</v>
      </c>
      <c r="R175" s="167"/>
      <c r="S175" s="165" t="s">
        <v>162</v>
      </c>
      <c r="T175" s="165" t="s">
        <v>162</v>
      </c>
      <c r="U175" s="158" t="s">
        <v>162</v>
      </c>
      <c r="V175" s="168"/>
      <c r="W175" s="158" t="s">
        <v>966</v>
      </c>
      <c r="X175" s="158" t="s">
        <v>185</v>
      </c>
      <c r="Y175" s="158" t="s">
        <v>185</v>
      </c>
      <c r="Z175" s="158" t="s">
        <v>185</v>
      </c>
      <c r="AA175" s="158" t="str">
        <f>IF(AWS_2[[#This Row],[Column14]]="-","", "v")</f>
        <v/>
      </c>
      <c r="AB175" s="158" t="str">
        <f>IF(AWS_2[[#This Row],[Column8]]="x","1",(IF(OR(AWS_2[[#This Row],[Column25]]=2,AWS_2[[#This Row],[Column26]]=2,AWS_2[[#This Row],[Column27]]=2),"1",(IF(AWS_2[[#This Row],[Column9]]="x","2",(IF(AWS_2[[#This Row],[Column10]]="x","3","")))))))</f>
        <v>1</v>
      </c>
      <c r="AC175" s="454" t="str">
        <f>IF(AWS_2[[#This Row],[Column14]] = "-", AWS_2[[#This Row],[Column14]], LEFT(AWS_2[[#This Row],[Column14]], SEARCH(" ", AWS_2[[#This Row],[Column14]] &amp; " ") - 1))</f>
        <v>-</v>
      </c>
    </row>
    <row r="176" spans="1:29" ht="30">
      <c r="A17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6" s="137" t="str">
        <f>AWS_2[[#This Row],[Column30]]</f>
        <v>-</v>
      </c>
      <c r="C176" s="137">
        <v>14.2</v>
      </c>
      <c r="D176" s="138" t="s">
        <v>781</v>
      </c>
      <c r="E176" s="162" t="s">
        <v>156</v>
      </c>
      <c r="F176" s="489" t="s">
        <v>2202</v>
      </c>
      <c r="G176" s="138" t="s">
        <v>785</v>
      </c>
      <c r="H176" s="163" t="s">
        <v>185</v>
      </c>
      <c r="I176" s="164" t="s">
        <v>185</v>
      </c>
      <c r="J176" s="200" t="s">
        <v>185</v>
      </c>
      <c r="K176" s="176" t="s">
        <v>185</v>
      </c>
      <c r="L176" s="176" t="s">
        <v>185</v>
      </c>
      <c r="M176" s="176" t="s">
        <v>185</v>
      </c>
      <c r="N176" s="165" t="s">
        <v>162</v>
      </c>
      <c r="O176" s="165" t="s">
        <v>162</v>
      </c>
      <c r="P176" s="165" t="s">
        <v>162</v>
      </c>
      <c r="Q176" s="165" t="s">
        <v>162</v>
      </c>
      <c r="R176" s="167"/>
      <c r="S176" s="165" t="s">
        <v>162</v>
      </c>
      <c r="T176" s="165" t="s">
        <v>162</v>
      </c>
      <c r="U176" s="158" t="s">
        <v>162</v>
      </c>
      <c r="V176" s="168"/>
      <c r="W176" s="158" t="s">
        <v>966</v>
      </c>
      <c r="X176" s="158" t="s">
        <v>185</v>
      </c>
      <c r="Y176" s="158" t="s">
        <v>185</v>
      </c>
      <c r="Z176" s="158" t="s">
        <v>185</v>
      </c>
      <c r="AA176" s="158" t="str">
        <f>IF(AWS_2[[#This Row],[Column14]]="-","", "v")</f>
        <v/>
      </c>
      <c r="AB176" s="158" t="str">
        <f>IF(AWS_2[[#This Row],[Column8]]="x","1",(IF(OR(AWS_2[[#This Row],[Column25]]=2,AWS_2[[#This Row],[Column26]]=2,AWS_2[[#This Row],[Column27]]=2),"1",(IF(AWS_2[[#This Row],[Column9]]="x","2",(IF(AWS_2[[#This Row],[Column10]]="x","3","")))))))</f>
        <v>1</v>
      </c>
      <c r="AC176" s="454" t="str">
        <f>IF(AWS_2[[#This Row],[Column14]] = "-", AWS_2[[#This Row],[Column14]], LEFT(AWS_2[[#This Row],[Column14]], SEARCH(" ", AWS_2[[#This Row],[Column14]] &amp; " ") - 1))</f>
        <v>-</v>
      </c>
    </row>
    <row r="177" spans="1:29" ht="30">
      <c r="A17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7" s="137" t="str">
        <f>AWS_2[[#This Row],[Column30]]</f>
        <v>-</v>
      </c>
      <c r="C177" s="137">
        <v>14.3</v>
      </c>
      <c r="D177" s="138" t="s">
        <v>781</v>
      </c>
      <c r="E177" s="162" t="s">
        <v>156</v>
      </c>
      <c r="F177" s="489" t="s">
        <v>2203</v>
      </c>
      <c r="G177" s="138" t="s">
        <v>787</v>
      </c>
      <c r="H177" s="163" t="s">
        <v>185</v>
      </c>
      <c r="I177" s="164" t="s">
        <v>185</v>
      </c>
      <c r="J177" s="200" t="s">
        <v>185</v>
      </c>
      <c r="K177" s="176" t="s">
        <v>185</v>
      </c>
      <c r="L177" s="176" t="s">
        <v>185</v>
      </c>
      <c r="M177" s="176" t="s">
        <v>185</v>
      </c>
      <c r="N177" s="165" t="s">
        <v>162</v>
      </c>
      <c r="O177" s="165" t="s">
        <v>162</v>
      </c>
      <c r="P177" s="165" t="s">
        <v>162</v>
      </c>
      <c r="Q177" s="165" t="s">
        <v>162</v>
      </c>
      <c r="R177" s="167"/>
      <c r="S177" s="165" t="s">
        <v>162</v>
      </c>
      <c r="T177" s="165" t="s">
        <v>162</v>
      </c>
      <c r="U177" s="158" t="s">
        <v>162</v>
      </c>
      <c r="V177" s="168"/>
      <c r="W177" s="158" t="s">
        <v>966</v>
      </c>
      <c r="X177" s="158" t="s">
        <v>185</v>
      </c>
      <c r="Y177" s="158" t="s">
        <v>185</v>
      </c>
      <c r="Z177" s="158" t="s">
        <v>185</v>
      </c>
      <c r="AA177" s="158" t="str">
        <f>IF(AWS_2[[#This Row],[Column14]]="-","", "v")</f>
        <v/>
      </c>
      <c r="AB177" s="158" t="str">
        <f>IF(AWS_2[[#This Row],[Column8]]="x","1",(IF(OR(AWS_2[[#This Row],[Column25]]=2,AWS_2[[#This Row],[Column26]]=2,AWS_2[[#This Row],[Column27]]=2),"1",(IF(AWS_2[[#This Row],[Column9]]="x","2",(IF(AWS_2[[#This Row],[Column10]]="x","3","")))))))</f>
        <v>1</v>
      </c>
      <c r="AC177" s="454" t="str">
        <f>IF(AWS_2[[#This Row],[Column14]] = "-", AWS_2[[#This Row],[Column14]], LEFT(AWS_2[[#This Row],[Column14]], SEARCH(" ", AWS_2[[#This Row],[Column14]] &amp; " ") - 1))</f>
        <v>-</v>
      </c>
    </row>
    <row r="178" spans="1:29" ht="75">
      <c r="A17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8" s="137" t="str">
        <f>AWS_2[[#This Row],[Column30]]</f>
        <v>-</v>
      </c>
      <c r="C178" s="137">
        <v>14.4</v>
      </c>
      <c r="D178" s="138" t="s">
        <v>781</v>
      </c>
      <c r="E178" s="162" t="s">
        <v>156</v>
      </c>
      <c r="F178" s="489" t="s">
        <v>2204</v>
      </c>
      <c r="G178" s="138" t="s">
        <v>789</v>
      </c>
      <c r="H178" s="163" t="s">
        <v>185</v>
      </c>
      <c r="I178" s="164" t="s">
        <v>185</v>
      </c>
      <c r="J178" s="200" t="s">
        <v>185</v>
      </c>
      <c r="K178" s="176" t="s">
        <v>185</v>
      </c>
      <c r="L178" s="176" t="s">
        <v>185</v>
      </c>
      <c r="M178" s="176" t="s">
        <v>185</v>
      </c>
      <c r="N178" s="165" t="s">
        <v>162</v>
      </c>
      <c r="O178" s="165" t="s">
        <v>162</v>
      </c>
      <c r="P178" s="165" t="s">
        <v>162</v>
      </c>
      <c r="Q178" s="165" t="s">
        <v>162</v>
      </c>
      <c r="R178" s="167"/>
      <c r="S178" s="165" t="s">
        <v>162</v>
      </c>
      <c r="T178" s="165" t="s">
        <v>162</v>
      </c>
      <c r="U178" s="158" t="s">
        <v>162</v>
      </c>
      <c r="V178" s="168"/>
      <c r="W178" s="158" t="s">
        <v>966</v>
      </c>
      <c r="X178" s="158" t="s">
        <v>185</v>
      </c>
      <c r="Y178" s="158" t="s">
        <v>185</v>
      </c>
      <c r="Z178" s="158" t="s">
        <v>185</v>
      </c>
      <c r="AA178" s="158" t="str">
        <f>IF(AWS_2[[#This Row],[Column14]]="-","", "v")</f>
        <v/>
      </c>
      <c r="AB178" s="158" t="str">
        <f>IF(AWS_2[[#This Row],[Column8]]="x","1",(IF(OR(AWS_2[[#This Row],[Column25]]=2,AWS_2[[#This Row],[Column26]]=2,AWS_2[[#This Row],[Column27]]=2),"1",(IF(AWS_2[[#This Row],[Column9]]="x","2",(IF(AWS_2[[#This Row],[Column10]]="x","3","")))))))</f>
        <v>1</v>
      </c>
      <c r="AC178" s="454" t="str">
        <f>IF(AWS_2[[#This Row],[Column14]] = "-", AWS_2[[#This Row],[Column14]], LEFT(AWS_2[[#This Row],[Column14]], SEARCH(" ", AWS_2[[#This Row],[Column14]] &amp; " ") - 1))</f>
        <v>-</v>
      </c>
    </row>
    <row r="179" spans="1:29" ht="45">
      <c r="A17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NOT(ISBLANK(K179)),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NOT(ISBLANK(L179)),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NOT(ISBLANK(M179)),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79" s="137" t="str">
        <f>AWS_2[[#This Row],[Column30]]</f>
        <v>-</v>
      </c>
      <c r="C179" s="137">
        <v>14.5</v>
      </c>
      <c r="D179" s="138" t="s">
        <v>781</v>
      </c>
      <c r="E179" s="162" t="s">
        <v>156</v>
      </c>
      <c r="F179" s="489" t="s">
        <v>2205</v>
      </c>
      <c r="G179" s="139" t="s">
        <v>791</v>
      </c>
      <c r="H179" s="163" t="s">
        <v>185</v>
      </c>
      <c r="I179" s="164" t="s">
        <v>185</v>
      </c>
      <c r="J179" s="200" t="s">
        <v>185</v>
      </c>
      <c r="K179" s="176" t="s">
        <v>185</v>
      </c>
      <c r="L179" s="176" t="s">
        <v>185</v>
      </c>
      <c r="M179" s="176" t="s">
        <v>185</v>
      </c>
      <c r="N179" s="165" t="s">
        <v>162</v>
      </c>
      <c r="O179" s="165" t="s">
        <v>162</v>
      </c>
      <c r="P179" s="165" t="s">
        <v>162</v>
      </c>
      <c r="Q179" s="165" t="s">
        <v>162</v>
      </c>
      <c r="R179" s="167"/>
      <c r="S179" s="165" t="s">
        <v>162</v>
      </c>
      <c r="T179" s="165" t="s">
        <v>162</v>
      </c>
      <c r="U179" s="158" t="s">
        <v>162</v>
      </c>
      <c r="V179" s="168"/>
      <c r="W179" s="158" t="s">
        <v>966</v>
      </c>
      <c r="X179" s="158" t="s">
        <v>185</v>
      </c>
      <c r="Y179" s="158" t="s">
        <v>185</v>
      </c>
      <c r="Z179" s="158" t="s">
        <v>185</v>
      </c>
      <c r="AA179" s="158" t="str">
        <f>IF(AWS_2[[#This Row],[Column14]]="-","", "v")</f>
        <v/>
      </c>
      <c r="AB179" s="158" t="str">
        <f>IF(AWS_2[[#This Row],[Column8]]="x","1",(IF(OR(AWS_2[[#This Row],[Column25]]=2,AWS_2[[#This Row],[Column26]]=2,AWS_2[[#This Row],[Column27]]=2),"1",(IF(AWS_2[[#This Row],[Column9]]="x","2",(IF(AWS_2[[#This Row],[Column10]]="x","3","")))))))</f>
        <v>1</v>
      </c>
      <c r="AC179" s="454" t="str">
        <f>IF(AWS_2[[#This Row],[Column14]] = "-", AWS_2[[#This Row],[Column14]], LEFT(AWS_2[[#This Row],[Column14]], SEARCH(" ", AWS_2[[#This Row],[Column14]] &amp; " ") - 1))</f>
        <v>-</v>
      </c>
    </row>
    <row r="180" spans="1:29" ht="30">
      <c r="A18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0" s="137" t="str">
        <f>AWS_2[[#This Row],[Column30]]</f>
        <v>-</v>
      </c>
      <c r="C180" s="137">
        <v>14.6</v>
      </c>
      <c r="D180" s="138" t="s">
        <v>781</v>
      </c>
      <c r="E180" s="162" t="s">
        <v>156</v>
      </c>
      <c r="F180" s="489" t="s">
        <v>2206</v>
      </c>
      <c r="G180" s="138" t="s">
        <v>793</v>
      </c>
      <c r="H180" s="163" t="s">
        <v>185</v>
      </c>
      <c r="I180" s="164" t="s">
        <v>185</v>
      </c>
      <c r="J180" s="200" t="s">
        <v>185</v>
      </c>
      <c r="K180" s="176" t="s">
        <v>185</v>
      </c>
      <c r="L180" s="176" t="s">
        <v>185</v>
      </c>
      <c r="M180" s="176" t="s">
        <v>185</v>
      </c>
      <c r="N180" s="165" t="s">
        <v>162</v>
      </c>
      <c r="O180" s="165" t="s">
        <v>162</v>
      </c>
      <c r="P180" s="165" t="s">
        <v>162</v>
      </c>
      <c r="Q180" s="165" t="s">
        <v>162</v>
      </c>
      <c r="R180" s="167"/>
      <c r="S180" s="165" t="s">
        <v>162</v>
      </c>
      <c r="T180" s="165" t="s">
        <v>162</v>
      </c>
      <c r="U180" s="158" t="s">
        <v>162</v>
      </c>
      <c r="V180" s="168"/>
      <c r="W180" s="158" t="s">
        <v>966</v>
      </c>
      <c r="X180" s="158" t="s">
        <v>185</v>
      </c>
      <c r="Y180" s="158" t="s">
        <v>185</v>
      </c>
      <c r="Z180" s="158" t="s">
        <v>185</v>
      </c>
      <c r="AA180" s="158" t="str">
        <f>IF(AWS_2[[#This Row],[Column14]]="-","", "v")</f>
        <v/>
      </c>
      <c r="AB180" s="158" t="str">
        <f>IF(AWS_2[[#This Row],[Column8]]="x","1",(IF(OR(AWS_2[[#This Row],[Column25]]=2,AWS_2[[#This Row],[Column26]]=2,AWS_2[[#This Row],[Column27]]=2),"1",(IF(AWS_2[[#This Row],[Column9]]="x","2",(IF(AWS_2[[#This Row],[Column10]]="x","3","")))))))</f>
        <v>1</v>
      </c>
      <c r="AC180" s="454" t="str">
        <f>IF(AWS_2[[#This Row],[Column14]] = "-", AWS_2[[#This Row],[Column14]], LEFT(AWS_2[[#This Row],[Column14]], SEARCH(" ", AWS_2[[#This Row],[Column14]] &amp; " ") - 1))</f>
        <v>-</v>
      </c>
    </row>
    <row r="181" spans="1:29" ht="60">
      <c r="A18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1" s="137" t="str">
        <f>AWS_2[[#This Row],[Column30]]</f>
        <v>-</v>
      </c>
      <c r="C181" s="137">
        <v>14.7</v>
      </c>
      <c r="D181" s="138" t="s">
        <v>781</v>
      </c>
      <c r="E181" s="162" t="s">
        <v>156</v>
      </c>
      <c r="F181" s="489" t="s">
        <v>2207</v>
      </c>
      <c r="G181" s="138" t="s">
        <v>795</v>
      </c>
      <c r="H181" s="163" t="s">
        <v>185</v>
      </c>
      <c r="I181" s="164" t="s">
        <v>185</v>
      </c>
      <c r="J181" s="200" t="s">
        <v>185</v>
      </c>
      <c r="K181" s="176" t="s">
        <v>185</v>
      </c>
      <c r="L181" s="176" t="s">
        <v>185</v>
      </c>
      <c r="M181" s="176" t="s">
        <v>185</v>
      </c>
      <c r="N181" s="165" t="s">
        <v>162</v>
      </c>
      <c r="O181" s="165" t="s">
        <v>162</v>
      </c>
      <c r="P181" s="165" t="s">
        <v>162</v>
      </c>
      <c r="Q181" s="165" t="s">
        <v>162</v>
      </c>
      <c r="R181" s="167"/>
      <c r="S181" s="165" t="s">
        <v>162</v>
      </c>
      <c r="T181" s="165" t="s">
        <v>162</v>
      </c>
      <c r="U181" s="158" t="s">
        <v>162</v>
      </c>
      <c r="V181" s="168"/>
      <c r="W181" s="158" t="s">
        <v>966</v>
      </c>
      <c r="X181" s="158" t="s">
        <v>185</v>
      </c>
      <c r="Y181" s="158" t="s">
        <v>185</v>
      </c>
      <c r="Z181" s="158" t="s">
        <v>185</v>
      </c>
      <c r="AA181" s="158" t="str">
        <f>IF(AWS_2[[#This Row],[Column14]]="-","", "v")</f>
        <v/>
      </c>
      <c r="AB181" s="158" t="str">
        <f>IF(AWS_2[[#This Row],[Column8]]="x","1",(IF(OR(AWS_2[[#This Row],[Column25]]=2,AWS_2[[#This Row],[Column26]]=2,AWS_2[[#This Row],[Column27]]=2),"1",(IF(AWS_2[[#This Row],[Column9]]="x","2",(IF(AWS_2[[#This Row],[Column10]]="x","3","")))))))</f>
        <v>1</v>
      </c>
      <c r="AC181" s="454" t="str">
        <f>IF(AWS_2[[#This Row],[Column14]] = "-", AWS_2[[#This Row],[Column14]], LEFT(AWS_2[[#This Row],[Column14]], SEARCH(" ", AWS_2[[#This Row],[Column14]] &amp; " ") - 1))</f>
        <v>-</v>
      </c>
    </row>
    <row r="182" spans="1:29" ht="60">
      <c r="A18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2" s="137" t="str">
        <f>AWS_2[[#This Row],[Column30]]</f>
        <v>-</v>
      </c>
      <c r="C182" s="137">
        <v>14.8</v>
      </c>
      <c r="D182" s="138" t="s">
        <v>781</v>
      </c>
      <c r="E182" s="162" t="s">
        <v>156</v>
      </c>
      <c r="F182" s="489" t="s">
        <v>2208</v>
      </c>
      <c r="G182" s="138" t="s">
        <v>797</v>
      </c>
      <c r="H182" s="163" t="s">
        <v>185</v>
      </c>
      <c r="I182" s="164" t="s">
        <v>185</v>
      </c>
      <c r="J182" s="200" t="s">
        <v>185</v>
      </c>
      <c r="K182" s="176" t="s">
        <v>185</v>
      </c>
      <c r="L182" s="176" t="s">
        <v>185</v>
      </c>
      <c r="M182" s="176" t="s">
        <v>185</v>
      </c>
      <c r="N182" s="165" t="s">
        <v>162</v>
      </c>
      <c r="O182" s="165" t="s">
        <v>162</v>
      </c>
      <c r="P182" s="165" t="s">
        <v>162</v>
      </c>
      <c r="Q182" s="165" t="s">
        <v>162</v>
      </c>
      <c r="R182" s="167"/>
      <c r="S182" s="165" t="s">
        <v>162</v>
      </c>
      <c r="T182" s="165" t="s">
        <v>162</v>
      </c>
      <c r="U182" s="158" t="s">
        <v>162</v>
      </c>
      <c r="V182" s="168"/>
      <c r="W182" s="158" t="s">
        <v>966</v>
      </c>
      <c r="X182" s="158" t="s">
        <v>185</v>
      </c>
      <c r="Y182" s="158" t="s">
        <v>185</v>
      </c>
      <c r="Z182" s="158" t="s">
        <v>185</v>
      </c>
      <c r="AA182" s="158" t="str">
        <f>IF(AWS_2[[#This Row],[Column14]]="-","", "v")</f>
        <v/>
      </c>
      <c r="AB182" s="158" t="str">
        <f>IF(AWS_2[[#This Row],[Column8]]="x","1",(IF(OR(AWS_2[[#This Row],[Column25]]=2,AWS_2[[#This Row],[Column26]]=2,AWS_2[[#This Row],[Column27]]=2),"1",(IF(AWS_2[[#This Row],[Column9]]="x","2",(IF(AWS_2[[#This Row],[Column10]]="x","3","")))))))</f>
        <v>1</v>
      </c>
      <c r="AC182" s="454" t="str">
        <f>IF(AWS_2[[#This Row],[Column14]] = "-", AWS_2[[#This Row],[Column14]], LEFT(AWS_2[[#This Row],[Column14]], SEARCH(" ", AWS_2[[#This Row],[Column14]] &amp; " ") - 1))</f>
        <v>-</v>
      </c>
    </row>
    <row r="183" spans="1:29" ht="75">
      <c r="A18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3" s="137" t="str">
        <f>AWS_2[[#This Row],[Column30]]</f>
        <v>-</v>
      </c>
      <c r="C183" s="137">
        <v>14.9</v>
      </c>
      <c r="D183" s="138" t="s">
        <v>781</v>
      </c>
      <c r="E183" s="162" t="s">
        <v>156</v>
      </c>
      <c r="F183" s="489" t="s">
        <v>2209</v>
      </c>
      <c r="G183" s="139" t="s">
        <v>799</v>
      </c>
      <c r="H183" s="204"/>
      <c r="I183" s="164" t="s">
        <v>185</v>
      </c>
      <c r="J183" s="200" t="s">
        <v>185</v>
      </c>
      <c r="K183" s="176" t="s">
        <v>185</v>
      </c>
      <c r="L183" s="176" t="s">
        <v>185</v>
      </c>
      <c r="M183" s="176" t="s">
        <v>185</v>
      </c>
      <c r="N183" s="165" t="s">
        <v>162</v>
      </c>
      <c r="O183" s="165" t="s">
        <v>162</v>
      </c>
      <c r="P183" s="165" t="s">
        <v>162</v>
      </c>
      <c r="Q183" s="165" t="s">
        <v>162</v>
      </c>
      <c r="R183" s="167"/>
      <c r="S183" s="165" t="s">
        <v>162</v>
      </c>
      <c r="T183" s="165" t="s">
        <v>162</v>
      </c>
      <c r="U183" s="158" t="s">
        <v>162</v>
      </c>
      <c r="V183" s="168"/>
      <c r="W183" s="158" t="s">
        <v>966</v>
      </c>
      <c r="X183" s="158" t="s">
        <v>185</v>
      </c>
      <c r="Y183" s="158" t="s">
        <v>185</v>
      </c>
      <c r="Z183" s="158" t="s">
        <v>185</v>
      </c>
      <c r="AA183" s="158" t="str">
        <f>IF(AWS_2[[#This Row],[Column14]]="-","", "v")</f>
        <v/>
      </c>
      <c r="AB183" s="158" t="str">
        <f>IF(AWS_2[[#This Row],[Column8]]="x","1",(IF(OR(AWS_2[[#This Row],[Column25]]=2,AWS_2[[#This Row],[Column26]]=2,AWS_2[[#This Row],[Column27]]=2),"1",(IF(AWS_2[[#This Row],[Column9]]="x","2",(IF(AWS_2[[#This Row],[Column10]]="x","3","")))))))</f>
        <v>2</v>
      </c>
      <c r="AC183" s="454" t="str">
        <f>IF(AWS_2[[#This Row],[Column14]] = "-", AWS_2[[#This Row],[Column14]], LEFT(AWS_2[[#This Row],[Column14]], SEARCH(" ", AWS_2[[#This Row],[Column14]] &amp; " ") - 1))</f>
        <v>-</v>
      </c>
    </row>
    <row r="184" spans="1:29" ht="60">
      <c r="A184" s="178" t="s">
        <v>942</v>
      </c>
      <c r="B184" s="154" t="s">
        <v>162</v>
      </c>
      <c r="C184" s="154" t="s">
        <v>162</v>
      </c>
      <c r="D184" s="154" t="s">
        <v>162</v>
      </c>
      <c r="E184" s="154" t="s">
        <v>162</v>
      </c>
      <c r="F184" s="488" t="s">
        <v>2210</v>
      </c>
      <c r="G184" s="157" t="s">
        <v>801</v>
      </c>
      <c r="H184" s="178"/>
      <c r="I184" s="178"/>
      <c r="J184" s="178"/>
      <c r="K184" s="161"/>
      <c r="L184" s="161"/>
      <c r="M184" s="161"/>
      <c r="N184" s="154" t="s">
        <v>162</v>
      </c>
      <c r="O184" s="154" t="s">
        <v>162</v>
      </c>
      <c r="P184" s="154" t="s">
        <v>162</v>
      </c>
      <c r="Q184" s="154" t="s">
        <v>162</v>
      </c>
      <c r="R184" s="167"/>
      <c r="S184" s="154" t="s">
        <v>162</v>
      </c>
      <c r="T184" s="154" t="s">
        <v>162</v>
      </c>
      <c r="U184" s="245" t="s">
        <v>162</v>
      </c>
      <c r="V184" s="245" t="s">
        <v>162</v>
      </c>
      <c r="W184" s="245" t="s">
        <v>162</v>
      </c>
      <c r="X184" s="245" t="s">
        <v>162</v>
      </c>
      <c r="Y184" s="245" t="s">
        <v>162</v>
      </c>
      <c r="Z184" s="245" t="s">
        <v>162</v>
      </c>
      <c r="AA184" s="154" t="s">
        <v>162</v>
      </c>
      <c r="AB184" s="154" t="s">
        <v>162</v>
      </c>
      <c r="AC184" s="454" t="str">
        <f>IF(AWS_2[[#This Row],[Column14]] = "-", AWS_2[[#This Row],[Column14]], LEFT(AWS_2[[#This Row],[Column14]], SEARCH(" ", AWS_2[[#This Row],[Column14]] &amp; " ") - 1))</f>
        <v>-</v>
      </c>
    </row>
    <row r="185" spans="1:29" ht="60">
      <c r="A18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5" s="137" t="str">
        <f>AWS_2[[#This Row],[Column30]]</f>
        <v>-</v>
      </c>
      <c r="C185" s="137">
        <v>15.1</v>
      </c>
      <c r="D185" s="138" t="s">
        <v>781</v>
      </c>
      <c r="E185" s="162" t="s">
        <v>154</v>
      </c>
      <c r="F185" s="489" t="s">
        <v>2211</v>
      </c>
      <c r="G185" s="139" t="s">
        <v>803</v>
      </c>
      <c r="H185" s="163" t="s">
        <v>185</v>
      </c>
      <c r="I185" s="164" t="s">
        <v>185</v>
      </c>
      <c r="J185" s="200" t="s">
        <v>185</v>
      </c>
      <c r="K185" s="176" t="s">
        <v>185</v>
      </c>
      <c r="L185" s="176" t="s">
        <v>185</v>
      </c>
      <c r="M185" s="176" t="s">
        <v>185</v>
      </c>
      <c r="N185" s="165" t="s">
        <v>162</v>
      </c>
      <c r="O185" s="165" t="s">
        <v>162</v>
      </c>
      <c r="P185" s="165" t="s">
        <v>162</v>
      </c>
      <c r="Q185" s="165" t="s">
        <v>162</v>
      </c>
      <c r="R185" s="167"/>
      <c r="S185" s="165" t="s">
        <v>162</v>
      </c>
      <c r="T185" s="165" t="s">
        <v>162</v>
      </c>
      <c r="U185" s="158" t="s">
        <v>162</v>
      </c>
      <c r="V185" s="168"/>
      <c r="W185" s="158" t="s">
        <v>966</v>
      </c>
      <c r="X185" s="158" t="s">
        <v>185</v>
      </c>
      <c r="Y185" s="158"/>
      <c r="Z185" s="158" t="s">
        <v>185</v>
      </c>
      <c r="AA185" s="158" t="str">
        <f>IF(AWS_2[[#This Row],[Column14]]="-","", "v")</f>
        <v/>
      </c>
      <c r="AB185" s="158" t="str">
        <f>IF(AWS_2[[#This Row],[Column8]]="x","1",(IF(OR(AWS_2[[#This Row],[Column25]]=2,AWS_2[[#This Row],[Column26]]=2,AWS_2[[#This Row],[Column27]]=2),"1",(IF(AWS_2[[#This Row],[Column9]]="x","2",(IF(AWS_2[[#This Row],[Column10]]="x","3","")))))))</f>
        <v>1</v>
      </c>
      <c r="AC185" s="454" t="str">
        <f>IF(AWS_2[[#This Row],[Column14]] = "-", AWS_2[[#This Row],[Column14]], LEFT(AWS_2[[#This Row],[Column14]], SEARCH(" ", AWS_2[[#This Row],[Column14]] &amp; " ") - 1))</f>
        <v>-</v>
      </c>
    </row>
    <row r="186" spans="1:29" ht="60">
      <c r="A18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6" s="137" t="str">
        <f>AWS_2[[#This Row],[Column30]]</f>
        <v>-</v>
      </c>
      <c r="C186" s="137">
        <v>15.2</v>
      </c>
      <c r="D186" s="138" t="s">
        <v>781</v>
      </c>
      <c r="E186" s="162" t="s">
        <v>154</v>
      </c>
      <c r="F186" s="489" t="s">
        <v>2212</v>
      </c>
      <c r="G186" s="138" t="s">
        <v>805</v>
      </c>
      <c r="H186" s="204"/>
      <c r="I186" s="164" t="s">
        <v>185</v>
      </c>
      <c r="J186" s="200" t="s">
        <v>185</v>
      </c>
      <c r="K186" s="176" t="s">
        <v>185</v>
      </c>
      <c r="L186" s="176" t="s">
        <v>185</v>
      </c>
      <c r="M186" s="176" t="s">
        <v>185</v>
      </c>
      <c r="N186" s="165" t="s">
        <v>162</v>
      </c>
      <c r="O186" s="165" t="s">
        <v>162</v>
      </c>
      <c r="P186" s="165" t="s">
        <v>162</v>
      </c>
      <c r="Q186" s="165" t="s">
        <v>162</v>
      </c>
      <c r="R186" s="167"/>
      <c r="S186" s="165" t="s">
        <v>162</v>
      </c>
      <c r="T186" s="165" t="s">
        <v>162</v>
      </c>
      <c r="U186" s="158" t="s">
        <v>162</v>
      </c>
      <c r="V186" s="168"/>
      <c r="W186" s="158" t="s">
        <v>966</v>
      </c>
      <c r="X186" s="158" t="s">
        <v>185</v>
      </c>
      <c r="Y186" s="158"/>
      <c r="Z186" s="158" t="s">
        <v>185</v>
      </c>
      <c r="AA186" s="158" t="str">
        <f>IF(AWS_2[[#This Row],[Column14]]="-","", "v")</f>
        <v/>
      </c>
      <c r="AB186" s="158" t="str">
        <f>IF(AWS_2[[#This Row],[Column8]]="x","1",(IF(OR(AWS_2[[#This Row],[Column25]]=2,AWS_2[[#This Row],[Column26]]=2,AWS_2[[#This Row],[Column27]]=2),"1",(IF(AWS_2[[#This Row],[Column9]]="x","2",(IF(AWS_2[[#This Row],[Column10]]="x","3","")))))))</f>
        <v>2</v>
      </c>
      <c r="AC186" s="454" t="str">
        <f>IF(AWS_2[[#This Row],[Column14]] = "-", AWS_2[[#This Row],[Column14]], LEFT(AWS_2[[#This Row],[Column14]], SEARCH(" ", AWS_2[[#This Row],[Column14]] &amp; " ") - 1))</f>
        <v>-</v>
      </c>
    </row>
    <row r="187" spans="1:29" ht="75">
      <c r="A18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7" s="137" t="str">
        <f>AWS_2[[#This Row],[Column30]]</f>
        <v>-</v>
      </c>
      <c r="C187" s="137">
        <v>15.3</v>
      </c>
      <c r="D187" s="138" t="s">
        <v>781</v>
      </c>
      <c r="E187" s="162" t="s">
        <v>154</v>
      </c>
      <c r="F187" s="489" t="s">
        <v>2213</v>
      </c>
      <c r="G187" s="138" t="s">
        <v>807</v>
      </c>
      <c r="H187" s="204"/>
      <c r="I187" s="164" t="s">
        <v>185</v>
      </c>
      <c r="J187" s="200" t="s">
        <v>185</v>
      </c>
      <c r="K187" s="176" t="s">
        <v>185</v>
      </c>
      <c r="L187" s="176" t="s">
        <v>185</v>
      </c>
      <c r="M187" s="176" t="s">
        <v>185</v>
      </c>
      <c r="N187" s="165" t="s">
        <v>162</v>
      </c>
      <c r="O187" s="165" t="s">
        <v>162</v>
      </c>
      <c r="P187" s="165" t="s">
        <v>162</v>
      </c>
      <c r="Q187" s="165" t="s">
        <v>162</v>
      </c>
      <c r="R187" s="167"/>
      <c r="S187" s="165" t="s">
        <v>162</v>
      </c>
      <c r="T187" s="165" t="s">
        <v>162</v>
      </c>
      <c r="U187" s="158" t="s">
        <v>162</v>
      </c>
      <c r="V187" s="168"/>
      <c r="W187" s="158" t="s">
        <v>966</v>
      </c>
      <c r="X187" s="158" t="s">
        <v>185</v>
      </c>
      <c r="Y187" s="158"/>
      <c r="Z187" s="158" t="s">
        <v>185</v>
      </c>
      <c r="AA187" s="158" t="str">
        <f>IF(AWS_2[[#This Row],[Column14]]="-","", "v")</f>
        <v/>
      </c>
      <c r="AB187" s="158" t="str">
        <f>IF(AWS_2[[#This Row],[Column8]]="x","1",(IF(OR(AWS_2[[#This Row],[Column25]]=2,AWS_2[[#This Row],[Column26]]=2,AWS_2[[#This Row],[Column27]]=2),"1",(IF(AWS_2[[#This Row],[Column9]]="x","2",(IF(AWS_2[[#This Row],[Column10]]="x","3","")))))))</f>
        <v>2</v>
      </c>
      <c r="AC187" s="454" t="str">
        <f>IF(AWS_2[[#This Row],[Column14]] = "-", AWS_2[[#This Row],[Column14]], LEFT(AWS_2[[#This Row],[Column14]], SEARCH(" ", AWS_2[[#This Row],[Column14]] &amp; " ") - 1))</f>
        <v>-</v>
      </c>
    </row>
    <row r="188" spans="1:29" ht="105">
      <c r="A18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8" s="137" t="str">
        <f>AWS_2[[#This Row],[Column30]]</f>
        <v>-</v>
      </c>
      <c r="C188" s="137">
        <v>15.4</v>
      </c>
      <c r="D188" s="138" t="s">
        <v>781</v>
      </c>
      <c r="E188" s="162" t="s">
        <v>156</v>
      </c>
      <c r="F188" s="489" t="s">
        <v>2214</v>
      </c>
      <c r="G188" s="139" t="s">
        <v>809</v>
      </c>
      <c r="H188" s="204"/>
      <c r="I188" s="164" t="s">
        <v>185</v>
      </c>
      <c r="J188" s="200" t="s">
        <v>185</v>
      </c>
      <c r="K188" s="176" t="s">
        <v>185</v>
      </c>
      <c r="L188" s="176" t="s">
        <v>185</v>
      </c>
      <c r="M188" s="176" t="s">
        <v>185</v>
      </c>
      <c r="N188" s="165" t="s">
        <v>162</v>
      </c>
      <c r="O188" s="165" t="s">
        <v>162</v>
      </c>
      <c r="P188" s="165" t="s">
        <v>162</v>
      </c>
      <c r="Q188" s="165" t="s">
        <v>162</v>
      </c>
      <c r="R188" s="167"/>
      <c r="S188" s="165" t="s">
        <v>162</v>
      </c>
      <c r="T188" s="165" t="s">
        <v>162</v>
      </c>
      <c r="U188" s="158" t="s">
        <v>162</v>
      </c>
      <c r="V188" s="168"/>
      <c r="W188" s="158" t="s">
        <v>966</v>
      </c>
      <c r="X188" s="158" t="s">
        <v>185</v>
      </c>
      <c r="Y188" s="158"/>
      <c r="Z188" s="158" t="s">
        <v>185</v>
      </c>
      <c r="AA188" s="158" t="str">
        <f>IF(AWS_2[[#This Row],[Column14]]="-","", "v")</f>
        <v/>
      </c>
      <c r="AB188" s="158" t="str">
        <f>IF(AWS_2[[#This Row],[Column8]]="x","1",(IF(OR(AWS_2[[#This Row],[Column25]]=2,AWS_2[[#This Row],[Column26]]=2,AWS_2[[#This Row],[Column27]]=2),"1",(IF(AWS_2[[#This Row],[Column9]]="x","2",(IF(AWS_2[[#This Row],[Column10]]="x","3","")))))))</f>
        <v>2</v>
      </c>
      <c r="AC188" s="454" t="str">
        <f>IF(AWS_2[[#This Row],[Column14]] = "-", AWS_2[[#This Row],[Column14]], LEFT(AWS_2[[#This Row],[Column14]], SEARCH(" ", AWS_2[[#This Row],[Column14]] &amp; " ") - 1))</f>
        <v>-</v>
      </c>
    </row>
    <row r="189" spans="1:29" ht="105">
      <c r="A18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NOT(ISBLANK(K189)),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NOT(ISBLANK(L189)),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NOT(ISBLANK(M189)),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89" s="137" t="str">
        <f>AWS_2[[#This Row],[Column30]]</f>
        <v>-</v>
      </c>
      <c r="C189" s="137">
        <v>15.5</v>
      </c>
      <c r="D189" s="138" t="s">
        <v>781</v>
      </c>
      <c r="E189" s="162" t="s">
        <v>154</v>
      </c>
      <c r="F189" s="489" t="s">
        <v>2215</v>
      </c>
      <c r="G189" s="139" t="s">
        <v>811</v>
      </c>
      <c r="H189" s="204"/>
      <c r="I189" s="204"/>
      <c r="J189" s="200" t="s">
        <v>185</v>
      </c>
      <c r="K189" s="176" t="s">
        <v>185</v>
      </c>
      <c r="L189" s="176" t="s">
        <v>185</v>
      </c>
      <c r="M189" s="176" t="s">
        <v>185</v>
      </c>
      <c r="N189" s="165" t="s">
        <v>162</v>
      </c>
      <c r="O189" s="165" t="s">
        <v>162</v>
      </c>
      <c r="P189" s="165" t="s">
        <v>162</v>
      </c>
      <c r="Q189" s="165" t="s">
        <v>162</v>
      </c>
      <c r="R189" s="167"/>
      <c r="S189" s="165" t="s">
        <v>162</v>
      </c>
      <c r="T189" s="165" t="s">
        <v>162</v>
      </c>
      <c r="U189" s="158" t="s">
        <v>162</v>
      </c>
      <c r="V189" s="168"/>
      <c r="W189" s="158" t="s">
        <v>966</v>
      </c>
      <c r="X189" s="158" t="s">
        <v>185</v>
      </c>
      <c r="Y189" s="158"/>
      <c r="Z189" s="158" t="s">
        <v>185</v>
      </c>
      <c r="AA189" s="158" t="str">
        <f>IF(AWS_2[[#This Row],[Column14]]="-","", "v")</f>
        <v/>
      </c>
      <c r="AB189" s="158" t="str">
        <f>IF(AWS_2[[#This Row],[Column8]]="x","1",(IF(OR(AWS_2[[#This Row],[Column25]]=2,AWS_2[[#This Row],[Column26]]=2,AWS_2[[#This Row],[Column27]]=2),"1",(IF(AWS_2[[#This Row],[Column9]]="x","2",(IF(AWS_2[[#This Row],[Column10]]="x","3","")))))))</f>
        <v>3</v>
      </c>
      <c r="AC189" s="454" t="str">
        <f>IF(AWS_2[[#This Row],[Column14]] = "-", AWS_2[[#This Row],[Column14]], LEFT(AWS_2[[#This Row],[Column14]], SEARCH(" ", AWS_2[[#This Row],[Column14]] &amp; " ") - 1))</f>
        <v>-</v>
      </c>
    </row>
    <row r="190" spans="1:29" ht="60">
      <c r="A19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0" s="137" t="str">
        <f>AWS_2[[#This Row],[Column30]]</f>
        <v>-</v>
      </c>
      <c r="C190" s="137">
        <v>15.6</v>
      </c>
      <c r="D190" s="138" t="s">
        <v>182</v>
      </c>
      <c r="E190" s="162" t="s">
        <v>155</v>
      </c>
      <c r="F190" s="489" t="s">
        <v>2216</v>
      </c>
      <c r="G190" s="139" t="s">
        <v>347</v>
      </c>
      <c r="H190" s="204"/>
      <c r="I190" s="204"/>
      <c r="J190" s="200" t="s">
        <v>185</v>
      </c>
      <c r="K190" s="176" t="s">
        <v>185</v>
      </c>
      <c r="L190" s="176" t="s">
        <v>185</v>
      </c>
      <c r="M190" s="176" t="s">
        <v>185</v>
      </c>
      <c r="N190" s="165" t="s">
        <v>162</v>
      </c>
      <c r="O190" s="165" t="s">
        <v>162</v>
      </c>
      <c r="P190" s="165" t="s">
        <v>162</v>
      </c>
      <c r="Q190" s="165" t="s">
        <v>162</v>
      </c>
      <c r="R190" s="167"/>
      <c r="S190" s="165" t="s">
        <v>162</v>
      </c>
      <c r="T190" s="165" t="s">
        <v>162</v>
      </c>
      <c r="U190" s="158" t="s">
        <v>162</v>
      </c>
      <c r="V190" s="168"/>
      <c r="W190" s="158" t="s">
        <v>966</v>
      </c>
      <c r="X190" s="158" t="s">
        <v>185</v>
      </c>
      <c r="Y190" s="158"/>
      <c r="Z190" s="158" t="s">
        <v>185</v>
      </c>
      <c r="AA190" s="158" t="str">
        <f>IF(AWS_2[[#This Row],[Column14]]="-","", "v")</f>
        <v/>
      </c>
      <c r="AB190" s="158" t="str">
        <f>IF(AWS_2[[#This Row],[Column8]]="x","1",(IF(OR(AWS_2[[#This Row],[Column25]]=2,AWS_2[[#This Row],[Column26]]=2,AWS_2[[#This Row],[Column27]]=2),"1",(IF(AWS_2[[#This Row],[Column9]]="x","2",(IF(AWS_2[[#This Row],[Column10]]="x","3","")))))))</f>
        <v>3</v>
      </c>
      <c r="AC190" s="454" t="str">
        <f>IF(AWS_2[[#This Row],[Column14]] = "-", AWS_2[[#This Row],[Column14]], LEFT(AWS_2[[#This Row],[Column14]], SEARCH(" ", AWS_2[[#This Row],[Column14]] &amp; " ") - 1))</f>
        <v>-</v>
      </c>
    </row>
    <row r="191" spans="1:29" ht="45">
      <c r="A19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1" s="137" t="str">
        <f>AWS_2[[#This Row],[Column30]]</f>
        <v>-</v>
      </c>
      <c r="C191" s="137">
        <v>15.7</v>
      </c>
      <c r="D191" s="138" t="s">
        <v>182</v>
      </c>
      <c r="E191" s="162" t="s">
        <v>156</v>
      </c>
      <c r="F191" s="489" t="s">
        <v>2217</v>
      </c>
      <c r="G191" s="139" t="s">
        <v>349</v>
      </c>
      <c r="H191" s="204"/>
      <c r="I191" s="204"/>
      <c r="J191" s="200" t="s">
        <v>185</v>
      </c>
      <c r="K191" s="176" t="s">
        <v>185</v>
      </c>
      <c r="L191" s="176" t="s">
        <v>185</v>
      </c>
      <c r="M191" s="176" t="s">
        <v>185</v>
      </c>
      <c r="N191" s="165" t="s">
        <v>162</v>
      </c>
      <c r="O191" s="165" t="s">
        <v>162</v>
      </c>
      <c r="P191" s="165" t="s">
        <v>162</v>
      </c>
      <c r="Q191" s="165" t="s">
        <v>162</v>
      </c>
      <c r="R191" s="167"/>
      <c r="S191" s="165" t="s">
        <v>162</v>
      </c>
      <c r="T191" s="165" t="s">
        <v>162</v>
      </c>
      <c r="U191" s="158" t="s">
        <v>162</v>
      </c>
      <c r="V191" s="168"/>
      <c r="W191" s="158" t="s">
        <v>966</v>
      </c>
      <c r="X191" s="158" t="s">
        <v>185</v>
      </c>
      <c r="Y191" s="158"/>
      <c r="Z191" s="158" t="s">
        <v>185</v>
      </c>
      <c r="AA191" s="158" t="str">
        <f>IF(AWS_2[[#This Row],[Column14]]="-","", "v")</f>
        <v/>
      </c>
      <c r="AB191" s="158" t="str">
        <f>IF(AWS_2[[#This Row],[Column8]]="x","1",(IF(OR(AWS_2[[#This Row],[Column25]]=2,AWS_2[[#This Row],[Column26]]=2,AWS_2[[#This Row],[Column27]]=2),"1",(IF(AWS_2[[#This Row],[Column9]]="x","2",(IF(AWS_2[[#This Row],[Column10]]="x","3","")))))))</f>
        <v>3</v>
      </c>
      <c r="AC191" s="454" t="str">
        <f>IF(AWS_2[[#This Row],[Column14]] = "-", AWS_2[[#This Row],[Column14]], LEFT(AWS_2[[#This Row],[Column14]], SEARCH(" ", AWS_2[[#This Row],[Column14]] &amp; " ") - 1))</f>
        <v>-</v>
      </c>
    </row>
    <row r="192" spans="1:29" ht="45">
      <c r="A192" s="178" t="s">
        <v>942</v>
      </c>
      <c r="B192" s="154" t="s">
        <v>162</v>
      </c>
      <c r="C192" s="154" t="s">
        <v>162</v>
      </c>
      <c r="D192" s="154" t="s">
        <v>162</v>
      </c>
      <c r="E192" s="154" t="s">
        <v>162</v>
      </c>
      <c r="F192" s="488" t="s">
        <v>2218</v>
      </c>
      <c r="G192" s="157" t="s">
        <v>813</v>
      </c>
      <c r="H192" s="154"/>
      <c r="I192" s="154"/>
      <c r="J192" s="154"/>
      <c r="K192" s="161"/>
      <c r="L192" s="161"/>
      <c r="M192" s="161"/>
      <c r="N192" s="154" t="s">
        <v>162</v>
      </c>
      <c r="O192" s="154" t="s">
        <v>162</v>
      </c>
      <c r="P192" s="154" t="s">
        <v>162</v>
      </c>
      <c r="Q192" s="154" t="s">
        <v>162</v>
      </c>
      <c r="R192" s="167"/>
      <c r="S192" s="154" t="s">
        <v>162</v>
      </c>
      <c r="T192" s="154" t="s">
        <v>162</v>
      </c>
      <c r="U192" s="245" t="s">
        <v>162</v>
      </c>
      <c r="V192" s="245" t="s">
        <v>162</v>
      </c>
      <c r="W192" s="245" t="s">
        <v>162</v>
      </c>
      <c r="X192" s="245" t="s">
        <v>162</v>
      </c>
      <c r="Y192" s="245" t="s">
        <v>162</v>
      </c>
      <c r="Z192" s="245" t="s">
        <v>162</v>
      </c>
      <c r="AA192" s="154" t="s">
        <v>162</v>
      </c>
      <c r="AB192" s="154" t="s">
        <v>162</v>
      </c>
      <c r="AC192" s="454" t="str">
        <f>IF(AWS_2[[#This Row],[Column14]] = "-", AWS_2[[#This Row],[Column14]], LEFT(AWS_2[[#This Row],[Column14]], SEARCH(" ", AWS_2[[#This Row],[Column14]] &amp; " ") - 1))</f>
        <v>-</v>
      </c>
    </row>
    <row r="193" spans="1:29" ht="90">
      <c r="A19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3" s="137" t="str">
        <f>AWS_2[[#This Row],[Column30]]</f>
        <v>-</v>
      </c>
      <c r="C193" s="137">
        <v>16.100000000000001</v>
      </c>
      <c r="D193" s="138" t="s">
        <v>371</v>
      </c>
      <c r="E193" s="162" t="s">
        <v>156</v>
      </c>
      <c r="F193" s="489" t="s">
        <v>2219</v>
      </c>
      <c r="G193" s="139" t="s">
        <v>815</v>
      </c>
      <c r="H193" s="204"/>
      <c r="I193" s="164" t="s">
        <v>185</v>
      </c>
      <c r="J193" s="200" t="s">
        <v>185</v>
      </c>
      <c r="K193" s="176" t="s">
        <v>185</v>
      </c>
      <c r="L193" s="176" t="s">
        <v>185</v>
      </c>
      <c r="M193" s="176" t="s">
        <v>185</v>
      </c>
      <c r="N193" s="165" t="s">
        <v>162</v>
      </c>
      <c r="O193" s="165" t="s">
        <v>162</v>
      </c>
      <c r="P193" s="165" t="s">
        <v>162</v>
      </c>
      <c r="Q193" s="165" t="s">
        <v>162</v>
      </c>
      <c r="R193" s="167"/>
      <c r="S193" s="165" t="s">
        <v>162</v>
      </c>
      <c r="T193" s="165" t="s">
        <v>162</v>
      </c>
      <c r="U193" s="158" t="s">
        <v>162</v>
      </c>
      <c r="V193" s="168"/>
      <c r="W193" s="158" t="s">
        <v>966</v>
      </c>
      <c r="X193" s="158" t="s">
        <v>185</v>
      </c>
      <c r="Y193" s="158" t="s">
        <v>185</v>
      </c>
      <c r="Z193" s="158"/>
      <c r="AA193" s="158" t="str">
        <f>IF(AWS_2[[#This Row],[Column14]]="-","", "v")</f>
        <v/>
      </c>
      <c r="AB193" s="158" t="str">
        <f>IF(AWS_2[[#This Row],[Column8]]="x","1",(IF(OR(AWS_2[[#This Row],[Column25]]=2,AWS_2[[#This Row],[Column26]]=2,AWS_2[[#This Row],[Column27]]=2),"1",(IF(AWS_2[[#This Row],[Column9]]="x","2",(IF(AWS_2[[#This Row],[Column10]]="x","3","")))))))</f>
        <v>2</v>
      </c>
      <c r="AC193" s="454" t="str">
        <f>IF(AWS_2[[#This Row],[Column14]] = "-", AWS_2[[#This Row],[Column14]], LEFT(AWS_2[[#This Row],[Column14]], SEARCH(" ", AWS_2[[#This Row],[Column14]] &amp; " ") - 1))</f>
        <v>-</v>
      </c>
    </row>
    <row r="194" spans="1:29" ht="180">
      <c r="A19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4" s="137" t="str">
        <f>AWS_2[[#This Row],[Column30]]</f>
        <v>-</v>
      </c>
      <c r="C194" s="137">
        <v>16.2</v>
      </c>
      <c r="D194" s="138" t="s">
        <v>371</v>
      </c>
      <c r="E194" s="162" t="s">
        <v>156</v>
      </c>
      <c r="F194" s="489" t="s">
        <v>2220</v>
      </c>
      <c r="G194" s="139" t="s">
        <v>817</v>
      </c>
      <c r="H194" s="204"/>
      <c r="I194" s="164" t="s">
        <v>185</v>
      </c>
      <c r="J194" s="200" t="s">
        <v>185</v>
      </c>
      <c r="K194" s="176" t="s">
        <v>185</v>
      </c>
      <c r="L194" s="176" t="s">
        <v>185</v>
      </c>
      <c r="M194" s="176" t="s">
        <v>185</v>
      </c>
      <c r="N194" s="165" t="s">
        <v>162</v>
      </c>
      <c r="O194" s="165" t="s">
        <v>162</v>
      </c>
      <c r="P194" s="165" t="s">
        <v>162</v>
      </c>
      <c r="Q194" s="165" t="s">
        <v>162</v>
      </c>
      <c r="R194" s="167"/>
      <c r="S194" s="165" t="s">
        <v>162</v>
      </c>
      <c r="T194" s="165" t="s">
        <v>162</v>
      </c>
      <c r="U194" s="158" t="s">
        <v>162</v>
      </c>
      <c r="V194" s="168"/>
      <c r="W194" s="158" t="s">
        <v>966</v>
      </c>
      <c r="X194" s="158" t="s">
        <v>185</v>
      </c>
      <c r="Y194" s="158" t="s">
        <v>185</v>
      </c>
      <c r="Z194" s="158"/>
      <c r="AA194" s="158" t="str">
        <f>IF(AWS_2[[#This Row],[Column14]]="-","", "v")</f>
        <v/>
      </c>
      <c r="AB194" s="158" t="str">
        <f>IF(AWS_2[[#This Row],[Column8]]="x","1",(IF(OR(AWS_2[[#This Row],[Column25]]=2,AWS_2[[#This Row],[Column26]]=2,AWS_2[[#This Row],[Column27]]=2),"1",(IF(AWS_2[[#This Row],[Column9]]="x","2",(IF(AWS_2[[#This Row],[Column10]]="x","3","")))))))</f>
        <v>2</v>
      </c>
      <c r="AC194" s="454" t="str">
        <f>IF(AWS_2[[#This Row],[Column14]] = "-", AWS_2[[#This Row],[Column14]], LEFT(AWS_2[[#This Row],[Column14]], SEARCH(" ", AWS_2[[#This Row],[Column14]] &amp; " ") - 1))</f>
        <v>-</v>
      </c>
    </row>
    <row r="195" spans="1:29" ht="60">
      <c r="A19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5" s="137" t="str">
        <f>AWS_2[[#This Row],[Column30]]</f>
        <v>-</v>
      </c>
      <c r="C195" s="137">
        <v>16.3</v>
      </c>
      <c r="D195" s="138" t="s">
        <v>371</v>
      </c>
      <c r="E195" s="162" t="s">
        <v>156</v>
      </c>
      <c r="F195" s="489" t="s">
        <v>2221</v>
      </c>
      <c r="G195" s="139" t="s">
        <v>819</v>
      </c>
      <c r="H195" s="204"/>
      <c r="I195" s="164" t="s">
        <v>185</v>
      </c>
      <c r="J195" s="200" t="s">
        <v>185</v>
      </c>
      <c r="K195" s="176" t="s">
        <v>185</v>
      </c>
      <c r="L195" s="176" t="s">
        <v>185</v>
      </c>
      <c r="M195" s="176" t="s">
        <v>185</v>
      </c>
      <c r="N195" s="165" t="s">
        <v>162</v>
      </c>
      <c r="O195" s="165" t="s">
        <v>162</v>
      </c>
      <c r="P195" s="165" t="s">
        <v>162</v>
      </c>
      <c r="Q195" s="165" t="s">
        <v>162</v>
      </c>
      <c r="R195" s="167"/>
      <c r="S195" s="165" t="s">
        <v>162</v>
      </c>
      <c r="T195" s="165" t="s">
        <v>162</v>
      </c>
      <c r="U195" s="158" t="s">
        <v>162</v>
      </c>
      <c r="V195" s="168"/>
      <c r="W195" s="158" t="s">
        <v>966</v>
      </c>
      <c r="X195" s="158" t="s">
        <v>185</v>
      </c>
      <c r="Y195" s="158" t="s">
        <v>185</v>
      </c>
      <c r="Z195" s="158"/>
      <c r="AA195" s="158" t="str">
        <f>IF(AWS_2[[#This Row],[Column14]]="-","", "v")</f>
        <v/>
      </c>
      <c r="AB195" s="158" t="str">
        <f>IF(AWS_2[[#This Row],[Column8]]="x","1",(IF(OR(AWS_2[[#This Row],[Column25]]=2,AWS_2[[#This Row],[Column26]]=2,AWS_2[[#This Row],[Column27]]=2),"1",(IF(AWS_2[[#This Row],[Column9]]="x","2",(IF(AWS_2[[#This Row],[Column10]]="x","3","")))))))</f>
        <v>2</v>
      </c>
      <c r="AC195" s="454" t="str">
        <f>IF(AWS_2[[#This Row],[Column14]] = "-", AWS_2[[#This Row],[Column14]], LEFT(AWS_2[[#This Row],[Column14]], SEARCH(" ", AWS_2[[#This Row],[Column14]] &amp; " ") - 1))</f>
        <v>-</v>
      </c>
    </row>
    <row r="196" spans="1:29" ht="90">
      <c r="A19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6" s="137" t="str">
        <f>AWS_2[[#This Row],[Column30]]</f>
        <v>-</v>
      </c>
      <c r="C196" s="137">
        <v>16.399999999999999</v>
      </c>
      <c r="D196" s="138" t="s">
        <v>371</v>
      </c>
      <c r="E196" s="162" t="s">
        <v>156</v>
      </c>
      <c r="F196" s="489" t="s">
        <v>2222</v>
      </c>
      <c r="G196" s="139" t="s">
        <v>821</v>
      </c>
      <c r="H196" s="204"/>
      <c r="I196" s="164" t="s">
        <v>185</v>
      </c>
      <c r="J196" s="200" t="s">
        <v>185</v>
      </c>
      <c r="K196" s="176" t="s">
        <v>185</v>
      </c>
      <c r="L196" s="176" t="s">
        <v>185</v>
      </c>
      <c r="M196" s="176" t="s">
        <v>185</v>
      </c>
      <c r="N196" s="165" t="s">
        <v>162</v>
      </c>
      <c r="O196" s="165" t="s">
        <v>162</v>
      </c>
      <c r="P196" s="165" t="s">
        <v>162</v>
      </c>
      <c r="Q196" s="165" t="s">
        <v>162</v>
      </c>
      <c r="R196" s="167"/>
      <c r="S196" s="165" t="s">
        <v>162</v>
      </c>
      <c r="T196" s="165" t="s">
        <v>162</v>
      </c>
      <c r="U196" s="158" t="s">
        <v>162</v>
      </c>
      <c r="V196" s="168"/>
      <c r="W196" s="158" t="s">
        <v>966</v>
      </c>
      <c r="X196" s="158" t="s">
        <v>185</v>
      </c>
      <c r="Y196" s="158" t="s">
        <v>185</v>
      </c>
      <c r="Z196" s="158"/>
      <c r="AA196" s="158" t="str">
        <f>IF(AWS_2[[#This Row],[Column14]]="-","", "v")</f>
        <v/>
      </c>
      <c r="AB196" s="158" t="str">
        <f>IF(AWS_2[[#This Row],[Column8]]="x","1",(IF(OR(AWS_2[[#This Row],[Column25]]=2,AWS_2[[#This Row],[Column26]]=2,AWS_2[[#This Row],[Column27]]=2),"1",(IF(AWS_2[[#This Row],[Column9]]="x","2",(IF(AWS_2[[#This Row],[Column10]]="x","3","")))))))</f>
        <v>2</v>
      </c>
      <c r="AC196" s="454" t="str">
        <f>IF(AWS_2[[#This Row],[Column14]] = "-", AWS_2[[#This Row],[Column14]], LEFT(AWS_2[[#This Row],[Column14]], SEARCH(" ", AWS_2[[#This Row],[Column14]] &amp; " ") - 1))</f>
        <v>-</v>
      </c>
    </row>
    <row r="197" spans="1:29" ht="60">
      <c r="A19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7" s="137" t="str">
        <f>AWS_2[[#This Row],[Column30]]</f>
        <v>-</v>
      </c>
      <c r="C197" s="137">
        <v>16.5</v>
      </c>
      <c r="D197" s="138" t="s">
        <v>371</v>
      </c>
      <c r="E197" s="162" t="s">
        <v>156</v>
      </c>
      <c r="F197" s="489" t="s">
        <v>2223</v>
      </c>
      <c r="G197" s="138" t="s">
        <v>823</v>
      </c>
      <c r="H197" s="204"/>
      <c r="I197" s="164" t="s">
        <v>185</v>
      </c>
      <c r="J197" s="200" t="s">
        <v>185</v>
      </c>
      <c r="K197" s="176" t="s">
        <v>185</v>
      </c>
      <c r="L197" s="176" t="s">
        <v>185</v>
      </c>
      <c r="M197" s="176" t="s">
        <v>185</v>
      </c>
      <c r="N197" s="165" t="s">
        <v>162</v>
      </c>
      <c r="O197" s="165" t="s">
        <v>162</v>
      </c>
      <c r="P197" s="165" t="s">
        <v>162</v>
      </c>
      <c r="Q197" s="165" t="s">
        <v>162</v>
      </c>
      <c r="R197" s="167"/>
      <c r="S197" s="165" t="s">
        <v>162</v>
      </c>
      <c r="T197" s="165" t="s">
        <v>162</v>
      </c>
      <c r="U197" s="158" t="s">
        <v>162</v>
      </c>
      <c r="V197" s="168"/>
      <c r="W197" s="158" t="s">
        <v>966</v>
      </c>
      <c r="X197" s="158" t="s">
        <v>185</v>
      </c>
      <c r="Y197" s="158" t="s">
        <v>185</v>
      </c>
      <c r="Z197" s="158"/>
      <c r="AA197" s="158" t="str">
        <f>IF(AWS_2[[#This Row],[Column14]]="-","", "v")</f>
        <v/>
      </c>
      <c r="AB197" s="158" t="str">
        <f>IF(AWS_2[[#This Row],[Column8]]="x","1",(IF(OR(AWS_2[[#This Row],[Column25]]=2,AWS_2[[#This Row],[Column26]]=2,AWS_2[[#This Row],[Column27]]=2),"1",(IF(AWS_2[[#This Row],[Column9]]="x","2",(IF(AWS_2[[#This Row],[Column10]]="x","3","")))))))</f>
        <v>2</v>
      </c>
      <c r="AC197" s="454" t="str">
        <f>IF(AWS_2[[#This Row],[Column14]] = "-", AWS_2[[#This Row],[Column14]], LEFT(AWS_2[[#This Row],[Column14]], SEARCH(" ", AWS_2[[#This Row],[Column14]] &amp; " ") - 1))</f>
        <v>-</v>
      </c>
    </row>
    <row r="198" spans="1:29" ht="105">
      <c r="A19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8" s="137" t="str">
        <f>AWS_2[[#This Row],[Column30]]</f>
        <v>-</v>
      </c>
      <c r="C198" s="137">
        <v>16.600000000000001</v>
      </c>
      <c r="D198" s="138" t="s">
        <v>371</v>
      </c>
      <c r="E198" s="162" t="s">
        <v>156</v>
      </c>
      <c r="F198" s="489" t="s">
        <v>2224</v>
      </c>
      <c r="G198" s="138" t="s">
        <v>825</v>
      </c>
      <c r="H198" s="204"/>
      <c r="I198" s="164" t="s">
        <v>185</v>
      </c>
      <c r="J198" s="200" t="s">
        <v>185</v>
      </c>
      <c r="K198" s="176" t="s">
        <v>185</v>
      </c>
      <c r="L198" s="176" t="s">
        <v>185</v>
      </c>
      <c r="M198" s="176" t="s">
        <v>185</v>
      </c>
      <c r="N198" s="165" t="s">
        <v>162</v>
      </c>
      <c r="O198" s="165" t="s">
        <v>162</v>
      </c>
      <c r="P198" s="165" t="s">
        <v>162</v>
      </c>
      <c r="Q198" s="165" t="s">
        <v>162</v>
      </c>
      <c r="R198" s="167"/>
      <c r="S198" s="165" t="s">
        <v>162</v>
      </c>
      <c r="T198" s="165" t="s">
        <v>162</v>
      </c>
      <c r="U198" s="158" t="s">
        <v>162</v>
      </c>
      <c r="V198" s="168"/>
      <c r="W198" s="158" t="s">
        <v>966</v>
      </c>
      <c r="X198" s="158" t="s">
        <v>185</v>
      </c>
      <c r="Y198" s="158" t="s">
        <v>185</v>
      </c>
      <c r="Z198" s="158"/>
      <c r="AA198" s="158" t="str">
        <f>IF(AWS_2[[#This Row],[Column14]]="-","", "v")</f>
        <v/>
      </c>
      <c r="AB198" s="158" t="str">
        <f>IF(AWS_2[[#This Row],[Column8]]="x","1",(IF(OR(AWS_2[[#This Row],[Column25]]=2,AWS_2[[#This Row],[Column26]]=2,AWS_2[[#This Row],[Column27]]=2),"1",(IF(AWS_2[[#This Row],[Column9]]="x","2",(IF(AWS_2[[#This Row],[Column10]]="x","3","")))))))</f>
        <v>2</v>
      </c>
      <c r="AC198" s="454" t="str">
        <f>IF(AWS_2[[#This Row],[Column14]] = "-", AWS_2[[#This Row],[Column14]], LEFT(AWS_2[[#This Row],[Column14]], SEARCH(" ", AWS_2[[#This Row],[Column14]] &amp; " ") - 1))</f>
        <v>-</v>
      </c>
    </row>
    <row r="199" spans="1:29" ht="75">
      <c r="A19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NOT(ISBLANK(K199)),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NOT(ISBLANK(L199)),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NOT(ISBLANK(M199)),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199" s="137" t="str">
        <f>AWS_2[[#This Row],[Column30]]</f>
        <v>-</v>
      </c>
      <c r="C199" s="137">
        <v>16.7</v>
      </c>
      <c r="D199" s="138" t="s">
        <v>371</v>
      </c>
      <c r="E199" s="162" t="s">
        <v>156</v>
      </c>
      <c r="F199" s="489" t="s">
        <v>2225</v>
      </c>
      <c r="G199" s="138" t="s">
        <v>827</v>
      </c>
      <c r="H199" s="204"/>
      <c r="I199" s="164" t="s">
        <v>185</v>
      </c>
      <c r="J199" s="200" t="s">
        <v>185</v>
      </c>
      <c r="K199" s="176" t="s">
        <v>185</v>
      </c>
      <c r="L199" s="176" t="s">
        <v>185</v>
      </c>
      <c r="M199" s="176" t="s">
        <v>185</v>
      </c>
      <c r="N199" s="165" t="s">
        <v>162</v>
      </c>
      <c r="O199" s="165" t="s">
        <v>162</v>
      </c>
      <c r="P199" s="165" t="s">
        <v>162</v>
      </c>
      <c r="Q199" s="165" t="s">
        <v>162</v>
      </c>
      <c r="R199" s="167"/>
      <c r="S199" s="165" t="s">
        <v>162</v>
      </c>
      <c r="T199" s="165" t="s">
        <v>162</v>
      </c>
      <c r="U199" s="158" t="s">
        <v>162</v>
      </c>
      <c r="V199" s="168"/>
      <c r="W199" s="158" t="s">
        <v>966</v>
      </c>
      <c r="X199" s="158" t="s">
        <v>185</v>
      </c>
      <c r="Y199" s="158" t="s">
        <v>185</v>
      </c>
      <c r="Z199" s="158"/>
      <c r="AA199" s="158" t="str">
        <f>IF(AWS_2[[#This Row],[Column14]]="-","", "v")</f>
        <v/>
      </c>
      <c r="AB199" s="158" t="str">
        <f>IF(AWS_2[[#This Row],[Column8]]="x","1",(IF(OR(AWS_2[[#This Row],[Column25]]=2,AWS_2[[#This Row],[Column26]]=2,AWS_2[[#This Row],[Column27]]=2),"1",(IF(AWS_2[[#This Row],[Column9]]="x","2",(IF(AWS_2[[#This Row],[Column10]]="x","3","")))))))</f>
        <v>2</v>
      </c>
      <c r="AC199" s="454" t="str">
        <f>IF(AWS_2[[#This Row],[Column14]] = "-", AWS_2[[#This Row],[Column14]], LEFT(AWS_2[[#This Row],[Column14]], SEARCH(" ", AWS_2[[#This Row],[Column14]] &amp; " ") - 1))</f>
        <v>-</v>
      </c>
    </row>
    <row r="200" spans="1:29" ht="15.75">
      <c r="A20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00" s="137" t="str">
        <f>AWS_2[[#This Row],[Column30]]</f>
        <v>-</v>
      </c>
      <c r="C200" s="137">
        <v>16.8</v>
      </c>
      <c r="D200" s="138" t="s">
        <v>371</v>
      </c>
      <c r="E200" s="162" t="s">
        <v>156</v>
      </c>
      <c r="F200" s="489" t="s">
        <v>2226</v>
      </c>
      <c r="G200" s="138" t="s">
        <v>829</v>
      </c>
      <c r="H200" s="204"/>
      <c r="I200" s="164" t="s">
        <v>185</v>
      </c>
      <c r="J200" s="200" t="s">
        <v>185</v>
      </c>
      <c r="K200" s="176" t="s">
        <v>185</v>
      </c>
      <c r="L200" s="176" t="s">
        <v>185</v>
      </c>
      <c r="M200" s="176" t="s">
        <v>185</v>
      </c>
      <c r="N200" s="165" t="s">
        <v>162</v>
      </c>
      <c r="O200" s="165" t="s">
        <v>162</v>
      </c>
      <c r="P200" s="165" t="s">
        <v>162</v>
      </c>
      <c r="Q200" s="165" t="s">
        <v>162</v>
      </c>
      <c r="R200" s="167"/>
      <c r="S200" s="165" t="s">
        <v>162</v>
      </c>
      <c r="T200" s="165" t="s">
        <v>162</v>
      </c>
      <c r="U200" s="158" t="s">
        <v>162</v>
      </c>
      <c r="V200" s="168"/>
      <c r="W200" s="158" t="s">
        <v>966</v>
      </c>
      <c r="X200" s="158" t="s">
        <v>185</v>
      </c>
      <c r="Y200" s="158" t="s">
        <v>185</v>
      </c>
      <c r="Z200" s="158"/>
      <c r="AA200" s="158" t="str">
        <f>IF(AWS_2[[#This Row],[Column14]]="-","", "v")</f>
        <v/>
      </c>
      <c r="AB200" s="158" t="str">
        <f>IF(AWS_2[[#This Row],[Column8]]="x","1",(IF(OR(AWS_2[[#This Row],[Column25]]=2,AWS_2[[#This Row],[Column26]]=2,AWS_2[[#This Row],[Column27]]=2),"1",(IF(AWS_2[[#This Row],[Column9]]="x","2",(IF(AWS_2[[#This Row],[Column10]]="x","3","")))))))</f>
        <v>2</v>
      </c>
      <c r="AC200" s="454" t="str">
        <f>IF(AWS_2[[#This Row],[Column14]] = "-", AWS_2[[#This Row],[Column14]], LEFT(AWS_2[[#This Row],[Column14]], SEARCH(" ", AWS_2[[#This Row],[Column14]] &amp; " ") - 1))</f>
        <v>-</v>
      </c>
    </row>
    <row r="201" spans="1:29" ht="90">
      <c r="A20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01" s="137" t="str">
        <f>AWS_2[[#This Row],[Column30]]</f>
        <v>-</v>
      </c>
      <c r="C201" s="137">
        <v>16.899999999999999</v>
      </c>
      <c r="D201" s="138" t="s">
        <v>371</v>
      </c>
      <c r="E201" s="162" t="s">
        <v>156</v>
      </c>
      <c r="F201" s="489" t="s">
        <v>2227</v>
      </c>
      <c r="G201" s="138" t="s">
        <v>831</v>
      </c>
      <c r="H201" s="204"/>
      <c r="I201" s="164" t="s">
        <v>185</v>
      </c>
      <c r="J201" s="200" t="s">
        <v>185</v>
      </c>
      <c r="K201" s="176" t="s">
        <v>185</v>
      </c>
      <c r="L201" s="176" t="s">
        <v>185</v>
      </c>
      <c r="M201" s="176" t="s">
        <v>185</v>
      </c>
      <c r="N201" s="165" t="s">
        <v>162</v>
      </c>
      <c r="O201" s="165" t="s">
        <v>162</v>
      </c>
      <c r="P201" s="165" t="s">
        <v>162</v>
      </c>
      <c r="Q201" s="165" t="s">
        <v>162</v>
      </c>
      <c r="R201" s="167"/>
      <c r="S201" s="165" t="s">
        <v>162</v>
      </c>
      <c r="T201" s="165" t="s">
        <v>162</v>
      </c>
      <c r="U201" s="158" t="s">
        <v>162</v>
      </c>
      <c r="V201" s="168"/>
      <c r="W201" s="158" t="s">
        <v>966</v>
      </c>
      <c r="X201" s="158" t="s">
        <v>185</v>
      </c>
      <c r="Y201" s="158" t="s">
        <v>185</v>
      </c>
      <c r="Z201" s="158"/>
      <c r="AA201" s="158" t="str">
        <f>IF(AWS_2[[#This Row],[Column14]]="-","", "v")</f>
        <v/>
      </c>
      <c r="AB201" s="158" t="str">
        <f>IF(AWS_2[[#This Row],[Column8]]="x","1",(IF(OR(AWS_2[[#This Row],[Column25]]=2,AWS_2[[#This Row],[Column26]]=2,AWS_2[[#This Row],[Column27]]=2),"1",(IF(AWS_2[[#This Row],[Column9]]="x","2",(IF(AWS_2[[#This Row],[Column10]]="x","3","")))))))</f>
        <v>2</v>
      </c>
      <c r="AC201" s="454" t="str">
        <f>IF(AWS_2[[#This Row],[Column14]] = "-", AWS_2[[#This Row],[Column14]], LEFT(AWS_2[[#This Row],[Column14]], SEARCH(" ", AWS_2[[#This Row],[Column14]] &amp; " ") - 1))</f>
        <v>-</v>
      </c>
    </row>
    <row r="202" spans="1:29" ht="135">
      <c r="A20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02" s="137" t="str">
        <f>AWS_2[[#This Row],[Column30]]</f>
        <v>-</v>
      </c>
      <c r="C202" s="140">
        <v>16.100000000000001</v>
      </c>
      <c r="D202" s="138" t="s">
        <v>371</v>
      </c>
      <c r="E202" s="162" t="s">
        <v>156</v>
      </c>
      <c r="F202" s="489" t="s">
        <v>2228</v>
      </c>
      <c r="G202" s="138" t="s">
        <v>833</v>
      </c>
      <c r="H202" s="204"/>
      <c r="I202" s="164" t="s">
        <v>185</v>
      </c>
      <c r="J202" s="200" t="s">
        <v>185</v>
      </c>
      <c r="K202" s="176" t="s">
        <v>185</v>
      </c>
      <c r="L202" s="176" t="s">
        <v>185</v>
      </c>
      <c r="M202" s="176" t="s">
        <v>185</v>
      </c>
      <c r="N202" s="165" t="s">
        <v>162</v>
      </c>
      <c r="O202" s="165" t="s">
        <v>162</v>
      </c>
      <c r="P202" s="165" t="s">
        <v>162</v>
      </c>
      <c r="Q202" s="165" t="s">
        <v>162</v>
      </c>
      <c r="R202" s="167"/>
      <c r="S202" s="165" t="s">
        <v>162</v>
      </c>
      <c r="T202" s="165" t="s">
        <v>162</v>
      </c>
      <c r="U202" s="158" t="s">
        <v>162</v>
      </c>
      <c r="V202" s="168"/>
      <c r="W202" s="158" t="s">
        <v>966</v>
      </c>
      <c r="X202" s="158" t="s">
        <v>185</v>
      </c>
      <c r="Y202" s="158" t="s">
        <v>185</v>
      </c>
      <c r="Z202" s="158"/>
      <c r="AA202" s="158" t="str">
        <f>IF(AWS_2[[#This Row],[Column14]]="-","", "v")</f>
        <v/>
      </c>
      <c r="AB202" s="158" t="str">
        <f>IF(AWS_2[[#This Row],[Column8]]="x","1",(IF(OR(AWS_2[[#This Row],[Column25]]=2,AWS_2[[#This Row],[Column26]]=2,AWS_2[[#This Row],[Column27]]=2),"1",(IF(AWS_2[[#This Row],[Column9]]="x","2",(IF(AWS_2[[#This Row],[Column10]]="x","3","")))))))</f>
        <v>2</v>
      </c>
      <c r="AC202" s="454" t="str">
        <f>IF(AWS_2[[#This Row],[Column14]] = "-", AWS_2[[#This Row],[Column14]], LEFT(AWS_2[[#This Row],[Column14]], SEARCH(" ", AWS_2[[#This Row],[Column14]] &amp; " ") - 1))</f>
        <v>-</v>
      </c>
    </row>
    <row r="203" spans="1:29" ht="135">
      <c r="A20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03" s="137" t="str">
        <f>AWS_2[[#This Row],[Column30]]</f>
        <v>-</v>
      </c>
      <c r="C203" s="137">
        <v>16.11</v>
      </c>
      <c r="D203" s="138" t="s">
        <v>371</v>
      </c>
      <c r="E203" s="162" t="s">
        <v>156</v>
      </c>
      <c r="F203" s="489" t="s">
        <v>2229</v>
      </c>
      <c r="G203" s="138" t="s">
        <v>835</v>
      </c>
      <c r="H203" s="204"/>
      <c r="I203" s="164" t="s">
        <v>185</v>
      </c>
      <c r="J203" s="200" t="s">
        <v>185</v>
      </c>
      <c r="K203" s="176" t="s">
        <v>185</v>
      </c>
      <c r="L203" s="176" t="s">
        <v>185</v>
      </c>
      <c r="M203" s="176" t="s">
        <v>185</v>
      </c>
      <c r="N203" s="165" t="s">
        <v>162</v>
      </c>
      <c r="O203" s="165" t="s">
        <v>162</v>
      </c>
      <c r="P203" s="165" t="s">
        <v>162</v>
      </c>
      <c r="Q203" s="165" t="s">
        <v>162</v>
      </c>
      <c r="R203" s="167"/>
      <c r="S203" s="165" t="s">
        <v>162</v>
      </c>
      <c r="T203" s="165" t="s">
        <v>162</v>
      </c>
      <c r="U203" s="158" t="s">
        <v>162</v>
      </c>
      <c r="V203" s="168"/>
      <c r="W203" s="158" t="s">
        <v>966</v>
      </c>
      <c r="X203" s="158" t="s">
        <v>185</v>
      </c>
      <c r="Y203" s="158" t="s">
        <v>185</v>
      </c>
      <c r="Z203" s="158"/>
      <c r="AA203" s="158" t="str">
        <f>IF(AWS_2[[#This Row],[Column14]]="-","", "v")</f>
        <v/>
      </c>
      <c r="AB203" s="158" t="str">
        <f>IF(AWS_2[[#This Row],[Column8]]="x","1",(IF(OR(AWS_2[[#This Row],[Column25]]=2,AWS_2[[#This Row],[Column26]]=2,AWS_2[[#This Row],[Column27]]=2),"1",(IF(AWS_2[[#This Row],[Column9]]="x","2",(IF(AWS_2[[#This Row],[Column10]]="x","3","")))))))</f>
        <v>2</v>
      </c>
      <c r="AC203" s="454" t="str">
        <f>IF(AWS_2[[#This Row],[Column14]] = "-", AWS_2[[#This Row],[Column14]], LEFT(AWS_2[[#This Row],[Column14]], SEARCH(" ", AWS_2[[#This Row],[Column14]] &amp; " ") - 1))</f>
        <v>-</v>
      </c>
    </row>
    <row r="204" spans="1:29" ht="30">
      <c r="A20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204" s="137" t="str">
        <f>AWS_2[[#This Row],[Column30]]</f>
        <v>-</v>
      </c>
      <c r="C204" s="137">
        <v>16.12</v>
      </c>
      <c r="D204" s="138" t="s">
        <v>371</v>
      </c>
      <c r="E204" s="162" t="s">
        <v>156</v>
      </c>
      <c r="F204" s="489" t="s">
        <v>2230</v>
      </c>
      <c r="G204" s="139" t="s">
        <v>837</v>
      </c>
      <c r="H204" s="204"/>
      <c r="I204" s="204"/>
      <c r="J204" s="200" t="s">
        <v>185</v>
      </c>
      <c r="K204" s="176" t="s">
        <v>185</v>
      </c>
      <c r="L204" s="176" t="s">
        <v>185</v>
      </c>
      <c r="M204" s="176" t="s">
        <v>185</v>
      </c>
      <c r="N204" s="165" t="s">
        <v>162</v>
      </c>
      <c r="O204" s="165" t="s">
        <v>162</v>
      </c>
      <c r="P204" s="165" t="s">
        <v>162</v>
      </c>
      <c r="Q204" s="165" t="s">
        <v>162</v>
      </c>
      <c r="R204" s="167"/>
      <c r="S204" s="165" t="s">
        <v>162</v>
      </c>
      <c r="T204" s="165" t="s">
        <v>162</v>
      </c>
      <c r="U204" s="158" t="s">
        <v>162</v>
      </c>
      <c r="V204" s="168"/>
      <c r="W204" s="158" t="s">
        <v>966</v>
      </c>
      <c r="X204" s="158" t="s">
        <v>185</v>
      </c>
      <c r="Y204" s="158" t="s">
        <v>185</v>
      </c>
      <c r="Z204" s="158"/>
      <c r="AA204" s="158" t="str">
        <f>IF(AWS_2[[#This Row],[Column14]]="-","", "v")</f>
        <v/>
      </c>
      <c r="AB204" s="158" t="str">
        <f>IF(AWS_2[[#This Row],[Column8]]="x","1",(IF(OR(AWS_2[[#This Row],[Column25]]=2,AWS_2[[#This Row],[Column26]]=2,AWS_2[[#This Row],[Column27]]=2),"1",(IF(AWS_2[[#This Row],[Column9]]="x","2",(IF(AWS_2[[#This Row],[Column10]]="x","3","")))))))</f>
        <v>3</v>
      </c>
      <c r="AC204" s="454" t="str">
        <f>IF(AWS_2[[#This Row],[Column14]] = "-", AWS_2[[#This Row],[Column14]], LEFT(AWS_2[[#This Row],[Column14]], SEARCH(" ", AWS_2[[#This Row],[Column14]] &amp; " ") - 1))</f>
        <v>-</v>
      </c>
    </row>
    <row r="205" spans="1:29" ht="75">
      <c r="A20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205" s="137" t="str">
        <f>AWS_2[[#This Row],[Column30]]</f>
        <v>-</v>
      </c>
      <c r="C205" s="137">
        <v>16.13</v>
      </c>
      <c r="D205" s="138" t="s">
        <v>371</v>
      </c>
      <c r="E205" s="162" t="s">
        <v>156</v>
      </c>
      <c r="F205" s="489" t="s">
        <v>2231</v>
      </c>
      <c r="G205" s="138" t="s">
        <v>839</v>
      </c>
      <c r="H205" s="204"/>
      <c r="I205" s="204"/>
      <c r="J205" s="200" t="s">
        <v>185</v>
      </c>
      <c r="K205" s="176" t="s">
        <v>185</v>
      </c>
      <c r="L205" s="176" t="s">
        <v>185</v>
      </c>
      <c r="M205" s="176" t="s">
        <v>185</v>
      </c>
      <c r="N205" s="165" t="s">
        <v>162</v>
      </c>
      <c r="O205" s="165" t="s">
        <v>162</v>
      </c>
      <c r="P205" s="165" t="s">
        <v>162</v>
      </c>
      <c r="Q205" s="165" t="s">
        <v>162</v>
      </c>
      <c r="R205" s="167"/>
      <c r="S205" s="165" t="s">
        <v>162</v>
      </c>
      <c r="T205" s="165" t="s">
        <v>162</v>
      </c>
      <c r="U205" s="158" t="s">
        <v>162</v>
      </c>
      <c r="V205" s="168"/>
      <c r="W205" s="158" t="s">
        <v>966</v>
      </c>
      <c r="X205" s="158" t="s">
        <v>185</v>
      </c>
      <c r="Y205" s="158" t="s">
        <v>185</v>
      </c>
      <c r="Z205" s="158"/>
      <c r="AA205" s="158" t="str">
        <f>IF(AWS_2[[#This Row],[Column14]]="-","", "v")</f>
        <v/>
      </c>
      <c r="AB205" s="158" t="str">
        <f>IF(AWS_2[[#This Row],[Column8]]="x","1",(IF(OR(AWS_2[[#This Row],[Column25]]=2,AWS_2[[#This Row],[Column26]]=2,AWS_2[[#This Row],[Column27]]=2),"1",(IF(AWS_2[[#This Row],[Column9]]="x","2",(IF(AWS_2[[#This Row],[Column10]]="x","3","")))))))</f>
        <v>3</v>
      </c>
      <c r="AC205" s="454" t="str">
        <f>IF(AWS_2[[#This Row],[Column14]] = "-", AWS_2[[#This Row],[Column14]], LEFT(AWS_2[[#This Row],[Column14]], SEARCH(" ", AWS_2[[#This Row],[Column14]] &amp; " ") - 1))</f>
        <v>-</v>
      </c>
    </row>
    <row r="206" spans="1:29" ht="90">
      <c r="A20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206" s="137" t="str">
        <f>AWS_2[[#This Row],[Column30]]</f>
        <v>-</v>
      </c>
      <c r="C206" s="137">
        <v>16.14</v>
      </c>
      <c r="D206" s="138" t="s">
        <v>371</v>
      </c>
      <c r="E206" s="162" t="s">
        <v>156</v>
      </c>
      <c r="F206" s="489" t="s">
        <v>2232</v>
      </c>
      <c r="G206" s="138" t="s">
        <v>841</v>
      </c>
      <c r="H206" s="204"/>
      <c r="I206" s="204"/>
      <c r="J206" s="200" t="s">
        <v>185</v>
      </c>
      <c r="K206" s="176" t="s">
        <v>185</v>
      </c>
      <c r="L206" s="176" t="s">
        <v>185</v>
      </c>
      <c r="M206" s="176" t="s">
        <v>185</v>
      </c>
      <c r="N206" s="165" t="s">
        <v>162</v>
      </c>
      <c r="O206" s="165" t="s">
        <v>162</v>
      </c>
      <c r="P206" s="165" t="s">
        <v>162</v>
      </c>
      <c r="Q206" s="165" t="s">
        <v>162</v>
      </c>
      <c r="R206" s="167"/>
      <c r="S206" s="165" t="s">
        <v>162</v>
      </c>
      <c r="T206" s="165" t="s">
        <v>162</v>
      </c>
      <c r="U206" s="158" t="s">
        <v>162</v>
      </c>
      <c r="V206" s="168"/>
      <c r="W206" s="158" t="s">
        <v>966</v>
      </c>
      <c r="X206" s="158" t="s">
        <v>185</v>
      </c>
      <c r="Y206" s="158" t="s">
        <v>185</v>
      </c>
      <c r="Z206" s="158"/>
      <c r="AA206" s="158" t="str">
        <f>IF(AWS_2[[#This Row],[Column14]]="-","", "v")</f>
        <v/>
      </c>
      <c r="AB206" s="158" t="str">
        <f>IF(AWS_2[[#This Row],[Column8]]="x","1",(IF(OR(AWS_2[[#This Row],[Column25]]=2,AWS_2[[#This Row],[Column26]]=2,AWS_2[[#This Row],[Column27]]=2),"1",(IF(AWS_2[[#This Row],[Column9]]="x","2",(IF(AWS_2[[#This Row],[Column10]]="x","3","")))))))</f>
        <v>3</v>
      </c>
      <c r="AC206" s="454" t="str">
        <f>IF(AWS_2[[#This Row],[Column14]] = "-", AWS_2[[#This Row],[Column14]], LEFT(AWS_2[[#This Row],[Column14]], SEARCH(" ", AWS_2[[#This Row],[Column14]] &amp; " ") - 1))</f>
        <v>-</v>
      </c>
    </row>
    <row r="207" spans="1:29" ht="45">
      <c r="A207" s="178" t="s">
        <v>942</v>
      </c>
      <c r="B207" s="154" t="s">
        <v>162</v>
      </c>
      <c r="C207" s="154" t="s">
        <v>162</v>
      </c>
      <c r="D207" s="154" t="s">
        <v>162</v>
      </c>
      <c r="E207" s="154" t="s">
        <v>162</v>
      </c>
      <c r="F207" s="488" t="s">
        <v>2233</v>
      </c>
      <c r="G207" s="157" t="s">
        <v>843</v>
      </c>
      <c r="H207" s="154"/>
      <c r="I207" s="154"/>
      <c r="J207" s="154"/>
      <c r="K207" s="161"/>
      <c r="L207" s="161"/>
      <c r="M207" s="161"/>
      <c r="N207" s="154" t="s">
        <v>162</v>
      </c>
      <c r="O207" s="154" t="s">
        <v>162</v>
      </c>
      <c r="P207" s="154" t="s">
        <v>162</v>
      </c>
      <c r="Q207" s="154" t="s">
        <v>162</v>
      </c>
      <c r="R207" s="167"/>
      <c r="S207" s="154" t="s">
        <v>162</v>
      </c>
      <c r="T207" s="154" t="s">
        <v>162</v>
      </c>
      <c r="U207" s="245" t="s">
        <v>162</v>
      </c>
      <c r="V207" s="245" t="s">
        <v>162</v>
      </c>
      <c r="W207" s="245" t="s">
        <v>162</v>
      </c>
      <c r="X207" s="245" t="s">
        <v>162</v>
      </c>
      <c r="Y207" s="245" t="s">
        <v>162</v>
      </c>
      <c r="Z207" s="245" t="s">
        <v>162</v>
      </c>
      <c r="AA207" s="154" t="s">
        <v>162</v>
      </c>
      <c r="AB207" s="154" t="s">
        <v>162</v>
      </c>
      <c r="AC207" s="454" t="str">
        <f>IF(AWS_2[[#This Row],[Column14]] = "-", AWS_2[[#This Row],[Column14]], LEFT(AWS_2[[#This Row],[Column14]], SEARCH(" ", AWS_2[[#This Row],[Column14]] &amp; " ") - 1))</f>
        <v>-</v>
      </c>
    </row>
    <row r="208" spans="1:29" ht="105">
      <c r="A20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08" s="137" t="str">
        <f>AWS_2[[#This Row],[Column30]]</f>
        <v>-</v>
      </c>
      <c r="C208" s="137">
        <v>17.100000000000001</v>
      </c>
      <c r="D208" s="138" t="s">
        <v>781</v>
      </c>
      <c r="E208" s="162" t="s">
        <v>157</v>
      </c>
      <c r="F208" s="489" t="s">
        <v>2234</v>
      </c>
      <c r="G208" s="138" t="s">
        <v>845</v>
      </c>
      <c r="H208" s="163" t="s">
        <v>185</v>
      </c>
      <c r="I208" s="164" t="s">
        <v>185</v>
      </c>
      <c r="J208" s="200" t="s">
        <v>185</v>
      </c>
      <c r="K208" s="176" t="s">
        <v>185</v>
      </c>
      <c r="L208" s="176" t="s">
        <v>185</v>
      </c>
      <c r="M208" s="176" t="s">
        <v>185</v>
      </c>
      <c r="N208" s="165" t="s">
        <v>162</v>
      </c>
      <c r="O208" s="165" t="s">
        <v>162</v>
      </c>
      <c r="P208" s="165" t="s">
        <v>162</v>
      </c>
      <c r="Q208" s="165" t="s">
        <v>162</v>
      </c>
      <c r="R208" s="167"/>
      <c r="S208" s="165" t="s">
        <v>162</v>
      </c>
      <c r="T208" s="165" t="s">
        <v>162</v>
      </c>
      <c r="U208" s="158" t="s">
        <v>162</v>
      </c>
      <c r="V208" s="168"/>
      <c r="W208" s="158" t="s">
        <v>966</v>
      </c>
      <c r="X208" s="158" t="s">
        <v>185</v>
      </c>
      <c r="Y208" s="158"/>
      <c r="Z208" s="158" t="s">
        <v>185</v>
      </c>
      <c r="AA208" s="158" t="str">
        <f>IF(AWS_2[[#This Row],[Column14]]="-","", "v")</f>
        <v/>
      </c>
      <c r="AB208" s="158" t="str">
        <f>IF(AWS_2[[#This Row],[Column8]]="x","1",(IF(OR(AWS_2[[#This Row],[Column25]]=2,AWS_2[[#This Row],[Column26]]=2,AWS_2[[#This Row],[Column27]]=2),"1",(IF(AWS_2[[#This Row],[Column9]]="x","2",(IF(AWS_2[[#This Row],[Column10]]="x","3","")))))))</f>
        <v>1</v>
      </c>
      <c r="AC208" s="454" t="str">
        <f>IF(AWS_2[[#This Row],[Column14]] = "-", AWS_2[[#This Row],[Column14]], LEFT(AWS_2[[#This Row],[Column14]], SEARCH(" ", AWS_2[[#This Row],[Column14]] &amp; " ") - 1))</f>
        <v>-</v>
      </c>
    </row>
    <row r="209" spans="1:29" ht="409.5">
      <c r="A209"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NOT(ISBLANK(K209)),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NOT(ISBLANK(L209)),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NOT(ISBLANK(M209)),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09" s="137" t="str">
        <f>AWS_2[[#This Row],[Column30]]</f>
        <v>1.1</v>
      </c>
      <c r="C209" s="137">
        <v>17.2</v>
      </c>
      <c r="D209" s="138" t="s">
        <v>781</v>
      </c>
      <c r="E209" s="162" t="s">
        <v>157</v>
      </c>
      <c r="F209" s="489" t="s">
        <v>2235</v>
      </c>
      <c r="G209" s="138" t="s">
        <v>847</v>
      </c>
      <c r="H209" s="163" t="s">
        <v>185</v>
      </c>
      <c r="I209" s="164" t="s">
        <v>185</v>
      </c>
      <c r="J209" s="200" t="s">
        <v>185</v>
      </c>
      <c r="K209" s="176" t="s">
        <v>185</v>
      </c>
      <c r="L209" s="176" t="s">
        <v>185</v>
      </c>
      <c r="M209" s="176" t="s">
        <v>185</v>
      </c>
      <c r="N209" s="165" t="s">
        <v>848</v>
      </c>
      <c r="O209" s="197" t="s">
        <v>198</v>
      </c>
      <c r="P209" s="166" t="s">
        <v>849</v>
      </c>
      <c r="Q209" s="166" t="s">
        <v>850</v>
      </c>
      <c r="R209" s="167" t="s">
        <v>851</v>
      </c>
      <c r="S209" s="166" t="s">
        <v>852</v>
      </c>
      <c r="T209" s="166" t="str">
        <f>HYPERLINK("#", "https://docs.aws.amazon.com/awsaccountbilling/latest/aboutv2/manage-account-payment.html#contact-info")</f>
        <v>https://docs.aws.amazon.com/awsaccountbilling/latest/aboutv2/manage-account-payment.html#contact-info</v>
      </c>
      <c r="U209" s="158" t="s">
        <v>975</v>
      </c>
      <c r="V209" s="168" t="s">
        <v>924</v>
      </c>
      <c r="W209" s="158" t="s">
        <v>967</v>
      </c>
      <c r="X209" s="158" t="s">
        <v>185</v>
      </c>
      <c r="Y209" s="158"/>
      <c r="Z209" s="158" t="s">
        <v>185</v>
      </c>
      <c r="AA209" s="158" t="str">
        <f>IF(AWS_2[[#This Row],[Column14]]="-","", "v")</f>
        <v>v</v>
      </c>
      <c r="AB209" s="158" t="str">
        <f>IF(AWS_2[[#This Row],[Column8]]="x","1",(IF(OR(AWS_2[[#This Row],[Column25]]=2,AWS_2[[#This Row],[Column26]]=2,AWS_2[[#This Row],[Column27]]=2),"1",(IF(AWS_2[[#This Row],[Column9]]="x","2",(IF(AWS_2[[#This Row],[Column10]]="x","3","")))))))</f>
        <v>1</v>
      </c>
      <c r="AC209" s="454" t="str">
        <f>IF(AWS_2[[#This Row],[Column14]] = "-", AWS_2[[#This Row],[Column14]], LEFT(AWS_2[[#This Row],[Column14]], SEARCH(" ", AWS_2[[#This Row],[Column14]] &amp; " ") - 1))</f>
        <v>1.1</v>
      </c>
    </row>
    <row r="210" spans="1:29" ht="270.75">
      <c r="A21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0" s="137" t="str">
        <f>AWS_2[[#This Row],[Column30]]</f>
        <v>1.2</v>
      </c>
      <c r="C210" s="137">
        <v>17.2</v>
      </c>
      <c r="D210" s="138" t="s">
        <v>781</v>
      </c>
      <c r="E210" s="162" t="s">
        <v>157</v>
      </c>
      <c r="F210" s="489" t="s">
        <v>2235</v>
      </c>
      <c r="G210" s="138" t="s">
        <v>847</v>
      </c>
      <c r="H210" s="163" t="s">
        <v>185</v>
      </c>
      <c r="I210" s="164" t="s">
        <v>185</v>
      </c>
      <c r="J210" s="200" t="s">
        <v>185</v>
      </c>
      <c r="K210" s="176" t="s">
        <v>185</v>
      </c>
      <c r="L210" s="176" t="s">
        <v>185</v>
      </c>
      <c r="M210" s="176" t="s">
        <v>185</v>
      </c>
      <c r="N210" s="165" t="s">
        <v>853</v>
      </c>
      <c r="O210" s="197" t="s">
        <v>198</v>
      </c>
      <c r="P210" s="166" t="s">
        <v>854</v>
      </c>
      <c r="Q210" s="166" t="s">
        <v>855</v>
      </c>
      <c r="R210" s="167" t="s">
        <v>856</v>
      </c>
      <c r="S210" s="166" t="s">
        <v>857</v>
      </c>
      <c r="T210" s="166" t="s">
        <v>858</v>
      </c>
      <c r="U210" s="158" t="s">
        <v>975</v>
      </c>
      <c r="V210" s="168" t="s">
        <v>924</v>
      </c>
      <c r="W210" s="158" t="s">
        <v>967</v>
      </c>
      <c r="X210" s="158" t="s">
        <v>185</v>
      </c>
      <c r="Y210" s="158"/>
      <c r="Z210" s="158" t="s">
        <v>185</v>
      </c>
      <c r="AA210" s="158" t="str">
        <f>IF(AWS_2[[#This Row],[Column14]]="-","", "v")</f>
        <v>v</v>
      </c>
      <c r="AB210" s="158" t="str">
        <f>IF(AWS_2[[#This Row],[Column8]]="x","1",(IF(OR(AWS_2[[#This Row],[Column25]]=2,AWS_2[[#This Row],[Column26]]=2,AWS_2[[#This Row],[Column27]]=2),"1",(IF(AWS_2[[#This Row],[Column9]]="x","2",(IF(AWS_2[[#This Row],[Column10]]="x","3","")))))))</f>
        <v>1</v>
      </c>
      <c r="AC210" s="454" t="str">
        <f>IF(AWS_2[[#This Row],[Column14]] = "-", AWS_2[[#This Row],[Column14]], LEFT(AWS_2[[#This Row],[Column14]], SEARCH(" ", AWS_2[[#This Row],[Column14]] &amp; " ") - 1))</f>
        <v>1.2</v>
      </c>
    </row>
    <row r="211" spans="1:29" ht="409.5">
      <c r="A21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1" s="137" t="str">
        <f>AWS_2[[#This Row],[Column30]]</f>
        <v>1.3</v>
      </c>
      <c r="C211" s="137">
        <v>17.2</v>
      </c>
      <c r="D211" s="138" t="s">
        <v>781</v>
      </c>
      <c r="E211" s="162" t="s">
        <v>157</v>
      </c>
      <c r="F211" s="489" t="s">
        <v>2235</v>
      </c>
      <c r="G211" s="138" t="s">
        <v>847</v>
      </c>
      <c r="H211" s="163" t="s">
        <v>185</v>
      </c>
      <c r="I211" s="164" t="s">
        <v>185</v>
      </c>
      <c r="J211" s="200" t="s">
        <v>185</v>
      </c>
      <c r="K211" s="176" t="s">
        <v>185</v>
      </c>
      <c r="L211" s="176" t="s">
        <v>185</v>
      </c>
      <c r="M211" s="176" t="s">
        <v>185</v>
      </c>
      <c r="N211" s="165" t="s">
        <v>859</v>
      </c>
      <c r="O211" s="197" t="s">
        <v>198</v>
      </c>
      <c r="P211" s="166" t="s">
        <v>860</v>
      </c>
      <c r="Q211" s="166" t="s">
        <v>861</v>
      </c>
      <c r="R211" s="167" t="s">
        <v>862</v>
      </c>
      <c r="S211" s="166" t="s">
        <v>863</v>
      </c>
      <c r="T211" s="166" t="s">
        <v>162</v>
      </c>
      <c r="U211" s="158" t="s">
        <v>975</v>
      </c>
      <c r="V211" s="168" t="s">
        <v>925</v>
      </c>
      <c r="W211" s="158" t="s">
        <v>967</v>
      </c>
      <c r="X211" s="158" t="s">
        <v>185</v>
      </c>
      <c r="Y211" s="158"/>
      <c r="Z211" s="158" t="s">
        <v>185</v>
      </c>
      <c r="AA211" s="158" t="str">
        <f>IF(AWS_2[[#This Row],[Column14]]="-","", "v")</f>
        <v>v</v>
      </c>
      <c r="AB211" s="158" t="str">
        <f>IF(AWS_2[[#This Row],[Column8]]="x","1",(IF(OR(AWS_2[[#This Row],[Column25]]=2,AWS_2[[#This Row],[Column26]]=2,AWS_2[[#This Row],[Column27]]=2),"1",(IF(AWS_2[[#This Row],[Column9]]="x","2",(IF(AWS_2[[#This Row],[Column10]]="x","3","")))))))</f>
        <v>1</v>
      </c>
      <c r="AC211" s="454" t="str">
        <f>IF(AWS_2[[#This Row],[Column14]] = "-", AWS_2[[#This Row],[Column14]], LEFT(AWS_2[[#This Row],[Column14]], SEARCH(" ", AWS_2[[#This Row],[Column14]] &amp; " ") - 1))</f>
        <v>1.3</v>
      </c>
    </row>
    <row r="212" spans="1:29" ht="75">
      <c r="A21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2" s="137" t="str">
        <f>AWS_2[[#This Row],[Column30]]</f>
        <v>-</v>
      </c>
      <c r="C212" s="137">
        <v>17.3</v>
      </c>
      <c r="D212" s="138" t="s">
        <v>781</v>
      </c>
      <c r="E212" s="162" t="s">
        <v>157</v>
      </c>
      <c r="F212" s="489" t="s">
        <v>2236</v>
      </c>
      <c r="G212" s="138" t="s">
        <v>865</v>
      </c>
      <c r="H212" s="163" t="s">
        <v>185</v>
      </c>
      <c r="I212" s="164" t="s">
        <v>185</v>
      </c>
      <c r="J212" s="200" t="s">
        <v>185</v>
      </c>
      <c r="K212" s="176" t="s">
        <v>185</v>
      </c>
      <c r="L212" s="176" t="s">
        <v>185</v>
      </c>
      <c r="M212" s="176" t="s">
        <v>185</v>
      </c>
      <c r="N212" s="165" t="s">
        <v>162</v>
      </c>
      <c r="O212" s="165" t="s">
        <v>162</v>
      </c>
      <c r="P212" s="165" t="s">
        <v>162</v>
      </c>
      <c r="Q212" s="165" t="s">
        <v>162</v>
      </c>
      <c r="R212" s="167"/>
      <c r="S212" s="165" t="s">
        <v>162</v>
      </c>
      <c r="T212" s="165" t="s">
        <v>162</v>
      </c>
      <c r="U212" s="158" t="s">
        <v>162</v>
      </c>
      <c r="V212" s="168"/>
      <c r="W212" s="158" t="s">
        <v>966</v>
      </c>
      <c r="X212" s="158" t="s">
        <v>185</v>
      </c>
      <c r="Y212" s="158"/>
      <c r="Z212" s="158" t="s">
        <v>185</v>
      </c>
      <c r="AA212" s="158" t="str">
        <f>IF(AWS_2[[#This Row],[Column14]]="-","", "v")</f>
        <v/>
      </c>
      <c r="AB212" s="158" t="str">
        <f>IF(AWS_2[[#This Row],[Column8]]="x","1",(IF(OR(AWS_2[[#This Row],[Column25]]=2,AWS_2[[#This Row],[Column26]]=2,AWS_2[[#This Row],[Column27]]=2),"1",(IF(AWS_2[[#This Row],[Column9]]="x","2",(IF(AWS_2[[#This Row],[Column10]]="x","3","")))))))</f>
        <v>1</v>
      </c>
      <c r="AC212" s="454" t="str">
        <f>IF(AWS_2[[#This Row],[Column14]] = "-", AWS_2[[#This Row],[Column14]], LEFT(AWS_2[[#This Row],[Column14]], SEARCH(" ", AWS_2[[#This Row],[Column14]] &amp; " ") - 1))</f>
        <v>-</v>
      </c>
    </row>
    <row r="213" spans="1:29" ht="60">
      <c r="A21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3" s="137" t="str">
        <f>AWS_2[[#This Row],[Column30]]</f>
        <v>-</v>
      </c>
      <c r="C213" s="137">
        <v>17.399999999999999</v>
      </c>
      <c r="D213" s="138" t="s">
        <v>781</v>
      </c>
      <c r="E213" s="162" t="s">
        <v>157</v>
      </c>
      <c r="F213" s="489" t="s">
        <v>2237</v>
      </c>
      <c r="G213" s="138" t="s">
        <v>867</v>
      </c>
      <c r="H213" s="204"/>
      <c r="I213" s="164" t="s">
        <v>185</v>
      </c>
      <c r="J213" s="200" t="s">
        <v>185</v>
      </c>
      <c r="K213" s="176" t="s">
        <v>185</v>
      </c>
      <c r="L213" s="176" t="s">
        <v>185</v>
      </c>
      <c r="M213" s="176" t="s">
        <v>185</v>
      </c>
      <c r="N213" s="165" t="s">
        <v>162</v>
      </c>
      <c r="O213" s="165" t="s">
        <v>162</v>
      </c>
      <c r="P213" s="165" t="s">
        <v>162</v>
      </c>
      <c r="Q213" s="165" t="s">
        <v>162</v>
      </c>
      <c r="R213" s="167"/>
      <c r="S213" s="165" t="s">
        <v>162</v>
      </c>
      <c r="T213" s="165" t="s">
        <v>162</v>
      </c>
      <c r="U213" s="158" t="s">
        <v>162</v>
      </c>
      <c r="V213" s="168"/>
      <c r="W213" s="158" t="s">
        <v>966</v>
      </c>
      <c r="X213" s="158" t="s">
        <v>185</v>
      </c>
      <c r="Y213" s="158"/>
      <c r="Z213" s="158" t="s">
        <v>185</v>
      </c>
      <c r="AA213" s="158" t="str">
        <f>IF(AWS_2[[#This Row],[Column14]]="-","", "v")</f>
        <v/>
      </c>
      <c r="AB213" s="158" t="str">
        <f>IF(AWS_2[[#This Row],[Column8]]="x","1",(IF(OR(AWS_2[[#This Row],[Column25]]=2,AWS_2[[#This Row],[Column26]]=2,AWS_2[[#This Row],[Column27]]=2),"1",(IF(AWS_2[[#This Row],[Column9]]="x","2",(IF(AWS_2[[#This Row],[Column10]]="x","3","")))))))</f>
        <v>2</v>
      </c>
      <c r="AC213" s="454" t="str">
        <f>IF(AWS_2[[#This Row],[Column14]] = "-", AWS_2[[#This Row],[Column14]], LEFT(AWS_2[[#This Row],[Column14]], SEARCH(" ", AWS_2[[#This Row],[Column14]] &amp; " ") - 1))</f>
        <v>-</v>
      </c>
    </row>
    <row r="214" spans="1:29" ht="60">
      <c r="A21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4" s="137" t="str">
        <f>AWS_2[[#This Row],[Column30]]</f>
        <v>-</v>
      </c>
      <c r="C214" s="137">
        <v>17.5</v>
      </c>
      <c r="D214" s="138" t="s">
        <v>781</v>
      </c>
      <c r="E214" s="162" t="s">
        <v>157</v>
      </c>
      <c r="F214" s="489" t="s">
        <v>2238</v>
      </c>
      <c r="G214" s="139" t="s">
        <v>869</v>
      </c>
      <c r="H214" s="204"/>
      <c r="I214" s="164" t="s">
        <v>185</v>
      </c>
      <c r="J214" s="200" t="s">
        <v>185</v>
      </c>
      <c r="K214" s="176" t="s">
        <v>185</v>
      </c>
      <c r="L214" s="176" t="s">
        <v>185</v>
      </c>
      <c r="M214" s="176" t="s">
        <v>185</v>
      </c>
      <c r="N214" s="165" t="s">
        <v>162</v>
      </c>
      <c r="O214" s="165" t="s">
        <v>162</v>
      </c>
      <c r="P214" s="165" t="s">
        <v>162</v>
      </c>
      <c r="Q214" s="165" t="s">
        <v>162</v>
      </c>
      <c r="R214" s="167"/>
      <c r="S214" s="165" t="s">
        <v>162</v>
      </c>
      <c r="T214" s="165" t="s">
        <v>162</v>
      </c>
      <c r="U214" s="158" t="s">
        <v>162</v>
      </c>
      <c r="V214" s="168"/>
      <c r="W214" s="158" t="s">
        <v>966</v>
      </c>
      <c r="X214" s="158" t="s">
        <v>185</v>
      </c>
      <c r="Y214" s="158"/>
      <c r="Z214" s="158" t="s">
        <v>185</v>
      </c>
      <c r="AA214" s="158" t="str">
        <f>IF(AWS_2[[#This Row],[Column14]]="-","", "v")</f>
        <v/>
      </c>
      <c r="AB214" s="158" t="str">
        <f>IF(AWS_2[[#This Row],[Column8]]="x","1",(IF(OR(AWS_2[[#This Row],[Column25]]=2,AWS_2[[#This Row],[Column26]]=2,AWS_2[[#This Row],[Column27]]=2),"1",(IF(AWS_2[[#This Row],[Column9]]="x","2",(IF(AWS_2[[#This Row],[Column10]]="x","3","")))))))</f>
        <v>2</v>
      </c>
      <c r="AC214" s="454" t="str">
        <f>IF(AWS_2[[#This Row],[Column14]] = "-", AWS_2[[#This Row],[Column14]], LEFT(AWS_2[[#This Row],[Column14]], SEARCH(" ", AWS_2[[#This Row],[Column14]] &amp; " ") - 1))</f>
        <v>-</v>
      </c>
    </row>
    <row r="215" spans="1:29" ht="270.75">
      <c r="A215"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NOT(ISBLANK(M215)),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5" s="137" t="str">
        <f>AWS_2[[#This Row],[Column30]]</f>
        <v>1.2</v>
      </c>
      <c r="C215" s="137">
        <v>17.600000000000001</v>
      </c>
      <c r="D215" s="138" t="s">
        <v>781</v>
      </c>
      <c r="E215" s="162" t="s">
        <v>157</v>
      </c>
      <c r="F215" s="489" t="s">
        <v>2239</v>
      </c>
      <c r="G215" s="138" t="s">
        <v>871</v>
      </c>
      <c r="H215" s="204"/>
      <c r="I215" s="164" t="s">
        <v>185</v>
      </c>
      <c r="J215" s="200" t="s">
        <v>185</v>
      </c>
      <c r="K215" s="176" t="s">
        <v>185</v>
      </c>
      <c r="L215" s="176" t="s">
        <v>185</v>
      </c>
      <c r="M215" s="176" t="s">
        <v>185</v>
      </c>
      <c r="N215" s="165" t="s">
        <v>853</v>
      </c>
      <c r="O215" s="197" t="s">
        <v>198</v>
      </c>
      <c r="P215" s="166" t="s">
        <v>854</v>
      </c>
      <c r="Q215" s="166" t="s">
        <v>855</v>
      </c>
      <c r="R215" s="167" t="s">
        <v>856</v>
      </c>
      <c r="S215" s="166" t="s">
        <v>857</v>
      </c>
      <c r="T215" s="166" t="s">
        <v>162</v>
      </c>
      <c r="U215" s="158" t="s">
        <v>975</v>
      </c>
      <c r="V215" s="168" t="s">
        <v>924</v>
      </c>
      <c r="W215" s="158" t="s">
        <v>967</v>
      </c>
      <c r="X215" s="158" t="s">
        <v>185</v>
      </c>
      <c r="Y215" s="158"/>
      <c r="Z215" s="158" t="s">
        <v>185</v>
      </c>
      <c r="AA215" s="158" t="str">
        <f>IF(AWS_2[[#This Row],[Column14]]="-","", "v")</f>
        <v>v</v>
      </c>
      <c r="AB215" s="158" t="str">
        <f>IF(AWS_2[[#This Row],[Column8]]="x","1",(IF(OR(AWS_2[[#This Row],[Column25]]=2,AWS_2[[#This Row],[Column26]]=2,AWS_2[[#This Row],[Column27]]=2),"1",(IF(AWS_2[[#This Row],[Column9]]="x","2",(IF(AWS_2[[#This Row],[Column10]]="x","3","")))))))</f>
        <v>2</v>
      </c>
      <c r="AC215" s="454" t="str">
        <f>IF(AWS_2[[#This Row],[Column14]] = "-", AWS_2[[#This Row],[Column14]], LEFT(AWS_2[[#This Row],[Column14]], SEARCH(" ", AWS_2[[#This Row],[Column14]] &amp; " ") - 1))</f>
        <v>1.2</v>
      </c>
    </row>
    <row r="216" spans="1:29" ht="60">
      <c r="A216"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NOT(ISBLANK(M216)),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6" s="137" t="str">
        <f>AWS_2[[#This Row],[Column30]]</f>
        <v>-</v>
      </c>
      <c r="C216" s="137">
        <v>17.7</v>
      </c>
      <c r="D216" s="138" t="s">
        <v>781</v>
      </c>
      <c r="E216" s="169" t="s">
        <v>158</v>
      </c>
      <c r="F216" s="489" t="s">
        <v>2240</v>
      </c>
      <c r="G216" s="138" t="s">
        <v>873</v>
      </c>
      <c r="H216" s="204"/>
      <c r="I216" s="164" t="s">
        <v>185</v>
      </c>
      <c r="J216" s="200" t="s">
        <v>185</v>
      </c>
      <c r="K216" s="176" t="s">
        <v>185</v>
      </c>
      <c r="L216" s="176" t="s">
        <v>185</v>
      </c>
      <c r="M216" s="176" t="s">
        <v>185</v>
      </c>
      <c r="N216" s="165" t="s">
        <v>162</v>
      </c>
      <c r="O216" s="165" t="s">
        <v>162</v>
      </c>
      <c r="P216" s="165" t="s">
        <v>162</v>
      </c>
      <c r="Q216" s="165" t="s">
        <v>162</v>
      </c>
      <c r="R216" s="167"/>
      <c r="S216" s="165" t="s">
        <v>162</v>
      </c>
      <c r="T216" s="165" t="s">
        <v>162</v>
      </c>
      <c r="U216" s="158" t="s">
        <v>162</v>
      </c>
      <c r="V216" s="168"/>
      <c r="W216" s="158" t="s">
        <v>966</v>
      </c>
      <c r="X216" s="158" t="s">
        <v>185</v>
      </c>
      <c r="Y216" s="158"/>
      <c r="Z216" s="158" t="s">
        <v>185</v>
      </c>
      <c r="AA216" s="158" t="str">
        <f>IF(AWS_2[[#This Row],[Column14]]="-","", "v")</f>
        <v/>
      </c>
      <c r="AB216" s="158" t="str">
        <f>IF(AWS_2[[#This Row],[Column8]]="x","1",(IF(OR(AWS_2[[#This Row],[Column25]]=2,AWS_2[[#This Row],[Column26]]=2,AWS_2[[#This Row],[Column27]]=2),"1",(IF(AWS_2[[#This Row],[Column9]]="x","2",(IF(AWS_2[[#This Row],[Column10]]="x","3","")))))))</f>
        <v>2</v>
      </c>
      <c r="AC216" s="454" t="str">
        <f>IF(AWS_2[[#This Row],[Column14]] = "-", AWS_2[[#This Row],[Column14]], LEFT(AWS_2[[#This Row],[Column14]], SEARCH(" ", AWS_2[[#This Row],[Column14]] &amp; " ") - 1))</f>
        <v>-</v>
      </c>
    </row>
    <row r="217" spans="1:29" ht="30">
      <c r="A217"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NOT(ISBLANK(M217)),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7" s="137" t="str">
        <f>AWS_2[[#This Row],[Column30]]</f>
        <v>-</v>
      </c>
      <c r="C217" s="137">
        <v>17.8</v>
      </c>
      <c r="D217" s="138" t="s">
        <v>781</v>
      </c>
      <c r="E217" s="169" t="s">
        <v>158</v>
      </c>
      <c r="F217" s="489" t="s">
        <v>2241</v>
      </c>
      <c r="G217" s="138" t="s">
        <v>875</v>
      </c>
      <c r="H217" s="204"/>
      <c r="I217" s="164" t="s">
        <v>185</v>
      </c>
      <c r="J217" s="200" t="s">
        <v>185</v>
      </c>
      <c r="K217" s="176" t="s">
        <v>185</v>
      </c>
      <c r="L217" s="176" t="s">
        <v>185</v>
      </c>
      <c r="M217" s="176" t="s">
        <v>185</v>
      </c>
      <c r="N217" s="165" t="s">
        <v>162</v>
      </c>
      <c r="O217" s="165" t="s">
        <v>162</v>
      </c>
      <c r="P217" s="165" t="s">
        <v>162</v>
      </c>
      <c r="Q217" s="165" t="s">
        <v>162</v>
      </c>
      <c r="R217" s="167"/>
      <c r="S217" s="165" t="s">
        <v>162</v>
      </c>
      <c r="T217" s="165" t="s">
        <v>162</v>
      </c>
      <c r="U217" s="158" t="s">
        <v>162</v>
      </c>
      <c r="V217" s="168"/>
      <c r="W217" s="158" t="s">
        <v>966</v>
      </c>
      <c r="X217" s="158" t="s">
        <v>185</v>
      </c>
      <c r="Y217" s="158"/>
      <c r="Z217" s="158" t="s">
        <v>185</v>
      </c>
      <c r="AA217" s="158" t="str">
        <f>IF(AWS_2[[#This Row],[Column14]]="-","", "v")</f>
        <v/>
      </c>
      <c r="AB217" s="158" t="str">
        <f>IF(AWS_2[[#This Row],[Column8]]="x","1",(IF(OR(AWS_2[[#This Row],[Column25]]=2,AWS_2[[#This Row],[Column26]]=2,AWS_2[[#This Row],[Column27]]=2),"1",(IF(AWS_2[[#This Row],[Column9]]="x","2",(IF(AWS_2[[#This Row],[Column10]]="x","3","")))))))</f>
        <v>2</v>
      </c>
      <c r="AC217" s="454" t="str">
        <f>IF(AWS_2[[#This Row],[Column14]] = "-", AWS_2[[#This Row],[Column14]], LEFT(AWS_2[[#This Row],[Column14]], SEARCH(" ", AWS_2[[#This Row],[Column14]] &amp; " ") - 1))</f>
        <v>-</v>
      </c>
    </row>
    <row r="218" spans="1:29" ht="75">
      <c r="A218"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NOT(ISBLANK(M218)),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18" s="137" t="str">
        <f>AWS_2[[#This Row],[Column30]]</f>
        <v>-</v>
      </c>
      <c r="C218" s="137">
        <v>17.899999999999999</v>
      </c>
      <c r="D218" s="138" t="s">
        <v>781</v>
      </c>
      <c r="E218" s="169" t="s">
        <v>158</v>
      </c>
      <c r="F218" s="489" t="s">
        <v>2242</v>
      </c>
      <c r="G218" s="139" t="s">
        <v>877</v>
      </c>
      <c r="H218" s="204"/>
      <c r="I218" s="204"/>
      <c r="J218" s="200" t="s">
        <v>185</v>
      </c>
      <c r="K218" s="176" t="s">
        <v>185</v>
      </c>
      <c r="L218" s="176" t="s">
        <v>185</v>
      </c>
      <c r="M218" s="176" t="s">
        <v>185</v>
      </c>
      <c r="N218" s="165" t="s">
        <v>162</v>
      </c>
      <c r="O218" s="165" t="s">
        <v>162</v>
      </c>
      <c r="P218" s="165" t="s">
        <v>162</v>
      </c>
      <c r="Q218" s="165" t="s">
        <v>162</v>
      </c>
      <c r="R218" s="167"/>
      <c r="S218" s="165" t="s">
        <v>162</v>
      </c>
      <c r="T218" s="165" t="s">
        <v>162</v>
      </c>
      <c r="U218" s="158" t="s">
        <v>162</v>
      </c>
      <c r="V218" s="168"/>
      <c r="W218" s="158" t="s">
        <v>966</v>
      </c>
      <c r="X218" s="158" t="s">
        <v>185</v>
      </c>
      <c r="Y218" s="158"/>
      <c r="Z218" s="158" t="s">
        <v>185</v>
      </c>
      <c r="AA218" s="158" t="str">
        <f>IF(AWS_2[[#This Row],[Column14]]="-","", "v")</f>
        <v/>
      </c>
      <c r="AB218" s="158" t="str">
        <f>IF(AWS_2[[#This Row],[Column8]]="x","1",(IF(OR(AWS_2[[#This Row],[Column25]]=2,AWS_2[[#This Row],[Column26]]=2,AWS_2[[#This Row],[Column27]]=2),"1",(IF(AWS_2[[#This Row],[Column9]]="x","2",(IF(AWS_2[[#This Row],[Column10]]="x","3","")))))))</f>
        <v>3</v>
      </c>
      <c r="AC218" s="454" t="str">
        <f>IF(AWS_2[[#This Row],[Column14]] = "-", AWS_2[[#This Row],[Column14]], LEFT(AWS_2[[#This Row],[Column14]], SEARCH(" ", AWS_2[[#This Row],[Column14]] &amp; " ") - 1))</f>
        <v>-</v>
      </c>
    </row>
    <row r="219" spans="1:29" ht="45">
      <c r="A219" s="178" t="s">
        <v>942</v>
      </c>
      <c r="B219" s="154" t="s">
        <v>162</v>
      </c>
      <c r="C219" s="154" t="s">
        <v>162</v>
      </c>
      <c r="D219" s="154" t="s">
        <v>162</v>
      </c>
      <c r="E219" s="154" t="s">
        <v>162</v>
      </c>
      <c r="F219" s="488" t="s">
        <v>2243</v>
      </c>
      <c r="G219" s="157" t="s">
        <v>879</v>
      </c>
      <c r="H219" s="154"/>
      <c r="I219" s="154"/>
      <c r="J219" s="154"/>
      <c r="K219" s="161"/>
      <c r="L219" s="161"/>
      <c r="M219" s="161"/>
      <c r="N219" s="154" t="s">
        <v>162</v>
      </c>
      <c r="O219" s="154" t="s">
        <v>162</v>
      </c>
      <c r="P219" s="154" t="s">
        <v>162</v>
      </c>
      <c r="Q219" s="154" t="s">
        <v>162</v>
      </c>
      <c r="R219" s="167"/>
      <c r="S219" s="154" t="s">
        <v>162</v>
      </c>
      <c r="T219" s="154" t="s">
        <v>162</v>
      </c>
      <c r="U219" s="245" t="s">
        <v>162</v>
      </c>
      <c r="V219" s="245" t="s">
        <v>162</v>
      </c>
      <c r="W219" s="245" t="s">
        <v>162</v>
      </c>
      <c r="X219" s="245" t="s">
        <v>162</v>
      </c>
      <c r="Y219" s="245" t="s">
        <v>162</v>
      </c>
      <c r="Z219" s="245" t="s">
        <v>162</v>
      </c>
      <c r="AA219" s="154" t="s">
        <v>162</v>
      </c>
      <c r="AB219" s="154" t="s">
        <v>162</v>
      </c>
      <c r="AC219" s="454" t="str">
        <f>IF(AWS_2[[#This Row],[Column14]] = "-", AWS_2[[#This Row],[Column14]], LEFT(AWS_2[[#This Row],[Column14]], SEARCH(" ", AWS_2[[#This Row],[Column14]] &amp; " ") - 1))</f>
        <v>-</v>
      </c>
    </row>
    <row r="220" spans="1:29" ht="105">
      <c r="A220"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NOT(ISBLANK(M220)),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20" s="137" t="str">
        <f>AWS_2[[#This Row],[Column30]]</f>
        <v>-</v>
      </c>
      <c r="C220" s="137">
        <v>18.100000000000001</v>
      </c>
      <c r="D220" s="138" t="s">
        <v>781</v>
      </c>
      <c r="E220" s="162" t="s">
        <v>154</v>
      </c>
      <c r="F220" s="489" t="s">
        <v>2244</v>
      </c>
      <c r="G220" s="138" t="s">
        <v>881</v>
      </c>
      <c r="H220" s="137"/>
      <c r="I220" s="164" t="s">
        <v>185</v>
      </c>
      <c r="J220" s="200" t="s">
        <v>185</v>
      </c>
      <c r="K220" s="176" t="s">
        <v>185</v>
      </c>
      <c r="L220" s="176" t="s">
        <v>185</v>
      </c>
      <c r="M220" s="176" t="s">
        <v>185</v>
      </c>
      <c r="N220" s="165" t="s">
        <v>162</v>
      </c>
      <c r="O220" s="165" t="s">
        <v>162</v>
      </c>
      <c r="P220" s="165" t="s">
        <v>162</v>
      </c>
      <c r="Q220" s="165" t="s">
        <v>162</v>
      </c>
      <c r="R220" s="167"/>
      <c r="S220" s="165" t="s">
        <v>162</v>
      </c>
      <c r="T220" s="165" t="s">
        <v>162</v>
      </c>
      <c r="U220" s="158" t="s">
        <v>162</v>
      </c>
      <c r="V220" s="168"/>
      <c r="W220" s="158" t="s">
        <v>966</v>
      </c>
      <c r="X220" s="158" t="s">
        <v>185</v>
      </c>
      <c r="Y220" s="158" t="s">
        <v>185</v>
      </c>
      <c r="Z220" s="158"/>
      <c r="AA220" s="158" t="str">
        <f>IF(AWS_2[[#This Row],[Column14]]="-","", "v")</f>
        <v/>
      </c>
      <c r="AB220" s="158" t="str">
        <f>IF(AWS_2[[#This Row],[Column8]]="x","1",(IF(OR(AWS_2[[#This Row],[Column25]]=2,AWS_2[[#This Row],[Column26]]=2,AWS_2[[#This Row],[Column27]]=2),"1",(IF(AWS_2[[#This Row],[Column9]]="x","2",(IF(AWS_2[[#This Row],[Column10]]="x","3","")))))))</f>
        <v>2</v>
      </c>
      <c r="AC220" s="454" t="str">
        <f>IF(AWS_2[[#This Row],[Column14]] = "-", AWS_2[[#This Row],[Column14]], LEFT(AWS_2[[#This Row],[Column14]], SEARCH(" ", AWS_2[[#This Row],[Column14]] &amp; " ") - 1))</f>
        <v>-</v>
      </c>
    </row>
    <row r="221" spans="1:29" ht="75">
      <c r="A221"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NOT(ISBLANK(M221)),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21" s="137" t="str">
        <f>AWS_2[[#This Row],[Column30]]</f>
        <v>-</v>
      </c>
      <c r="C221" s="137">
        <v>18.2</v>
      </c>
      <c r="D221" s="138" t="s">
        <v>390</v>
      </c>
      <c r="E221" s="162" t="s">
        <v>154</v>
      </c>
      <c r="F221" s="489" t="s">
        <v>2245</v>
      </c>
      <c r="G221" s="138" t="s">
        <v>883</v>
      </c>
      <c r="H221" s="137"/>
      <c r="I221" s="164" t="s">
        <v>185</v>
      </c>
      <c r="J221" s="200" t="s">
        <v>185</v>
      </c>
      <c r="K221" s="176" t="s">
        <v>185</v>
      </c>
      <c r="L221" s="176" t="s">
        <v>185</v>
      </c>
      <c r="M221" s="176" t="s">
        <v>185</v>
      </c>
      <c r="N221" s="165" t="s">
        <v>162</v>
      </c>
      <c r="O221" s="165" t="s">
        <v>162</v>
      </c>
      <c r="P221" s="165" t="s">
        <v>162</v>
      </c>
      <c r="Q221" s="165" t="s">
        <v>162</v>
      </c>
      <c r="R221" s="167"/>
      <c r="S221" s="165" t="s">
        <v>162</v>
      </c>
      <c r="T221" s="165" t="s">
        <v>162</v>
      </c>
      <c r="U221" s="158" t="s">
        <v>162</v>
      </c>
      <c r="V221" s="168"/>
      <c r="W221" s="158" t="s">
        <v>966</v>
      </c>
      <c r="X221" s="158" t="s">
        <v>185</v>
      </c>
      <c r="Y221" s="158" t="s">
        <v>185</v>
      </c>
      <c r="Z221" s="158"/>
      <c r="AA221" s="158" t="str">
        <f>IF(AWS_2[[#This Row],[Column14]]="-","", "v")</f>
        <v/>
      </c>
      <c r="AB221" s="158" t="str">
        <f>IF(AWS_2[[#This Row],[Column8]]="x","1",(IF(OR(AWS_2[[#This Row],[Column25]]=2,AWS_2[[#This Row],[Column26]]=2,AWS_2[[#This Row],[Column27]]=2),"1",(IF(AWS_2[[#This Row],[Column9]]="x","2",(IF(AWS_2[[#This Row],[Column10]]="x","3","")))))))</f>
        <v>2</v>
      </c>
      <c r="AC221" s="454" t="str">
        <f>IF(AWS_2[[#This Row],[Column14]] = "-", AWS_2[[#This Row],[Column14]], LEFT(AWS_2[[#This Row],[Column14]], SEARCH(" ", AWS_2[[#This Row],[Column14]] &amp; " ") - 1))</f>
        <v>-</v>
      </c>
    </row>
    <row r="222" spans="1:29" ht="30">
      <c r="A222"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NOT(ISBLANK(M222)),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Yes</v>
      </c>
      <c r="B222" s="137" t="str">
        <f>AWS_2[[#This Row],[Column30]]</f>
        <v>-</v>
      </c>
      <c r="C222" s="137">
        <v>18.3</v>
      </c>
      <c r="D222" s="138" t="s">
        <v>390</v>
      </c>
      <c r="E222" s="162" t="s">
        <v>156</v>
      </c>
      <c r="F222" s="489" t="s">
        <v>2246</v>
      </c>
      <c r="G222" s="138" t="s">
        <v>885</v>
      </c>
      <c r="H222" s="137"/>
      <c r="I222" s="164" t="s">
        <v>185</v>
      </c>
      <c r="J222" s="200" t="s">
        <v>185</v>
      </c>
      <c r="K222" s="176" t="s">
        <v>185</v>
      </c>
      <c r="L222" s="176" t="s">
        <v>185</v>
      </c>
      <c r="M222" s="176" t="s">
        <v>185</v>
      </c>
      <c r="N222" s="165" t="s">
        <v>162</v>
      </c>
      <c r="O222" s="165" t="s">
        <v>162</v>
      </c>
      <c r="P222" s="165" t="s">
        <v>162</v>
      </c>
      <c r="Q222" s="165" t="s">
        <v>162</v>
      </c>
      <c r="R222" s="167"/>
      <c r="S222" s="165" t="s">
        <v>162</v>
      </c>
      <c r="T222" s="165" t="s">
        <v>162</v>
      </c>
      <c r="U222" s="158" t="s">
        <v>162</v>
      </c>
      <c r="V222" s="168"/>
      <c r="W222" s="158" t="s">
        <v>966</v>
      </c>
      <c r="X222" s="158" t="s">
        <v>185</v>
      </c>
      <c r="Y222" s="158" t="s">
        <v>185</v>
      </c>
      <c r="Z222" s="158"/>
      <c r="AA222" s="158" t="str">
        <f>IF(AWS_2[[#This Row],[Column14]]="-","", "v")</f>
        <v/>
      </c>
      <c r="AB222" s="158" t="str">
        <f>IF(AWS_2[[#This Row],[Column8]]="x","1",(IF(OR(AWS_2[[#This Row],[Column25]]=2,AWS_2[[#This Row],[Column26]]=2,AWS_2[[#This Row],[Column27]]=2),"1",(IF(AWS_2[[#This Row],[Column9]]="x","2",(IF(AWS_2[[#This Row],[Column10]]="x","3","")))))))</f>
        <v>2</v>
      </c>
      <c r="AC222" s="454" t="str">
        <f>IF(AWS_2[[#This Row],[Column14]] = "-", AWS_2[[#This Row],[Column14]], LEFT(AWS_2[[#This Row],[Column14]], SEARCH(" ", AWS_2[[#This Row],[Column14]] &amp; " ") - 1))</f>
        <v>-</v>
      </c>
    </row>
    <row r="223" spans="1:29" ht="30">
      <c r="A223"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NOT(ISBLANK(M223)),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223" s="137" t="str">
        <f>AWS_2[[#This Row],[Column30]]</f>
        <v>-</v>
      </c>
      <c r="C223" s="137">
        <v>18.399999999999999</v>
      </c>
      <c r="D223" s="138" t="s">
        <v>390</v>
      </c>
      <c r="E223" s="162" t="s">
        <v>156</v>
      </c>
      <c r="F223" s="489" t="s">
        <v>2247</v>
      </c>
      <c r="G223" s="138" t="s">
        <v>887</v>
      </c>
      <c r="H223" s="204"/>
      <c r="I223" s="204"/>
      <c r="J223" s="200" t="s">
        <v>185</v>
      </c>
      <c r="K223" s="176" t="s">
        <v>185</v>
      </c>
      <c r="L223" s="176" t="s">
        <v>185</v>
      </c>
      <c r="M223" s="176" t="s">
        <v>185</v>
      </c>
      <c r="N223" s="165" t="s">
        <v>162</v>
      </c>
      <c r="O223" s="165" t="s">
        <v>162</v>
      </c>
      <c r="P223" s="165" t="s">
        <v>162</v>
      </c>
      <c r="Q223" s="165" t="s">
        <v>162</v>
      </c>
      <c r="R223" s="167"/>
      <c r="S223" s="165" t="s">
        <v>162</v>
      </c>
      <c r="T223" s="165" t="s">
        <v>162</v>
      </c>
      <c r="U223" s="158" t="s">
        <v>162</v>
      </c>
      <c r="V223" s="168"/>
      <c r="W223" s="158" t="s">
        <v>966</v>
      </c>
      <c r="X223" s="158" t="s">
        <v>185</v>
      </c>
      <c r="Y223" s="158" t="s">
        <v>185</v>
      </c>
      <c r="Z223" s="158"/>
      <c r="AA223" s="158" t="str">
        <f>IF(AWS_2[[#This Row],[Column14]]="-","", "v")</f>
        <v/>
      </c>
      <c r="AB223" s="158" t="str">
        <f>IF(AWS_2[[#This Row],[Column8]]="x","1",(IF(OR(AWS_2[[#This Row],[Column25]]=2,AWS_2[[#This Row],[Column26]]=2,AWS_2[[#This Row],[Column27]]=2),"1",(IF(AWS_2[[#This Row],[Column9]]="x","2",(IF(AWS_2[[#This Row],[Column10]]="x","3","")))))))</f>
        <v>3</v>
      </c>
      <c r="AC223" s="454" t="str">
        <f>IF(AWS_2[[#This Row],[Column14]] = "-", AWS_2[[#This Row],[Column14]], LEFT(AWS_2[[#This Row],[Column14]], SEARCH(" ", AWS_2[[#This Row],[Column14]] &amp; " ") - 1))</f>
        <v>-</v>
      </c>
    </row>
    <row r="224" spans="1:29" ht="30">
      <c r="A224" s="168" t="str">
        <f>IF(
    AND(
        חישובים!$C$2 = חישובים!$A$2,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$K$2 = חישובים!$C$2, NOT(ISBLANK(K224)),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$L$2 = חישובים!$C$2, NOT(ISBLANK(L224)),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IF(
                AND(
                    $M$2 = חישובים!$C$2, NOT(ISBLANK(M224)),
                    OR(
                        AND(NOT(ISBLANK(AWS_2[[#This Row],[Column25]])), ('חישובים ונתונים'!$R$42 &gt;= _xlfn.NUMBERVALUE(AWS_2[[#This Row],[Column29]]))),
                        AND(NOT(ISBLANK(AWS_2[[#This Row],[Column26]])), ('חישובים ונתונים'!$R$43 &gt;= _xlfn.NUMBERVALUE(AWS_2[[#This Row],[Column29]]))),
                        AND(NOT(ISBLANK(AWS_2[[#This Row],[Column27]])), ('חישובים ונתונים'!$R$44 &gt;= _xlfn.NUMBERVALUE(AWS_2[[#This Row],[Column29]])))
                    )
                ),
                "Yes",
                "No"
            )
        )
    )
)</f>
        <v>No</v>
      </c>
      <c r="B224" s="137" t="str">
        <f>AWS_2[[#This Row],[Column30]]</f>
        <v>-</v>
      </c>
      <c r="C224" s="170">
        <v>18.5</v>
      </c>
      <c r="D224" s="171" t="s">
        <v>781</v>
      </c>
      <c r="E224" s="172" t="s">
        <v>154</v>
      </c>
      <c r="F224" s="489" t="s">
        <v>2248</v>
      </c>
      <c r="G224" s="171" t="s">
        <v>889</v>
      </c>
      <c r="H224" s="170"/>
      <c r="I224" s="170"/>
      <c r="J224" s="202" t="s">
        <v>185</v>
      </c>
      <c r="K224" s="177" t="s">
        <v>185</v>
      </c>
      <c r="L224" s="177" t="s">
        <v>185</v>
      </c>
      <c r="M224" s="177" t="s">
        <v>185</v>
      </c>
      <c r="N224" s="165" t="s">
        <v>162</v>
      </c>
      <c r="O224" s="165" t="s">
        <v>162</v>
      </c>
      <c r="P224" s="165" t="s">
        <v>162</v>
      </c>
      <c r="Q224" s="165" t="s">
        <v>162</v>
      </c>
      <c r="R224" s="167"/>
      <c r="S224" s="165" t="s">
        <v>162</v>
      </c>
      <c r="T224" s="165" t="s">
        <v>162</v>
      </c>
      <c r="U224" s="158" t="s">
        <v>162</v>
      </c>
      <c r="V224" s="174"/>
      <c r="W224" s="173" t="s">
        <v>966</v>
      </c>
      <c r="X224" s="173" t="s">
        <v>185</v>
      </c>
      <c r="Y224" s="173" t="s">
        <v>185</v>
      </c>
      <c r="Z224" s="173"/>
      <c r="AA224" s="158" t="str">
        <f>IF(AWS_2[[#This Row],[Column14]]="-","", "v")</f>
        <v/>
      </c>
      <c r="AB224" s="173" t="str">
        <f>IF(AWS_2[[#This Row],[Column8]]="x","1",(IF(OR(AWS_2[[#This Row],[Column25]]=2,AWS_2[[#This Row],[Column26]]=2,AWS_2[[#This Row],[Column27]]=2),"1",(IF(AWS_2[[#This Row],[Column9]]="x","2",(IF(AWS_2[[#This Row],[Column10]]="x","3","")))))))</f>
        <v>3</v>
      </c>
      <c r="AC224" s="455" t="str">
        <f>IF(AWS_2[[#This Row],[Column14]] = "-", AWS_2[[#This Row],[Column14]], LEFT(AWS_2[[#This Row],[Column14]], SEARCH(" ", AWS_2[[#This Row],[Column14]] &amp; " ") - 1))</f>
        <v>-</v>
      </c>
    </row>
  </sheetData>
  <conditionalFormatting sqref="E4:E8 E10:E16 E49:E60 E88:E94">
    <cfRule type="containsText" dxfId="231" priority="31" operator="containsText" text="Protect">
      <formula>NOT(ISERROR(SEARCH("Protect",E4)))</formula>
    </cfRule>
    <cfRule type="containsText" dxfId="230" priority="32" operator="containsText" text="Respond">
      <formula>NOT(ISERROR(SEARCH("Respond",E4)))</formula>
    </cfRule>
    <cfRule type="containsText" dxfId="229" priority="33" operator="containsText" text="Detect">
      <formula>NOT(ISERROR(SEARCH("Detect",E4)))</formula>
    </cfRule>
    <cfRule type="containsText" dxfId="228" priority="34" operator="containsText" text="Identify">
      <formula>NOT(ISERROR(SEARCH("Identify",E4)))</formula>
    </cfRule>
    <cfRule type="containsText" dxfId="227" priority="35" operator="containsText" text="Identity">
      <formula>NOT(ISERROR(SEARCH("Identity",E4)))</formula>
    </cfRule>
  </conditionalFormatting>
  <conditionalFormatting sqref="E18:E47">
    <cfRule type="containsText" dxfId="226" priority="24" operator="containsText" text="Identify">
      <formula>NOT(ISERROR(SEARCH("Identify",E18)))</formula>
    </cfRule>
    <cfRule type="containsText" dxfId="225" priority="21" operator="containsText" text="Protect">
      <formula>NOT(ISERROR(SEARCH("Protect",E18)))</formula>
    </cfRule>
    <cfRule type="containsText" dxfId="224" priority="22" operator="containsText" text="Respond">
      <formula>NOT(ISERROR(SEARCH("Respond",E18)))</formula>
    </cfRule>
    <cfRule type="containsText" dxfId="223" priority="23" operator="containsText" text="Detect">
      <formula>NOT(ISERROR(SEARCH("Detect",E18)))</formula>
    </cfRule>
    <cfRule type="containsText" dxfId="222" priority="25" operator="containsText" text="Identity">
      <formula>NOT(ISERROR(SEARCH("Identity",E18)))</formula>
    </cfRule>
  </conditionalFormatting>
  <conditionalFormatting sqref="E62:E74">
    <cfRule type="containsText" dxfId="221" priority="1" operator="containsText" text="Protect">
      <formula>NOT(ISERROR(SEARCH("Protect",E62)))</formula>
    </cfRule>
    <cfRule type="containsText" dxfId="220" priority="2" operator="containsText" text="Respond">
      <formula>NOT(ISERROR(SEARCH("Respond",E62)))</formula>
    </cfRule>
    <cfRule type="containsText" dxfId="219" priority="3" operator="containsText" text="Detect">
      <formula>NOT(ISERROR(SEARCH("Detect",E62)))</formula>
    </cfRule>
    <cfRule type="containsText" dxfId="218" priority="4" operator="containsText" text="Identify">
      <formula>NOT(ISERROR(SEARCH("Identify",E62)))</formula>
    </cfRule>
    <cfRule type="containsText" dxfId="217" priority="5" operator="containsText" text="Identity">
      <formula>NOT(ISERROR(SEARCH("Identity",E62)))</formula>
    </cfRule>
  </conditionalFormatting>
  <conditionalFormatting sqref="E76:E86 E96:E128 E130:E136 E138:E144 E152:E159 E161:E173 E175:E183 E185:E191 E193:E206 E220:E224">
    <cfRule type="containsText" dxfId="216" priority="41" operator="containsText" text="Protect">
      <formula>NOT(ISERROR(SEARCH("Protect",E76)))</formula>
    </cfRule>
    <cfRule type="containsText" dxfId="215" priority="42" operator="containsText" text="Respond">
      <formula>NOT(ISERROR(SEARCH("Respond",E76)))</formula>
    </cfRule>
    <cfRule type="containsText" dxfId="214" priority="43" operator="containsText" text="Detect">
      <formula>NOT(ISERROR(SEARCH("Detect",E76)))</formula>
    </cfRule>
    <cfRule type="containsText" dxfId="213" priority="44" operator="containsText" text="Identify">
      <formula>NOT(ISERROR(SEARCH("Identify",E76)))</formula>
    </cfRule>
    <cfRule type="containsText" dxfId="212" priority="45" operator="containsText" text="Identity">
      <formula>NOT(ISERROR(SEARCH("Identity",E76)))</formula>
    </cfRule>
  </conditionalFormatting>
  <conditionalFormatting sqref="E146:E150">
    <cfRule type="containsText" dxfId="211" priority="36" operator="containsText" text="Protect">
      <formula>NOT(ISERROR(SEARCH("Protect",E146)))</formula>
    </cfRule>
    <cfRule type="containsText" dxfId="210" priority="37" operator="containsText" text="Respond">
      <formula>NOT(ISERROR(SEARCH("Respond",E146)))</formula>
    </cfRule>
    <cfRule type="containsText" dxfId="209" priority="38" operator="containsText" text="Detect">
      <formula>NOT(ISERROR(SEARCH("Detect",E146)))</formula>
    </cfRule>
    <cfRule type="containsText" dxfId="208" priority="39" operator="containsText" text="Identify">
      <formula>NOT(ISERROR(SEARCH("Identify",E146)))</formula>
    </cfRule>
    <cfRule type="containsText" dxfId="207" priority="40" operator="containsText" text="Identity">
      <formula>NOT(ISERROR(SEARCH("Identity",E146)))</formula>
    </cfRule>
  </conditionalFormatting>
  <conditionalFormatting sqref="E208:E218">
    <cfRule type="containsText" dxfId="206" priority="27" operator="containsText" text="Respond">
      <formula>NOT(ISERROR(SEARCH("Respond",E208)))</formula>
    </cfRule>
    <cfRule type="containsText" dxfId="205" priority="28" operator="containsText" text="Detect">
      <formula>NOT(ISERROR(SEARCH("Detect",E208)))</formula>
    </cfRule>
    <cfRule type="containsText" dxfId="204" priority="29" operator="containsText" text="Identify">
      <formula>NOT(ISERROR(SEARCH("Identify",E208)))</formula>
    </cfRule>
    <cfRule type="containsText" dxfId="203" priority="30" operator="containsText" text="Identity">
      <formula>NOT(ISERROR(SEARCH("Identity",E208)))</formula>
    </cfRule>
    <cfRule type="containsText" dxfId="202" priority="26" operator="containsText" text="Protect">
      <formula>NOT(ISERROR(SEARCH("Protect",E208)))</formula>
    </cfRule>
  </conditionalFormatting>
  <pageMargins left="0.7" right="0.7" top="0.75" bottom="0.75" header="0.3" footer="0.3"/>
  <pageSetup paperSize="9" orientation="portrait"/>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0225D-8C13-470B-B623-F136F424F0AF}">
  <sheetPr codeName="Sheet19"/>
  <dimension ref="A1:AE248"/>
  <sheetViews>
    <sheetView rightToLeft="1" zoomScale="55" zoomScaleNormal="55" workbookViewId="0">
      <pane ySplit="2" topLeftCell="A4" activePane="bottomLeft" state="frozen"/>
      <selection activeCell="A4" sqref="A4"/>
      <selection pane="bottomLeft" activeCell="A4" sqref="A4"/>
    </sheetView>
  </sheetViews>
  <sheetFormatPr defaultColWidth="9.125" defaultRowHeight="14.25"/>
  <cols>
    <col min="1" max="2" width="12.125" style="175" customWidth="1"/>
    <col min="3" max="4" width="13.875" style="175" bestFit="1" customWidth="1"/>
    <col min="5" max="5" width="14.5" style="175" customWidth="1"/>
    <col min="6" max="6" width="26.875" style="175" customWidth="1"/>
    <col min="7" max="7" width="73.5" style="175" customWidth="1"/>
    <col min="8" max="13" width="7.125" style="448" customWidth="1"/>
    <col min="14" max="14" width="13.125" style="458" customWidth="1"/>
    <col min="15" max="15" width="9.5" style="450" customWidth="1"/>
    <col min="16" max="16" width="33" style="451" customWidth="1"/>
    <col min="17" max="17" width="16.125" style="451" customWidth="1"/>
    <col min="18" max="18" width="43.5" style="201" hidden="1" customWidth="1"/>
    <col min="19" max="19" width="39.125" style="451" customWidth="1"/>
    <col min="20" max="20" width="31.875" style="451" customWidth="1"/>
    <col min="21" max="21" width="13.125" style="175" customWidth="1"/>
    <col min="22" max="22" width="13.125" style="450" customWidth="1"/>
    <col min="23" max="23" width="13.125" style="448" customWidth="1"/>
    <col min="24" max="27" width="9.125" style="448" customWidth="1"/>
    <col min="28" max="28" width="7.5" style="448" customWidth="1"/>
    <col min="29" max="16384" width="9.125" style="175"/>
  </cols>
  <sheetData>
    <row r="1" spans="1:31" ht="15" customHeight="1">
      <c r="A1" s="196" t="s">
        <v>938</v>
      </c>
      <c r="B1" s="196" t="s">
        <v>939</v>
      </c>
      <c r="C1" s="196" t="s">
        <v>940</v>
      </c>
      <c r="D1" s="196" t="s">
        <v>941</v>
      </c>
      <c r="E1" s="196" t="s">
        <v>944</v>
      </c>
      <c r="F1" s="196" t="s">
        <v>945</v>
      </c>
      <c r="G1" s="196" t="s">
        <v>946</v>
      </c>
      <c r="H1" s="158" t="s">
        <v>947</v>
      </c>
      <c r="I1" s="158" t="s">
        <v>948</v>
      </c>
      <c r="J1" s="158" t="s">
        <v>949</v>
      </c>
      <c r="K1" s="158" t="s">
        <v>950</v>
      </c>
      <c r="L1" s="158" t="s">
        <v>951</v>
      </c>
      <c r="M1" s="158" t="s">
        <v>952</v>
      </c>
      <c r="N1" s="255" t="s">
        <v>953</v>
      </c>
      <c r="O1" s="212" t="s">
        <v>954</v>
      </c>
      <c r="P1" s="212" t="s">
        <v>955</v>
      </c>
      <c r="Q1" s="212" t="s">
        <v>956</v>
      </c>
      <c r="R1" s="215" t="s">
        <v>957</v>
      </c>
      <c r="S1" s="212" t="s">
        <v>958</v>
      </c>
      <c r="T1" s="212" t="s">
        <v>959</v>
      </c>
      <c r="U1" s="199" t="s">
        <v>960</v>
      </c>
      <c r="V1" s="159" t="s">
        <v>961</v>
      </c>
      <c r="W1" s="160" t="s">
        <v>962</v>
      </c>
      <c r="X1" s="148" t="s">
        <v>963</v>
      </c>
      <c r="Y1" s="148" t="s">
        <v>964</v>
      </c>
      <c r="Z1" s="148" t="s">
        <v>965</v>
      </c>
      <c r="AA1" s="148" t="s">
        <v>970</v>
      </c>
      <c r="AB1" s="148" t="s">
        <v>979</v>
      </c>
      <c r="AC1" s="452" t="s">
        <v>2022</v>
      </c>
    </row>
    <row r="2" spans="1:31" ht="42.75" hidden="1">
      <c r="A2" s="136" t="s">
        <v>942</v>
      </c>
      <c r="B2" s="136" t="s">
        <v>2023</v>
      </c>
      <c r="C2" s="136" t="s">
        <v>169</v>
      </c>
      <c r="D2" s="136" t="s">
        <v>170</v>
      </c>
      <c r="E2" s="136" t="s">
        <v>171</v>
      </c>
      <c r="F2" s="136" t="s">
        <v>172</v>
      </c>
      <c r="G2" s="136" t="s">
        <v>891</v>
      </c>
      <c r="H2" s="136" t="s">
        <v>174</v>
      </c>
      <c r="I2" s="136" t="s">
        <v>175</v>
      </c>
      <c r="J2" s="136" t="s">
        <v>176</v>
      </c>
      <c r="K2" s="136" t="s">
        <v>159</v>
      </c>
      <c r="L2" s="136" t="s">
        <v>160</v>
      </c>
      <c r="M2" s="136" t="s">
        <v>161</v>
      </c>
      <c r="N2" s="256" t="s">
        <v>172</v>
      </c>
      <c r="O2" s="213" t="s">
        <v>177</v>
      </c>
      <c r="P2" s="213" t="s">
        <v>173</v>
      </c>
      <c r="Q2" s="213" t="s">
        <v>178</v>
      </c>
      <c r="R2" s="216" t="s">
        <v>179</v>
      </c>
      <c r="S2" s="213" t="s">
        <v>180</v>
      </c>
      <c r="T2" s="213" t="s">
        <v>181</v>
      </c>
      <c r="U2" s="199" t="s">
        <v>927</v>
      </c>
      <c r="V2" s="159" t="s">
        <v>926</v>
      </c>
      <c r="W2" s="160" t="s">
        <v>1509</v>
      </c>
      <c r="X2" s="181" t="s">
        <v>164</v>
      </c>
      <c r="Y2" s="181" t="s">
        <v>165</v>
      </c>
      <c r="Z2" s="181" t="s">
        <v>166</v>
      </c>
      <c r="AA2" s="203" t="s">
        <v>1510</v>
      </c>
      <c r="AB2" s="181" t="s">
        <v>980</v>
      </c>
      <c r="AC2" s="453"/>
    </row>
    <row r="3" spans="1:31" ht="105" hidden="1">
      <c r="A3" s="217" t="s">
        <v>942</v>
      </c>
      <c r="B3" s="217" t="s">
        <v>162</v>
      </c>
      <c r="C3" s="217" t="s">
        <v>162</v>
      </c>
      <c r="D3" s="217" t="s">
        <v>162</v>
      </c>
      <c r="E3" s="217" t="s">
        <v>162</v>
      </c>
      <c r="F3" s="219" t="s">
        <v>350</v>
      </c>
      <c r="G3" s="220" t="s">
        <v>351</v>
      </c>
      <c r="H3" s="217" t="s">
        <v>162</v>
      </c>
      <c r="I3" s="217" t="s">
        <v>162</v>
      </c>
      <c r="J3" s="217" t="s">
        <v>162</v>
      </c>
      <c r="K3" s="217" t="s">
        <v>162</v>
      </c>
      <c r="L3" s="217" t="s">
        <v>162</v>
      </c>
      <c r="M3" s="217" t="s">
        <v>162</v>
      </c>
      <c r="N3" s="257" t="s">
        <v>162</v>
      </c>
      <c r="O3" s="217" t="s">
        <v>162</v>
      </c>
      <c r="P3" s="217" t="s">
        <v>162</v>
      </c>
      <c r="Q3" s="217" t="s">
        <v>162</v>
      </c>
      <c r="R3" s="154" t="s">
        <v>162</v>
      </c>
      <c r="S3" s="217" t="s">
        <v>162</v>
      </c>
      <c r="T3" s="217" t="s">
        <v>162</v>
      </c>
      <c r="U3" s="217" t="s">
        <v>2027</v>
      </c>
      <c r="V3" s="217" t="s">
        <v>162</v>
      </c>
      <c r="W3" s="217" t="s">
        <v>162</v>
      </c>
      <c r="X3" s="217" t="s">
        <v>162</v>
      </c>
      <c r="Y3" s="217" t="s">
        <v>162</v>
      </c>
      <c r="Z3" s="217" t="s">
        <v>162</v>
      </c>
      <c r="AA3" s="217" t="s">
        <v>162</v>
      </c>
      <c r="AB3" s="217" t="s">
        <v>162</v>
      </c>
      <c r="AC3" s="454" t="s">
        <v>162</v>
      </c>
    </row>
    <row r="4" spans="1:31" ht="285">
      <c r="A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 s="137" t="str">
        <f>GCP[[#This Row],[Column30]]</f>
        <v>2.13</v>
      </c>
      <c r="C4" s="137">
        <v>1.1000000000000001</v>
      </c>
      <c r="D4" s="138" t="s">
        <v>352</v>
      </c>
      <c r="E4" s="162" t="s">
        <v>154</v>
      </c>
      <c r="F4" s="138" t="s">
        <v>353</v>
      </c>
      <c r="G4" s="138" t="s">
        <v>354</v>
      </c>
      <c r="H4" s="163" t="s">
        <v>185</v>
      </c>
      <c r="I4" s="164" t="s">
        <v>185</v>
      </c>
      <c r="J4" s="200" t="s">
        <v>185</v>
      </c>
      <c r="K4" s="176" t="s">
        <v>185</v>
      </c>
      <c r="L4" s="176" t="s">
        <v>185</v>
      </c>
      <c r="M4" s="176"/>
      <c r="N4" s="222" t="s">
        <v>1002</v>
      </c>
      <c r="O4" s="212">
        <v>1</v>
      </c>
      <c r="P4" s="214" t="s">
        <v>1003</v>
      </c>
      <c r="Q4" s="214" t="s">
        <v>1004</v>
      </c>
      <c r="R4" s="451" t="s">
        <v>1005</v>
      </c>
      <c r="S4" s="214" t="s">
        <v>1006</v>
      </c>
      <c r="T4" s="214" t="s">
        <v>1007</v>
      </c>
      <c r="U4" s="158" t="s">
        <v>162</v>
      </c>
      <c r="V4" s="168" t="s">
        <v>899</v>
      </c>
      <c r="W4" s="158" t="s">
        <v>967</v>
      </c>
      <c r="X4" s="158" t="s">
        <v>185</v>
      </c>
      <c r="Y4" s="158"/>
      <c r="Z4" s="158" t="s">
        <v>185</v>
      </c>
      <c r="AA4" s="158" t="str">
        <f>IF(GCP[[#This Row],[Column14]]="-","", "v")</f>
        <v>v</v>
      </c>
      <c r="AB4" s="158" t="str">
        <f>IF(GCP[[#This Row],[Column8]]="x","1",(IF(OR(GCP[[#This Row],[Column25]]=2,GCP[[#This Row],[Column26]]=2,GCP[[#This Row],[Column27]]=2),"1",(IF(GCP[[#This Row],[Column9]]="x","2",(IF(GCP[[#This Row],[Column10]]="x","3","")))))))</f>
        <v>1</v>
      </c>
      <c r="AC4" s="454" t="str">
        <f>IF(GCP[[#This Row],[Column14]] = "-", GCP[[#This Row],[Column14]], LEFT(GCP[[#This Row],[Column14]], SEARCH(" ", GCP[[#This Row],[Column14]] &amp; " ") - 1))</f>
        <v>2.13</v>
      </c>
    </row>
    <row r="5" spans="1:31" ht="45">
      <c r="A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 s="137" t="str">
        <f>GCP[[#This Row],[Column30]]</f>
        <v>-</v>
      </c>
      <c r="C5" s="137">
        <v>1.2</v>
      </c>
      <c r="D5" s="138" t="s">
        <v>352</v>
      </c>
      <c r="E5" s="162" t="s">
        <v>157</v>
      </c>
      <c r="F5" s="138" t="s">
        <v>361</v>
      </c>
      <c r="G5" s="138" t="s">
        <v>362</v>
      </c>
      <c r="H5" s="163" t="s">
        <v>185</v>
      </c>
      <c r="I5" s="164" t="s">
        <v>185</v>
      </c>
      <c r="J5" s="200" t="s">
        <v>185</v>
      </c>
      <c r="K5" s="176" t="s">
        <v>185</v>
      </c>
      <c r="L5" s="176" t="s">
        <v>185</v>
      </c>
      <c r="M5" s="176"/>
      <c r="N5" s="222" t="s">
        <v>162</v>
      </c>
      <c r="O5" s="222" t="s">
        <v>162</v>
      </c>
      <c r="P5" s="222" t="s">
        <v>162</v>
      </c>
      <c r="Q5" s="222" t="s">
        <v>162</v>
      </c>
      <c r="R5" s="451"/>
      <c r="S5" s="222" t="s">
        <v>162</v>
      </c>
      <c r="T5" s="222" t="s">
        <v>162</v>
      </c>
      <c r="U5" s="258" t="s">
        <v>162</v>
      </c>
      <c r="V5" s="168"/>
      <c r="W5" s="158" t="s">
        <v>966</v>
      </c>
      <c r="X5" s="158" t="s">
        <v>185</v>
      </c>
      <c r="Y5" s="158"/>
      <c r="Z5" s="158" t="s">
        <v>185</v>
      </c>
      <c r="AA5" s="158" t="str">
        <f>IF(GCP[[#This Row],[Column14]]="-","", "v")</f>
        <v/>
      </c>
      <c r="AB5" s="158" t="str">
        <f>IF(GCP[[#This Row],[Column8]]="x","1",(IF(OR(GCP[[#This Row],[Column25]]=2,GCP[[#This Row],[Column26]]=2,GCP[[#This Row],[Column27]]=2),"1",(IF(GCP[[#This Row],[Column9]]="x","2",(IF(GCP[[#This Row],[Column10]]="x","3","")))))))</f>
        <v>1</v>
      </c>
      <c r="AC5" s="454" t="str">
        <f>IF(GCP[[#This Row],[Column14]] = "-", GCP[[#This Row],[Column14]], LEFT(GCP[[#This Row],[Column14]], SEARCH(" ", GCP[[#This Row],[Column14]] &amp; " ") - 1))</f>
        <v>-</v>
      </c>
      <c r="AE5" s="195"/>
    </row>
    <row r="6" spans="1:31" ht="30">
      <c r="A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 s="137" t="str">
        <f>GCP[[#This Row],[Column30]]</f>
        <v>-</v>
      </c>
      <c r="C6" s="137">
        <v>1.3</v>
      </c>
      <c r="D6" s="138" t="s">
        <v>352</v>
      </c>
      <c r="E6" s="162" t="s">
        <v>155</v>
      </c>
      <c r="F6" s="138" t="s">
        <v>363</v>
      </c>
      <c r="G6" s="138" t="s">
        <v>364</v>
      </c>
      <c r="H6" s="137"/>
      <c r="I6" s="164" t="s">
        <v>185</v>
      </c>
      <c r="J6" s="200" t="s">
        <v>185</v>
      </c>
      <c r="K6" s="176" t="s">
        <v>185</v>
      </c>
      <c r="L6" s="176" t="s">
        <v>185</v>
      </c>
      <c r="M6" s="176"/>
      <c r="N6" s="222" t="s">
        <v>162</v>
      </c>
      <c r="O6" s="222" t="s">
        <v>162</v>
      </c>
      <c r="P6" s="222" t="s">
        <v>162</v>
      </c>
      <c r="Q6" s="222" t="s">
        <v>162</v>
      </c>
      <c r="R6" s="451"/>
      <c r="S6" s="222" t="s">
        <v>162</v>
      </c>
      <c r="T6" s="222" t="s">
        <v>162</v>
      </c>
      <c r="U6" s="258" t="s">
        <v>162</v>
      </c>
      <c r="V6" s="168"/>
      <c r="W6" s="158" t="s">
        <v>966</v>
      </c>
      <c r="X6" s="158" t="s">
        <v>185</v>
      </c>
      <c r="Y6" s="158"/>
      <c r="Z6" s="158" t="s">
        <v>185</v>
      </c>
      <c r="AA6" s="158" t="str">
        <f>IF(GCP[[#This Row],[Column14]]="-","", "v")</f>
        <v/>
      </c>
      <c r="AB6" s="158" t="str">
        <f>IF(GCP[[#This Row],[Column8]]="x","1",(IF(OR(GCP[[#This Row],[Column25]]=2,GCP[[#This Row],[Column26]]=2,GCP[[#This Row],[Column27]]=2),"1",(IF(GCP[[#This Row],[Column9]]="x","2",(IF(GCP[[#This Row],[Column10]]="x","3","")))))))</f>
        <v>2</v>
      </c>
      <c r="AC6" s="454" t="str">
        <f>IF(GCP[[#This Row],[Column14]] = "-", GCP[[#This Row],[Column14]], LEFT(GCP[[#This Row],[Column14]], SEARCH(" ", GCP[[#This Row],[Column14]] &amp; " ") - 1))</f>
        <v>-</v>
      </c>
    </row>
    <row r="7" spans="1:31" ht="60">
      <c r="A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 s="137" t="str">
        <f>GCP[[#This Row],[Column30]]</f>
        <v>-</v>
      </c>
      <c r="C7" s="137">
        <v>1.4</v>
      </c>
      <c r="D7" s="138" t="s">
        <v>352</v>
      </c>
      <c r="E7" s="162" t="s">
        <v>154</v>
      </c>
      <c r="F7" s="138" t="s">
        <v>365</v>
      </c>
      <c r="G7" s="138" t="s">
        <v>366</v>
      </c>
      <c r="H7" s="137"/>
      <c r="I7" s="164" t="s">
        <v>185</v>
      </c>
      <c r="J7" s="200" t="s">
        <v>185</v>
      </c>
      <c r="K7" s="176" t="s">
        <v>185</v>
      </c>
      <c r="L7" s="176" t="s">
        <v>185</v>
      </c>
      <c r="M7" s="176"/>
      <c r="N7" s="222" t="s">
        <v>162</v>
      </c>
      <c r="O7" s="222" t="s">
        <v>162</v>
      </c>
      <c r="P7" s="222" t="s">
        <v>162</v>
      </c>
      <c r="Q7" s="222" t="s">
        <v>162</v>
      </c>
      <c r="R7" s="451"/>
      <c r="S7" s="222" t="s">
        <v>162</v>
      </c>
      <c r="T7" s="222" t="s">
        <v>162</v>
      </c>
      <c r="U7" s="258" t="s">
        <v>162</v>
      </c>
      <c r="V7" s="168"/>
      <c r="W7" s="158" t="s">
        <v>966</v>
      </c>
      <c r="X7" s="158" t="s">
        <v>185</v>
      </c>
      <c r="Y7" s="158"/>
      <c r="Z7" s="158" t="s">
        <v>185</v>
      </c>
      <c r="AA7" s="158" t="str">
        <f>IF(GCP[[#This Row],[Column14]]="-","", "v")</f>
        <v/>
      </c>
      <c r="AB7" s="158" t="str">
        <f>IF(GCP[[#This Row],[Column8]]="x","1",(IF(OR(GCP[[#This Row],[Column25]]=2,GCP[[#This Row],[Column26]]=2,GCP[[#This Row],[Column27]]=2),"1",(IF(GCP[[#This Row],[Column9]]="x","2",(IF(GCP[[#This Row],[Column10]]="x","3","")))))))</f>
        <v>2</v>
      </c>
      <c r="AC7" s="454" t="str">
        <f>IF(GCP[[#This Row],[Column14]] = "-", GCP[[#This Row],[Column14]], LEFT(GCP[[#This Row],[Column14]], SEARCH(" ", GCP[[#This Row],[Column14]] &amp; " ") - 1))</f>
        <v>-</v>
      </c>
    </row>
    <row r="8" spans="1:31" ht="45">
      <c r="A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 s="137" t="str">
        <f>GCP[[#This Row],[Column30]]</f>
        <v>-</v>
      </c>
      <c r="C8" s="137">
        <v>1.5</v>
      </c>
      <c r="D8" s="138" t="s">
        <v>352</v>
      </c>
      <c r="E8" s="162" t="s">
        <v>155</v>
      </c>
      <c r="F8" s="138" t="s">
        <v>367</v>
      </c>
      <c r="G8" s="138" t="s">
        <v>368</v>
      </c>
      <c r="H8" s="137"/>
      <c r="I8" s="137"/>
      <c r="J8" s="200" t="s">
        <v>185</v>
      </c>
      <c r="K8" s="176" t="s">
        <v>185</v>
      </c>
      <c r="L8" s="176" t="s">
        <v>185</v>
      </c>
      <c r="M8" s="176"/>
      <c r="N8" s="222" t="s">
        <v>162</v>
      </c>
      <c r="O8" s="222" t="s">
        <v>162</v>
      </c>
      <c r="P8" s="222" t="s">
        <v>162</v>
      </c>
      <c r="Q8" s="222" t="s">
        <v>162</v>
      </c>
      <c r="R8" s="451"/>
      <c r="S8" s="222" t="s">
        <v>162</v>
      </c>
      <c r="T8" s="222" t="s">
        <v>162</v>
      </c>
      <c r="U8" s="258" t="s">
        <v>162</v>
      </c>
      <c r="V8" s="168"/>
      <c r="W8" s="158" t="s">
        <v>966</v>
      </c>
      <c r="X8" s="158" t="s">
        <v>185</v>
      </c>
      <c r="Y8" s="158"/>
      <c r="Z8" s="158" t="s">
        <v>185</v>
      </c>
      <c r="AA8" s="158" t="str">
        <f>IF(GCP[[#This Row],[Column14]]="-","", "v")</f>
        <v/>
      </c>
      <c r="AB8" s="158" t="str">
        <f>IF(GCP[[#This Row],[Column8]]="x","1",(IF(OR(GCP[[#This Row],[Column25]]=2,GCP[[#This Row],[Column26]]=2,GCP[[#This Row],[Column27]]=2),"1",(IF(GCP[[#This Row],[Column9]]="x","2",(IF(GCP[[#This Row],[Column10]]="x","3","")))))))</f>
        <v>3</v>
      </c>
      <c r="AC8" s="454" t="str">
        <f>IF(GCP[[#This Row],[Column14]] = "-", GCP[[#This Row],[Column14]], LEFT(GCP[[#This Row],[Column14]], SEARCH(" ", GCP[[#This Row],[Column14]] &amp; " ") - 1))</f>
        <v>-</v>
      </c>
    </row>
    <row r="9" spans="1:31" ht="75" hidden="1">
      <c r="A9" s="221" t="s">
        <v>942</v>
      </c>
      <c r="B9" s="217" t="s">
        <v>162</v>
      </c>
      <c r="C9" s="217" t="s">
        <v>162</v>
      </c>
      <c r="D9" s="217" t="s">
        <v>162</v>
      </c>
      <c r="E9" s="217" t="s">
        <v>162</v>
      </c>
      <c r="F9" s="219" t="s">
        <v>369</v>
      </c>
      <c r="G9" s="220" t="s">
        <v>370</v>
      </c>
      <c r="H9" s="217" t="s">
        <v>162</v>
      </c>
      <c r="I9" s="217" t="s">
        <v>162</v>
      </c>
      <c r="J9" s="217" t="s">
        <v>162</v>
      </c>
      <c r="K9" s="217" t="s">
        <v>162</v>
      </c>
      <c r="L9" s="217" t="s">
        <v>162</v>
      </c>
      <c r="M9" s="217" t="s">
        <v>162</v>
      </c>
      <c r="N9" s="257" t="s">
        <v>162</v>
      </c>
      <c r="O9" s="217" t="s">
        <v>162</v>
      </c>
      <c r="P9" s="217" t="s">
        <v>162</v>
      </c>
      <c r="Q9" s="217" t="s">
        <v>162</v>
      </c>
      <c r="R9" s="154"/>
      <c r="S9" s="217" t="s">
        <v>162</v>
      </c>
      <c r="T9" s="217" t="s">
        <v>162</v>
      </c>
      <c r="U9" s="217" t="s">
        <v>162</v>
      </c>
      <c r="V9" s="217" t="s">
        <v>162</v>
      </c>
      <c r="W9" s="217" t="s">
        <v>162</v>
      </c>
      <c r="X9" s="217" t="s">
        <v>162</v>
      </c>
      <c r="Y9" s="217" t="s">
        <v>162</v>
      </c>
      <c r="Z9" s="217" t="s">
        <v>162</v>
      </c>
      <c r="AA9" s="217" t="s">
        <v>162</v>
      </c>
      <c r="AB9" s="217" t="s">
        <v>162</v>
      </c>
      <c r="AC9" s="454" t="str">
        <f>IF(GCP[[#This Row],[Column14]] = "-", GCP[[#This Row],[Column14]], LEFT(GCP[[#This Row],[Column14]], SEARCH(" ", GCP[[#This Row],[Column14]] &amp; " ") - 1))</f>
        <v>-</v>
      </c>
    </row>
    <row r="10" spans="1:31" ht="90">
      <c r="A1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 s="137" t="str">
        <f>GCP[[#This Row],[Column30]]</f>
        <v>-</v>
      </c>
      <c r="C10" s="137">
        <v>2.1</v>
      </c>
      <c r="D10" s="138" t="s">
        <v>371</v>
      </c>
      <c r="E10" s="162" t="s">
        <v>154</v>
      </c>
      <c r="F10" s="138" t="s">
        <v>372</v>
      </c>
      <c r="G10" s="138" t="s">
        <v>373</v>
      </c>
      <c r="H10" s="163" t="s">
        <v>185</v>
      </c>
      <c r="I10" s="164" t="s">
        <v>185</v>
      </c>
      <c r="J10" s="200" t="s">
        <v>185</v>
      </c>
      <c r="K10" s="176" t="s">
        <v>185</v>
      </c>
      <c r="L10" s="176" t="s">
        <v>185</v>
      </c>
      <c r="M10" s="176" t="s">
        <v>185</v>
      </c>
      <c r="N10" s="222" t="s">
        <v>162</v>
      </c>
      <c r="O10" s="222" t="s">
        <v>162</v>
      </c>
      <c r="P10" s="222" t="s">
        <v>162</v>
      </c>
      <c r="Q10" s="222" t="s">
        <v>162</v>
      </c>
      <c r="R10" s="451"/>
      <c r="S10" s="222" t="s">
        <v>162</v>
      </c>
      <c r="T10" s="222" t="s">
        <v>162</v>
      </c>
      <c r="U10" s="258" t="s">
        <v>162</v>
      </c>
      <c r="V10" s="168"/>
      <c r="W10" s="158" t="s">
        <v>966</v>
      </c>
      <c r="X10" s="158" t="s">
        <v>185</v>
      </c>
      <c r="Y10" s="158"/>
      <c r="Z10" s="158" t="s">
        <v>185</v>
      </c>
      <c r="AA10" s="158" t="str">
        <f>IF(GCP[[#This Row],[Column14]]="-","", "v")</f>
        <v/>
      </c>
      <c r="AB10" s="158" t="str">
        <f>IF(GCP[[#This Row],[Column8]]="x","1",(IF(OR(GCP[[#This Row],[Column25]]=2,GCP[[#This Row],[Column26]]=2,GCP[[#This Row],[Column27]]=2),"1",(IF(GCP[[#This Row],[Column9]]="x","2",(IF(GCP[[#This Row],[Column10]]="x","3","")))))))</f>
        <v>1</v>
      </c>
      <c r="AC10" s="454" t="str">
        <f>IF(GCP[[#This Row],[Column14]] = "-", GCP[[#This Row],[Column14]], LEFT(GCP[[#This Row],[Column14]], SEARCH(" ", GCP[[#This Row],[Column14]] &amp; " ") - 1))</f>
        <v>-</v>
      </c>
    </row>
    <row r="11" spans="1:31" ht="409.5">
      <c r="A1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 s="137" t="str">
        <f>GCP[[#This Row],[Column30]]</f>
        <v>4.12</v>
      </c>
      <c r="C11" s="137">
        <v>2.2000000000000002</v>
      </c>
      <c r="D11" s="138" t="s">
        <v>371</v>
      </c>
      <c r="E11" s="162" t="s">
        <v>154</v>
      </c>
      <c r="F11" s="138" t="s">
        <v>374</v>
      </c>
      <c r="G11" s="139" t="s">
        <v>375</v>
      </c>
      <c r="H11" s="163" t="s">
        <v>185</v>
      </c>
      <c r="I11" s="164" t="s">
        <v>185</v>
      </c>
      <c r="J11" s="200" t="s">
        <v>185</v>
      </c>
      <c r="K11" s="176" t="s">
        <v>185</v>
      </c>
      <c r="L11" s="176" t="s">
        <v>185</v>
      </c>
      <c r="M11" s="176" t="s">
        <v>185</v>
      </c>
      <c r="N11" s="222" t="s">
        <v>1008</v>
      </c>
      <c r="O11" s="212">
        <v>2</v>
      </c>
      <c r="P11" s="214" t="s">
        <v>1009</v>
      </c>
      <c r="Q11" s="214" t="s">
        <v>1010</v>
      </c>
      <c r="R11" s="451" t="s">
        <v>1011</v>
      </c>
      <c r="S11" s="214" t="s">
        <v>1012</v>
      </c>
      <c r="T11" s="214" t="s">
        <v>1013</v>
      </c>
      <c r="U11" s="158" t="s">
        <v>162</v>
      </c>
      <c r="V11" s="168" t="s">
        <v>899</v>
      </c>
      <c r="W11" s="158" t="s">
        <v>967</v>
      </c>
      <c r="X11" s="158" t="s">
        <v>185</v>
      </c>
      <c r="Y11" s="158"/>
      <c r="Z11" s="158" t="s">
        <v>185</v>
      </c>
      <c r="AA11" s="158" t="str">
        <f>IF(GCP[[#This Row],[Column14]]="-","", "v")</f>
        <v>v</v>
      </c>
      <c r="AB11" s="158" t="str">
        <f>IF(GCP[[#This Row],[Column8]]="x","1",(IF(OR(GCP[[#This Row],[Column25]]=2,GCP[[#This Row],[Column26]]=2,GCP[[#This Row],[Column27]]=2),"1",(IF(GCP[[#This Row],[Column9]]="x","2",(IF(GCP[[#This Row],[Column10]]="x","3","")))))))</f>
        <v>1</v>
      </c>
      <c r="AC11" s="454" t="str">
        <f>IF(GCP[[#This Row],[Column14]] = "-", GCP[[#This Row],[Column14]], LEFT(GCP[[#This Row],[Column14]], SEARCH(" ", GCP[[#This Row],[Column14]] &amp; " ") - 1))</f>
        <v>4.12</v>
      </c>
    </row>
    <row r="12" spans="1:31" ht="30">
      <c r="A1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 s="137" t="str">
        <f>GCP[[#This Row],[Column30]]</f>
        <v>-</v>
      </c>
      <c r="C12" s="137">
        <v>2.2999999999999998</v>
      </c>
      <c r="D12" s="138" t="s">
        <v>371</v>
      </c>
      <c r="E12" s="162" t="s">
        <v>157</v>
      </c>
      <c r="F12" s="138" t="s">
        <v>376</v>
      </c>
      <c r="G12" s="138" t="s">
        <v>377</v>
      </c>
      <c r="H12" s="163" t="s">
        <v>185</v>
      </c>
      <c r="I12" s="164" t="s">
        <v>185</v>
      </c>
      <c r="J12" s="200" t="s">
        <v>185</v>
      </c>
      <c r="K12" s="176" t="s">
        <v>185</v>
      </c>
      <c r="L12" s="176" t="s">
        <v>185</v>
      </c>
      <c r="M12" s="176" t="s">
        <v>185</v>
      </c>
      <c r="N12" s="222" t="s">
        <v>162</v>
      </c>
      <c r="O12" s="222" t="s">
        <v>162</v>
      </c>
      <c r="P12" s="222" t="s">
        <v>162</v>
      </c>
      <c r="Q12" s="222" t="s">
        <v>162</v>
      </c>
      <c r="R12" s="451"/>
      <c r="S12" s="222" t="s">
        <v>162</v>
      </c>
      <c r="T12" s="222" t="s">
        <v>162</v>
      </c>
      <c r="U12" s="258" t="s">
        <v>162</v>
      </c>
      <c r="V12" s="168"/>
      <c r="W12" s="158" t="s">
        <v>966</v>
      </c>
      <c r="X12" s="158" t="s">
        <v>185</v>
      </c>
      <c r="Y12" s="158"/>
      <c r="Z12" s="158" t="s">
        <v>185</v>
      </c>
      <c r="AA12" s="158" t="str">
        <f>IF(GCP[[#This Row],[Column14]]="-","", "v")</f>
        <v/>
      </c>
      <c r="AB12" s="158" t="str">
        <f>IF(GCP[[#This Row],[Column8]]="x","1",(IF(OR(GCP[[#This Row],[Column25]]=2,GCP[[#This Row],[Column26]]=2,GCP[[#This Row],[Column27]]=2),"1",(IF(GCP[[#This Row],[Column9]]="x","2",(IF(GCP[[#This Row],[Column10]]="x","3","")))))))</f>
        <v>1</v>
      </c>
      <c r="AC12" s="454" t="str">
        <f>IF(GCP[[#This Row],[Column14]] = "-", GCP[[#This Row],[Column14]], LEFT(GCP[[#This Row],[Column14]], SEARCH(" ", GCP[[#This Row],[Column14]] &amp; " ") - 1))</f>
        <v>-</v>
      </c>
    </row>
    <row r="13" spans="1:31" ht="30">
      <c r="A1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 s="137" t="str">
        <f>GCP[[#This Row],[Column30]]</f>
        <v>-</v>
      </c>
      <c r="C13" s="137">
        <v>2.4</v>
      </c>
      <c r="D13" s="138" t="s">
        <v>371</v>
      </c>
      <c r="E13" s="162" t="s">
        <v>155</v>
      </c>
      <c r="F13" s="138" t="s">
        <v>378</v>
      </c>
      <c r="G13" s="138" t="s">
        <v>379</v>
      </c>
      <c r="H13" s="137"/>
      <c r="I13" s="164" t="s">
        <v>185</v>
      </c>
      <c r="J13" s="200" t="s">
        <v>185</v>
      </c>
      <c r="K13" s="176" t="s">
        <v>185</v>
      </c>
      <c r="L13" s="176" t="s">
        <v>185</v>
      </c>
      <c r="M13" s="176" t="s">
        <v>185</v>
      </c>
      <c r="N13" s="222" t="s">
        <v>162</v>
      </c>
      <c r="O13" s="222" t="s">
        <v>162</v>
      </c>
      <c r="P13" s="222" t="s">
        <v>162</v>
      </c>
      <c r="Q13" s="222" t="s">
        <v>162</v>
      </c>
      <c r="R13" s="451"/>
      <c r="S13" s="222" t="s">
        <v>162</v>
      </c>
      <c r="T13" s="222" t="s">
        <v>162</v>
      </c>
      <c r="U13" s="258" t="s">
        <v>162</v>
      </c>
      <c r="V13" s="168"/>
      <c r="W13" s="158" t="s">
        <v>966</v>
      </c>
      <c r="X13" s="158" t="s">
        <v>185</v>
      </c>
      <c r="Y13" s="158"/>
      <c r="Z13" s="158" t="s">
        <v>185</v>
      </c>
      <c r="AA13" s="158" t="str">
        <f>IF(GCP[[#This Row],[Column14]]="-","", "v")</f>
        <v/>
      </c>
      <c r="AB13" s="158" t="str">
        <f>IF(GCP[[#This Row],[Column8]]="x","1",(IF(OR(GCP[[#This Row],[Column25]]=2,GCP[[#This Row],[Column26]]=2,GCP[[#This Row],[Column27]]=2),"1",(IF(GCP[[#This Row],[Column9]]="x","2",(IF(GCP[[#This Row],[Column10]]="x","3","")))))))</f>
        <v>2</v>
      </c>
      <c r="AC13" s="454" t="str">
        <f>IF(GCP[[#This Row],[Column14]] = "-", GCP[[#This Row],[Column14]], LEFT(GCP[[#This Row],[Column14]], SEARCH(" ", GCP[[#This Row],[Column14]] &amp; " ") - 1))</f>
        <v>-</v>
      </c>
    </row>
    <row r="14" spans="1:31" ht="45">
      <c r="A1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 s="137" t="str">
        <f>GCP[[#This Row],[Column30]]</f>
        <v>-</v>
      </c>
      <c r="C14" s="137">
        <v>2.5</v>
      </c>
      <c r="D14" s="138" t="s">
        <v>371</v>
      </c>
      <c r="E14" s="162" t="s">
        <v>156</v>
      </c>
      <c r="F14" s="138" t="s">
        <v>380</v>
      </c>
      <c r="G14" s="138" t="s">
        <v>381</v>
      </c>
      <c r="H14" s="137"/>
      <c r="I14" s="164" t="s">
        <v>185</v>
      </c>
      <c r="J14" s="200" t="s">
        <v>185</v>
      </c>
      <c r="K14" s="176" t="s">
        <v>185</v>
      </c>
      <c r="L14" s="176" t="s">
        <v>185</v>
      </c>
      <c r="M14" s="176"/>
      <c r="N14" s="222" t="s">
        <v>162</v>
      </c>
      <c r="O14" s="222" t="s">
        <v>162</v>
      </c>
      <c r="P14" s="222" t="s">
        <v>162</v>
      </c>
      <c r="Q14" s="222" t="s">
        <v>162</v>
      </c>
      <c r="R14" s="451"/>
      <c r="S14" s="222" t="s">
        <v>162</v>
      </c>
      <c r="T14" s="222" t="s">
        <v>162</v>
      </c>
      <c r="U14" s="258" t="s">
        <v>162</v>
      </c>
      <c r="V14" s="168"/>
      <c r="W14" s="158" t="s">
        <v>966</v>
      </c>
      <c r="X14" s="158" t="s">
        <v>185</v>
      </c>
      <c r="Y14" s="158"/>
      <c r="Z14" s="158" t="s">
        <v>185</v>
      </c>
      <c r="AA14" s="158" t="str">
        <f>IF(GCP[[#This Row],[Column14]]="-","", "v")</f>
        <v/>
      </c>
      <c r="AB14" s="158" t="str">
        <f>IF(GCP[[#This Row],[Column8]]="x","1",(IF(OR(GCP[[#This Row],[Column25]]=2,GCP[[#This Row],[Column26]]=2,GCP[[#This Row],[Column27]]=2),"1",(IF(GCP[[#This Row],[Column9]]="x","2",(IF(GCP[[#This Row],[Column10]]="x","3","")))))))</f>
        <v>2</v>
      </c>
      <c r="AC14" s="454" t="str">
        <f>IF(GCP[[#This Row],[Column14]] = "-", GCP[[#This Row],[Column14]], LEFT(GCP[[#This Row],[Column14]], SEARCH(" ", GCP[[#This Row],[Column14]] &amp; " ") - 1))</f>
        <v>-</v>
      </c>
    </row>
    <row r="15" spans="1:31" ht="60">
      <c r="A1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 s="137" t="str">
        <f>GCP[[#This Row],[Column30]]</f>
        <v>-</v>
      </c>
      <c r="C15" s="137">
        <v>2.6</v>
      </c>
      <c r="D15" s="138" t="s">
        <v>371</v>
      </c>
      <c r="E15" s="162" t="s">
        <v>156</v>
      </c>
      <c r="F15" s="138" t="s">
        <v>382</v>
      </c>
      <c r="G15" s="139" t="s">
        <v>383</v>
      </c>
      <c r="H15" s="137"/>
      <c r="I15" s="164" t="s">
        <v>185</v>
      </c>
      <c r="J15" s="200" t="s">
        <v>185</v>
      </c>
      <c r="K15" s="176" t="s">
        <v>185</v>
      </c>
      <c r="L15" s="176" t="s">
        <v>185</v>
      </c>
      <c r="M15" s="176"/>
      <c r="N15" s="222" t="s">
        <v>162</v>
      </c>
      <c r="O15" s="222" t="s">
        <v>162</v>
      </c>
      <c r="P15" s="222" t="s">
        <v>162</v>
      </c>
      <c r="Q15" s="222" t="s">
        <v>162</v>
      </c>
      <c r="R15" s="451"/>
      <c r="S15" s="222" t="s">
        <v>162</v>
      </c>
      <c r="T15" s="222" t="s">
        <v>162</v>
      </c>
      <c r="U15" s="258" t="s">
        <v>162</v>
      </c>
      <c r="V15" s="168"/>
      <c r="W15" s="158" t="s">
        <v>967</v>
      </c>
      <c r="X15" s="158" t="s">
        <v>185</v>
      </c>
      <c r="Y15" s="158"/>
      <c r="Z15" s="158" t="s">
        <v>185</v>
      </c>
      <c r="AA15" s="158" t="str">
        <f>IF(GCP[[#This Row],[Column14]]="-","", "v")</f>
        <v/>
      </c>
      <c r="AB15" s="158" t="str">
        <f>IF(GCP[[#This Row],[Column8]]="x","1",(IF(OR(GCP[[#This Row],[Column25]]=2,GCP[[#This Row],[Column26]]=2,GCP[[#This Row],[Column27]]=2),"1",(IF(GCP[[#This Row],[Column9]]="x","2",(IF(GCP[[#This Row],[Column10]]="x","3","")))))))</f>
        <v>2</v>
      </c>
      <c r="AC15" s="454" t="str">
        <f>IF(GCP[[#This Row],[Column14]] = "-", GCP[[#This Row],[Column14]], LEFT(GCP[[#This Row],[Column14]], SEARCH(" ", GCP[[#This Row],[Column14]] &amp; " ") - 1))</f>
        <v>-</v>
      </c>
    </row>
    <row r="16" spans="1:31" ht="409.5">
      <c r="A1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 s="137" t="str">
        <f>GCP[[#This Row],[Column30]]</f>
        <v>6.3.1</v>
      </c>
      <c r="C16" s="137">
        <v>2.7</v>
      </c>
      <c r="D16" s="138" t="s">
        <v>371</v>
      </c>
      <c r="E16" s="162" t="s">
        <v>156</v>
      </c>
      <c r="F16" s="138" t="s">
        <v>384</v>
      </c>
      <c r="G16" s="139" t="s">
        <v>385</v>
      </c>
      <c r="H16" s="137"/>
      <c r="I16" s="204"/>
      <c r="J16" s="200" t="s">
        <v>185</v>
      </c>
      <c r="K16" s="176" t="s">
        <v>185</v>
      </c>
      <c r="L16" s="176" t="s">
        <v>185</v>
      </c>
      <c r="M16" s="176"/>
      <c r="N16" s="222" t="s">
        <v>1014</v>
      </c>
      <c r="O16" s="212">
        <v>1</v>
      </c>
      <c r="P16" s="214" t="s">
        <v>1015</v>
      </c>
      <c r="Q16" s="214" t="s">
        <v>1016</v>
      </c>
      <c r="R16" s="451" t="s">
        <v>1017</v>
      </c>
      <c r="S16" s="214" t="s">
        <v>1018</v>
      </c>
      <c r="T16" s="214" t="s">
        <v>1019</v>
      </c>
      <c r="U16" s="158" t="s">
        <v>162</v>
      </c>
      <c r="V16" s="168" t="s">
        <v>1527</v>
      </c>
      <c r="W16" s="158" t="s">
        <v>967</v>
      </c>
      <c r="X16" s="158" t="s">
        <v>185</v>
      </c>
      <c r="Y16" s="158"/>
      <c r="Z16" s="158" t="s">
        <v>185</v>
      </c>
      <c r="AA16" s="158" t="str">
        <f>IF(GCP[[#This Row],[Column14]]="-","", "v")</f>
        <v>v</v>
      </c>
      <c r="AB16" s="158" t="str">
        <f>IF(GCP[[#This Row],[Column8]]="x","1",(IF(OR(GCP[[#This Row],[Column25]]=2,GCP[[#This Row],[Column26]]=2,GCP[[#This Row],[Column27]]=2),"1",(IF(GCP[[#This Row],[Column9]]="x","2",(IF(GCP[[#This Row],[Column10]]="x","3","")))))))</f>
        <v>3</v>
      </c>
      <c r="AC16" s="454" t="str">
        <f>IF(GCP[[#This Row],[Column14]] = "-", GCP[[#This Row],[Column14]], LEFT(GCP[[#This Row],[Column14]], SEARCH(" ", GCP[[#This Row],[Column14]] &amp; " ") - 1))</f>
        <v>6.3.1</v>
      </c>
    </row>
    <row r="17" spans="1:29" ht="30" hidden="1">
      <c r="A17" s="221" t="s">
        <v>942</v>
      </c>
      <c r="B17" s="217" t="s">
        <v>162</v>
      </c>
      <c r="C17" s="217" t="s">
        <v>162</v>
      </c>
      <c r="D17" s="217" t="s">
        <v>162</v>
      </c>
      <c r="E17" s="217" t="s">
        <v>162</v>
      </c>
      <c r="F17" s="219" t="s">
        <v>386</v>
      </c>
      <c r="G17" s="220" t="s">
        <v>387</v>
      </c>
      <c r="H17" s="217" t="s">
        <v>162</v>
      </c>
      <c r="I17" s="217" t="s">
        <v>162</v>
      </c>
      <c r="J17" s="217" t="s">
        <v>162</v>
      </c>
      <c r="K17" s="217" t="s">
        <v>162</v>
      </c>
      <c r="L17" s="217" t="s">
        <v>162</v>
      </c>
      <c r="M17" s="217" t="s">
        <v>162</v>
      </c>
      <c r="N17" s="257" t="s">
        <v>162</v>
      </c>
      <c r="O17" s="217" t="s">
        <v>162</v>
      </c>
      <c r="P17" s="217" t="s">
        <v>162</v>
      </c>
      <c r="Q17" s="217" t="s">
        <v>162</v>
      </c>
      <c r="R17" s="154"/>
      <c r="S17" s="217" t="s">
        <v>162</v>
      </c>
      <c r="T17" s="217" t="s">
        <v>162</v>
      </c>
      <c r="U17" s="217" t="s">
        <v>162</v>
      </c>
      <c r="V17" s="217" t="s">
        <v>162</v>
      </c>
      <c r="W17" s="217" t="s">
        <v>162</v>
      </c>
      <c r="X17" s="217" t="s">
        <v>162</v>
      </c>
      <c r="Y17" s="217" t="s">
        <v>162</v>
      </c>
      <c r="Z17" s="217" t="s">
        <v>162</v>
      </c>
      <c r="AA17" s="217" t="s">
        <v>162</v>
      </c>
      <c r="AB17" s="217" t="s">
        <v>162</v>
      </c>
      <c r="AC17" s="454" t="str">
        <f>IF(GCP[[#This Row],[Column14]] = "-", GCP[[#This Row],[Column14]], LEFT(GCP[[#This Row],[Column14]], SEARCH(" ", GCP[[#This Row],[Column14]] &amp; " ") - 1))</f>
        <v>-</v>
      </c>
    </row>
    <row r="18" spans="1:29" ht="75">
      <c r="A1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 s="137" t="str">
        <f>GCP[[#This Row],[Column30]]</f>
        <v>-</v>
      </c>
      <c r="C18" s="137">
        <v>3.1</v>
      </c>
      <c r="D18" s="138" t="s">
        <v>182</v>
      </c>
      <c r="E18" s="162" t="s">
        <v>154</v>
      </c>
      <c r="F18" s="138" t="s">
        <v>183</v>
      </c>
      <c r="G18" s="138" t="s">
        <v>184</v>
      </c>
      <c r="H18" s="163" t="s">
        <v>185</v>
      </c>
      <c r="I18" s="164" t="s">
        <v>185</v>
      </c>
      <c r="J18" s="200" t="s">
        <v>185</v>
      </c>
      <c r="K18" s="176" t="s">
        <v>185</v>
      </c>
      <c r="L18" s="176" t="s">
        <v>185</v>
      </c>
      <c r="M18" s="176" t="s">
        <v>185</v>
      </c>
      <c r="N18" s="222" t="s">
        <v>162</v>
      </c>
      <c r="O18" s="222" t="s">
        <v>162</v>
      </c>
      <c r="P18" s="222" t="s">
        <v>162</v>
      </c>
      <c r="Q18" s="222" t="s">
        <v>162</v>
      </c>
      <c r="R18" s="451"/>
      <c r="S18" s="222" t="s">
        <v>162</v>
      </c>
      <c r="T18" s="222" t="s">
        <v>162</v>
      </c>
      <c r="U18" s="258" t="s">
        <v>162</v>
      </c>
      <c r="V18" s="168"/>
      <c r="W18" s="158" t="s">
        <v>967</v>
      </c>
      <c r="X18" s="158" t="s">
        <v>185</v>
      </c>
      <c r="Y18" s="158" t="s">
        <v>185</v>
      </c>
      <c r="Z18" s="158"/>
      <c r="AA18" s="158" t="str">
        <f>IF(GCP[[#This Row],[Column14]]="-","", "v")</f>
        <v/>
      </c>
      <c r="AB18" s="158" t="str">
        <f>IF(GCP[[#This Row],[Column8]]="x","1",(IF(OR(GCP[[#This Row],[Column25]]=2,GCP[[#This Row],[Column26]]=2,GCP[[#This Row],[Column27]]=2),"1",(IF(GCP[[#This Row],[Column9]]="x","2",(IF(GCP[[#This Row],[Column10]]="x","3","")))))))</f>
        <v>1</v>
      </c>
      <c r="AC18" s="454" t="str">
        <f>IF(GCP[[#This Row],[Column14]] = "-", GCP[[#This Row],[Column14]], LEFT(GCP[[#This Row],[Column14]], SEARCH(" ", GCP[[#This Row],[Column14]] &amp; " ") - 1))</f>
        <v>-</v>
      </c>
    </row>
    <row r="19" spans="1:29" ht="45">
      <c r="A1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 s="137" t="str">
        <f>GCP[[#This Row],[Column30]]</f>
        <v>-</v>
      </c>
      <c r="C19" s="137">
        <v>3.2</v>
      </c>
      <c r="D19" s="138" t="s">
        <v>182</v>
      </c>
      <c r="E19" s="162" t="s">
        <v>154</v>
      </c>
      <c r="F19" s="138" t="s">
        <v>193</v>
      </c>
      <c r="G19" s="138" t="s">
        <v>194</v>
      </c>
      <c r="H19" s="163" t="s">
        <v>185</v>
      </c>
      <c r="I19" s="164" t="s">
        <v>185</v>
      </c>
      <c r="J19" s="200" t="s">
        <v>185</v>
      </c>
      <c r="K19" s="176" t="s">
        <v>185</v>
      </c>
      <c r="L19" s="176" t="s">
        <v>185</v>
      </c>
      <c r="M19" s="176" t="s">
        <v>185</v>
      </c>
      <c r="N19" s="222" t="s">
        <v>162</v>
      </c>
      <c r="O19" s="222" t="s">
        <v>162</v>
      </c>
      <c r="P19" s="222" t="s">
        <v>162</v>
      </c>
      <c r="Q19" s="222" t="s">
        <v>162</v>
      </c>
      <c r="R19" s="451"/>
      <c r="S19" s="222" t="s">
        <v>162</v>
      </c>
      <c r="T19" s="222" t="s">
        <v>162</v>
      </c>
      <c r="U19" s="258" t="s">
        <v>162</v>
      </c>
      <c r="V19" s="168"/>
      <c r="W19" s="158" t="s">
        <v>966</v>
      </c>
      <c r="X19" s="158" t="s">
        <v>185</v>
      </c>
      <c r="Y19" s="158" t="s">
        <v>185</v>
      </c>
      <c r="Z19" s="158"/>
      <c r="AA19" s="158" t="str">
        <f>IF(GCP[[#This Row],[Column14]]="-","", "v")</f>
        <v/>
      </c>
      <c r="AB19" s="158" t="str">
        <f>IF(GCP[[#This Row],[Column8]]="x","1",(IF(OR(GCP[[#This Row],[Column25]]=2,GCP[[#This Row],[Column26]]=2,GCP[[#This Row],[Column27]]=2),"1",(IF(GCP[[#This Row],[Column9]]="x","2",(IF(GCP[[#This Row],[Column10]]="x","3","")))))))</f>
        <v>1</v>
      </c>
      <c r="AC19" s="454" t="str">
        <f>IF(GCP[[#This Row],[Column14]] = "-", GCP[[#This Row],[Column14]], LEFT(GCP[[#This Row],[Column14]], SEARCH(" ", GCP[[#This Row],[Column14]] &amp; " ") - 1))</f>
        <v>-</v>
      </c>
    </row>
    <row r="20" spans="1:29" ht="409.5">
      <c r="A2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 s="137" t="str">
        <f>GCP[[#This Row],[Column30]]</f>
        <v>1.6</v>
      </c>
      <c r="C20" s="137">
        <v>3.3</v>
      </c>
      <c r="D20" s="138" t="s">
        <v>182</v>
      </c>
      <c r="E20" s="162" t="s">
        <v>156</v>
      </c>
      <c r="F20" s="138" t="s">
        <v>195</v>
      </c>
      <c r="G20" s="138" t="s">
        <v>196</v>
      </c>
      <c r="H20" s="163" t="s">
        <v>185</v>
      </c>
      <c r="I20" s="164" t="s">
        <v>185</v>
      </c>
      <c r="J20" s="200" t="s">
        <v>185</v>
      </c>
      <c r="K20" s="176" t="s">
        <v>185</v>
      </c>
      <c r="L20" s="176" t="s">
        <v>185</v>
      </c>
      <c r="M20" s="176" t="s">
        <v>185</v>
      </c>
      <c r="N20" s="222" t="s">
        <v>1020</v>
      </c>
      <c r="O20" s="212">
        <v>1</v>
      </c>
      <c r="P20" s="214" t="s">
        <v>1021</v>
      </c>
      <c r="Q20" s="214" t="s">
        <v>1022</v>
      </c>
      <c r="R20" s="451" t="s">
        <v>1023</v>
      </c>
      <c r="S20" s="214" t="s">
        <v>1024</v>
      </c>
      <c r="T20" s="214" t="s">
        <v>1025</v>
      </c>
      <c r="U20" s="158" t="s">
        <v>975</v>
      </c>
      <c r="V20" s="168" t="s">
        <v>1528</v>
      </c>
      <c r="W20" s="158" t="s">
        <v>966</v>
      </c>
      <c r="X20" s="158" t="s">
        <v>185</v>
      </c>
      <c r="Y20" s="158" t="s">
        <v>185</v>
      </c>
      <c r="Z20" s="158"/>
      <c r="AA20" s="158" t="str">
        <f>IF(GCP[[#This Row],[Column14]]="-","", "v")</f>
        <v>v</v>
      </c>
      <c r="AB20" s="158" t="str">
        <f>IF(GCP[[#This Row],[Column8]]="x","1",(IF(OR(GCP[[#This Row],[Column25]]=2,GCP[[#This Row],[Column26]]=2,GCP[[#This Row],[Column27]]=2),"1",(IF(GCP[[#This Row],[Column9]]="x","2",(IF(GCP[[#This Row],[Column10]]="x","3","")))))))</f>
        <v>1</v>
      </c>
      <c r="AC20" s="454" t="str">
        <f>IF(GCP[[#This Row],[Column14]] = "-", GCP[[#This Row],[Column14]], LEFT(GCP[[#This Row],[Column14]], SEARCH(" ", GCP[[#This Row],[Column14]] &amp; " ") - 1))</f>
        <v>1.6</v>
      </c>
    </row>
    <row r="21" spans="1:29" ht="409.5">
      <c r="A2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 s="137" t="str">
        <f>GCP[[#This Row],[Column30]]</f>
        <v>1.8</v>
      </c>
      <c r="C21" s="137">
        <v>3.3</v>
      </c>
      <c r="D21" s="138" t="s">
        <v>182</v>
      </c>
      <c r="E21" s="162" t="s">
        <v>156</v>
      </c>
      <c r="F21" s="138" t="s">
        <v>195</v>
      </c>
      <c r="G21" s="138" t="s">
        <v>196</v>
      </c>
      <c r="H21" s="163" t="s">
        <v>185</v>
      </c>
      <c r="I21" s="164" t="s">
        <v>185</v>
      </c>
      <c r="J21" s="200" t="s">
        <v>185</v>
      </c>
      <c r="K21" s="176" t="s">
        <v>185</v>
      </c>
      <c r="L21" s="176" t="s">
        <v>185</v>
      </c>
      <c r="M21" s="176" t="s">
        <v>185</v>
      </c>
      <c r="N21" s="222" t="s">
        <v>1026</v>
      </c>
      <c r="O21" s="212">
        <v>2</v>
      </c>
      <c r="P21" s="214" t="s">
        <v>1027</v>
      </c>
      <c r="Q21" s="214" t="s">
        <v>1028</v>
      </c>
      <c r="R21" s="451" t="s">
        <v>1029</v>
      </c>
      <c r="S21" s="214" t="s">
        <v>1030</v>
      </c>
      <c r="T21" s="214" t="s">
        <v>1031</v>
      </c>
      <c r="U21" s="158" t="s">
        <v>162</v>
      </c>
      <c r="V21" s="168" t="s">
        <v>1529</v>
      </c>
      <c r="W21" s="158" t="s">
        <v>967</v>
      </c>
      <c r="X21" s="158" t="s">
        <v>185</v>
      </c>
      <c r="Y21" s="158" t="s">
        <v>185</v>
      </c>
      <c r="Z21" s="158"/>
      <c r="AA21" s="158" t="str">
        <f>IF(GCP[[#This Row],[Column14]]="-","", "v")</f>
        <v>v</v>
      </c>
      <c r="AB21" s="158" t="str">
        <f>IF(GCP[[#This Row],[Column8]]="x","1",(IF(OR(GCP[[#This Row],[Column25]]=2,GCP[[#This Row],[Column26]]=2,GCP[[#This Row],[Column27]]=2),"1",(IF(GCP[[#This Row],[Column9]]="x","2",(IF(GCP[[#This Row],[Column10]]="x","3","")))))))</f>
        <v>1</v>
      </c>
      <c r="AC21" s="454" t="str">
        <f>IF(GCP[[#This Row],[Column14]] = "-", GCP[[#This Row],[Column14]], LEFT(GCP[[#This Row],[Column14]], SEARCH(" ", GCP[[#This Row],[Column14]] &amp; " ") - 1))</f>
        <v>1.8</v>
      </c>
    </row>
    <row r="22" spans="1:29" ht="409.5">
      <c r="A2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 s="137" t="str">
        <f>GCP[[#This Row],[Column30]]</f>
        <v>1.9</v>
      </c>
      <c r="C22" s="137">
        <v>3.3</v>
      </c>
      <c r="D22" s="138" t="s">
        <v>182</v>
      </c>
      <c r="E22" s="162" t="s">
        <v>156</v>
      </c>
      <c r="F22" s="138" t="s">
        <v>195</v>
      </c>
      <c r="G22" s="138" t="s">
        <v>196</v>
      </c>
      <c r="H22" s="163" t="s">
        <v>185</v>
      </c>
      <c r="I22" s="164" t="s">
        <v>185</v>
      </c>
      <c r="J22" s="200" t="s">
        <v>185</v>
      </c>
      <c r="K22" s="176" t="s">
        <v>185</v>
      </c>
      <c r="L22" s="176" t="s">
        <v>185</v>
      </c>
      <c r="M22" s="176" t="s">
        <v>185</v>
      </c>
      <c r="N22" s="222" t="s">
        <v>1032</v>
      </c>
      <c r="O22" s="212">
        <v>1</v>
      </c>
      <c r="P22" s="214" t="s">
        <v>1033</v>
      </c>
      <c r="Q22" s="214" t="s">
        <v>1034</v>
      </c>
      <c r="R22" s="451" t="s">
        <v>1035</v>
      </c>
      <c r="S22" s="214" t="s">
        <v>1036</v>
      </c>
      <c r="T22" s="214" t="s">
        <v>1037</v>
      </c>
      <c r="U22" s="158" t="s">
        <v>162</v>
      </c>
      <c r="V22" s="168" t="s">
        <v>1531</v>
      </c>
      <c r="W22" s="158" t="s">
        <v>967</v>
      </c>
      <c r="X22" s="158" t="s">
        <v>185</v>
      </c>
      <c r="Y22" s="158" t="s">
        <v>185</v>
      </c>
      <c r="Z22" s="158"/>
      <c r="AA22" s="158" t="str">
        <f>IF(GCP[[#This Row],[Column14]]="-","", "v")</f>
        <v>v</v>
      </c>
      <c r="AB22" s="158" t="str">
        <f>IF(GCP[[#This Row],[Column8]]="x","1",(IF(OR(GCP[[#This Row],[Column25]]=2,GCP[[#This Row],[Column26]]=2,GCP[[#This Row],[Column27]]=2),"1",(IF(GCP[[#This Row],[Column9]]="x","2",(IF(GCP[[#This Row],[Column10]]="x","3","")))))))</f>
        <v>1</v>
      </c>
      <c r="AC22" s="454" t="str">
        <f>IF(GCP[[#This Row],[Column14]] = "-", GCP[[#This Row],[Column14]], LEFT(GCP[[#This Row],[Column14]], SEARCH(" ", GCP[[#This Row],[Column14]] &amp; " ") - 1))</f>
        <v>1.9</v>
      </c>
    </row>
    <row r="23" spans="1:29" ht="409.5">
      <c r="A2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3" s="137" t="str">
        <f>GCP[[#This Row],[Column30]]</f>
        <v>1.11</v>
      </c>
      <c r="C23" s="137">
        <v>3.3</v>
      </c>
      <c r="D23" s="138" t="s">
        <v>182</v>
      </c>
      <c r="E23" s="162" t="s">
        <v>156</v>
      </c>
      <c r="F23" s="138" t="s">
        <v>195</v>
      </c>
      <c r="G23" s="138" t="s">
        <v>196</v>
      </c>
      <c r="H23" s="163" t="s">
        <v>185</v>
      </c>
      <c r="I23" s="164" t="s">
        <v>185</v>
      </c>
      <c r="J23" s="200" t="s">
        <v>185</v>
      </c>
      <c r="K23" s="176" t="s">
        <v>185</v>
      </c>
      <c r="L23" s="176" t="s">
        <v>185</v>
      </c>
      <c r="M23" s="176" t="s">
        <v>185</v>
      </c>
      <c r="N23" s="222" t="s">
        <v>1038</v>
      </c>
      <c r="O23" s="212">
        <v>2</v>
      </c>
      <c r="P23" s="214" t="s">
        <v>1039</v>
      </c>
      <c r="Q23" s="214" t="s">
        <v>1040</v>
      </c>
      <c r="R23" s="451" t="s">
        <v>1041</v>
      </c>
      <c r="S23" s="214" t="s">
        <v>1042</v>
      </c>
      <c r="T23" s="214" t="s">
        <v>1043</v>
      </c>
      <c r="U23" s="158" t="s">
        <v>162</v>
      </c>
      <c r="V23" s="168" t="s">
        <v>1529</v>
      </c>
      <c r="W23" s="158" t="s">
        <v>967</v>
      </c>
      <c r="X23" s="158" t="s">
        <v>185</v>
      </c>
      <c r="Y23" s="158" t="s">
        <v>185</v>
      </c>
      <c r="Z23" s="158"/>
      <c r="AA23" s="158" t="str">
        <f>IF(GCP[[#This Row],[Column14]]="-","", "v")</f>
        <v>v</v>
      </c>
      <c r="AB23" s="158" t="str">
        <f>IF(GCP[[#This Row],[Column8]]="x","1",(IF(OR(GCP[[#This Row],[Column25]]=2,GCP[[#This Row],[Column26]]=2,GCP[[#This Row],[Column27]]=2),"1",(IF(GCP[[#This Row],[Column9]]="x","2",(IF(GCP[[#This Row],[Column10]]="x","3","")))))))</f>
        <v>1</v>
      </c>
      <c r="AC23" s="454" t="str">
        <f>IF(GCP[[#This Row],[Column14]] = "-", GCP[[#This Row],[Column14]], LEFT(GCP[[#This Row],[Column14]], SEARCH(" ", GCP[[#This Row],[Column14]] &amp; " ") - 1))</f>
        <v>1.11</v>
      </c>
    </row>
    <row r="24" spans="1:29" ht="409.5">
      <c r="A2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4" s="137" t="str">
        <f>GCP[[#This Row],[Column30]]</f>
        <v>2.3</v>
      </c>
      <c r="C24" s="137">
        <v>3.3</v>
      </c>
      <c r="D24" s="138" t="s">
        <v>182</v>
      </c>
      <c r="E24" s="162" t="s">
        <v>156</v>
      </c>
      <c r="F24" s="138" t="s">
        <v>195</v>
      </c>
      <c r="G24" s="138" t="s">
        <v>196</v>
      </c>
      <c r="H24" s="163" t="s">
        <v>185</v>
      </c>
      <c r="I24" s="164" t="s">
        <v>185</v>
      </c>
      <c r="J24" s="200" t="s">
        <v>185</v>
      </c>
      <c r="K24" s="176" t="s">
        <v>185</v>
      </c>
      <c r="L24" s="176" t="s">
        <v>185</v>
      </c>
      <c r="M24" s="176" t="s">
        <v>185</v>
      </c>
      <c r="N24" s="222" t="s">
        <v>1044</v>
      </c>
      <c r="O24" s="212">
        <v>2</v>
      </c>
      <c r="P24" s="214" t="s">
        <v>1045</v>
      </c>
      <c r="Q24" s="214" t="s">
        <v>1046</v>
      </c>
      <c r="R24" s="451" t="s">
        <v>1047</v>
      </c>
      <c r="S24" s="214" t="s">
        <v>1048</v>
      </c>
      <c r="T24" s="214" t="s">
        <v>1049</v>
      </c>
      <c r="U24" s="158" t="s">
        <v>162</v>
      </c>
      <c r="V24" s="168" t="s">
        <v>1532</v>
      </c>
      <c r="W24" s="158" t="s">
        <v>967</v>
      </c>
      <c r="X24" s="158" t="s">
        <v>185</v>
      </c>
      <c r="Y24" s="158" t="s">
        <v>185</v>
      </c>
      <c r="Z24" s="158"/>
      <c r="AA24" s="158" t="str">
        <f>IF(GCP[[#This Row],[Column14]]="-","", "v")</f>
        <v>v</v>
      </c>
      <c r="AB24" s="158" t="str">
        <f>IF(GCP[[#This Row],[Column8]]="x","1",(IF(OR(GCP[[#This Row],[Column25]]=2,GCP[[#This Row],[Column26]]=2,GCP[[#This Row],[Column27]]=2),"1",(IF(GCP[[#This Row],[Column9]]="x","2",(IF(GCP[[#This Row],[Column10]]="x","3","")))))))</f>
        <v>1</v>
      </c>
      <c r="AC24" s="454" t="str">
        <f>IF(GCP[[#This Row],[Column14]] = "-", GCP[[#This Row],[Column14]], LEFT(GCP[[#This Row],[Column14]], SEARCH(" ", GCP[[#This Row],[Column14]] &amp; " ") - 1))</f>
        <v>2.3</v>
      </c>
    </row>
    <row r="25" spans="1:29" ht="409.5">
      <c r="A2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5" s="137" t="str">
        <f>GCP[[#This Row],[Column30]]</f>
        <v>2.15</v>
      </c>
      <c r="C25" s="137">
        <v>3.3</v>
      </c>
      <c r="D25" s="138" t="s">
        <v>182</v>
      </c>
      <c r="E25" s="162" t="s">
        <v>156</v>
      </c>
      <c r="F25" s="138" t="s">
        <v>195</v>
      </c>
      <c r="G25" s="138" t="s">
        <v>196</v>
      </c>
      <c r="H25" s="163" t="s">
        <v>185</v>
      </c>
      <c r="I25" s="164" t="s">
        <v>185</v>
      </c>
      <c r="J25" s="200" t="s">
        <v>185</v>
      </c>
      <c r="K25" s="176" t="s">
        <v>185</v>
      </c>
      <c r="L25" s="176" t="s">
        <v>185</v>
      </c>
      <c r="M25" s="176" t="s">
        <v>185</v>
      </c>
      <c r="N25" s="222" t="s">
        <v>1050</v>
      </c>
      <c r="O25" s="212">
        <v>2</v>
      </c>
      <c r="P25" s="214" t="s">
        <v>1051</v>
      </c>
      <c r="Q25" s="214" t="s">
        <v>1052</v>
      </c>
      <c r="R25" s="451" t="s">
        <v>1053</v>
      </c>
      <c r="S25" s="214" t="s">
        <v>1054</v>
      </c>
      <c r="T25" s="214" t="s">
        <v>1055</v>
      </c>
      <c r="U25" s="158" t="s">
        <v>162</v>
      </c>
      <c r="V25" s="168" t="s">
        <v>1533</v>
      </c>
      <c r="W25" s="158" t="s">
        <v>967</v>
      </c>
      <c r="X25" s="158" t="s">
        <v>185</v>
      </c>
      <c r="Y25" s="158" t="s">
        <v>185</v>
      </c>
      <c r="Z25" s="158"/>
      <c r="AA25" s="158" t="str">
        <f>IF(GCP[[#This Row],[Column14]]="-","", "v")</f>
        <v>v</v>
      </c>
      <c r="AB25" s="158" t="str">
        <f>IF(GCP[[#This Row],[Column8]]="x","1",(IF(OR(GCP[[#This Row],[Column25]]=2,GCP[[#This Row],[Column26]]=2,GCP[[#This Row],[Column27]]=2),"1",(IF(GCP[[#This Row],[Column9]]="x","2",(IF(GCP[[#This Row],[Column10]]="x","3","")))))))</f>
        <v>1</v>
      </c>
      <c r="AC25" s="454" t="str">
        <f>IF(GCP[[#This Row],[Column14]] = "-", GCP[[#This Row],[Column14]], LEFT(GCP[[#This Row],[Column14]], SEARCH(" ", GCP[[#This Row],[Column14]] &amp; " ") - 1))</f>
        <v>2.15</v>
      </c>
    </row>
    <row r="26" spans="1:29" ht="409.5">
      <c r="A2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6" s="137" t="str">
        <f>GCP[[#This Row],[Column30]]</f>
        <v>4.9</v>
      </c>
      <c r="C26" s="137">
        <v>3.3</v>
      </c>
      <c r="D26" s="138" t="s">
        <v>182</v>
      </c>
      <c r="E26" s="162" t="s">
        <v>156</v>
      </c>
      <c r="F26" s="138" t="s">
        <v>195</v>
      </c>
      <c r="G26" s="138" t="s">
        <v>196</v>
      </c>
      <c r="H26" s="163" t="s">
        <v>185</v>
      </c>
      <c r="I26" s="164" t="s">
        <v>185</v>
      </c>
      <c r="J26" s="200" t="s">
        <v>185</v>
      </c>
      <c r="K26" s="176" t="s">
        <v>185</v>
      </c>
      <c r="L26" s="176" t="s">
        <v>185</v>
      </c>
      <c r="M26" s="176" t="s">
        <v>185</v>
      </c>
      <c r="N26" s="222" t="s">
        <v>1056</v>
      </c>
      <c r="O26" s="212">
        <v>2</v>
      </c>
      <c r="P26" s="214" t="s">
        <v>1057</v>
      </c>
      <c r="Q26" s="214" t="s">
        <v>1058</v>
      </c>
      <c r="R26" s="451" t="s">
        <v>1059</v>
      </c>
      <c r="S26" s="214" t="s">
        <v>1060</v>
      </c>
      <c r="T26" s="214" t="s">
        <v>1061</v>
      </c>
      <c r="U26" s="158" t="s">
        <v>975</v>
      </c>
      <c r="V26" s="168" t="s">
        <v>1528</v>
      </c>
      <c r="W26" s="158" t="s">
        <v>966</v>
      </c>
      <c r="X26" s="158" t="s">
        <v>185</v>
      </c>
      <c r="Y26" s="158" t="s">
        <v>185</v>
      </c>
      <c r="Z26" s="158"/>
      <c r="AA26" s="158" t="str">
        <f>IF(GCP[[#This Row],[Column14]]="-","", "v")</f>
        <v>v</v>
      </c>
      <c r="AB26" s="158" t="str">
        <f>IF(GCP[[#This Row],[Column8]]="x","1",(IF(OR(GCP[[#This Row],[Column25]]=2,GCP[[#This Row],[Column26]]=2,GCP[[#This Row],[Column27]]=2),"1",(IF(GCP[[#This Row],[Column9]]="x","2",(IF(GCP[[#This Row],[Column10]]="x","3","")))))))</f>
        <v>1</v>
      </c>
      <c r="AC26" s="454" t="str">
        <f>IF(GCP[[#This Row],[Column14]] = "-", GCP[[#This Row],[Column14]], LEFT(GCP[[#This Row],[Column14]], SEARCH(" ", GCP[[#This Row],[Column14]] &amp; " ") - 1))</f>
        <v>4.9</v>
      </c>
    </row>
    <row r="27" spans="1:29" ht="370.5">
      <c r="A2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7" s="137" t="str">
        <f>GCP[[#This Row],[Column30]]</f>
        <v>5.1</v>
      </c>
      <c r="C27" s="137">
        <v>3.3</v>
      </c>
      <c r="D27" s="138" t="s">
        <v>182</v>
      </c>
      <c r="E27" s="162" t="s">
        <v>156</v>
      </c>
      <c r="F27" s="138" t="s">
        <v>195</v>
      </c>
      <c r="G27" s="138" t="s">
        <v>196</v>
      </c>
      <c r="H27" s="163" t="s">
        <v>185</v>
      </c>
      <c r="I27" s="164" t="s">
        <v>185</v>
      </c>
      <c r="J27" s="200" t="s">
        <v>185</v>
      </c>
      <c r="K27" s="176" t="s">
        <v>185</v>
      </c>
      <c r="L27" s="176" t="s">
        <v>185</v>
      </c>
      <c r="M27" s="176" t="s">
        <v>185</v>
      </c>
      <c r="N27" s="222" t="s">
        <v>1062</v>
      </c>
      <c r="O27" s="212">
        <v>1</v>
      </c>
      <c r="P27" s="214" t="s">
        <v>1063</v>
      </c>
      <c r="Q27" s="214" t="s">
        <v>1064</v>
      </c>
      <c r="R27" s="451" t="s">
        <v>1065</v>
      </c>
      <c r="S27" s="214" t="s">
        <v>1066</v>
      </c>
      <c r="T27" s="214" t="s">
        <v>1067</v>
      </c>
      <c r="U27" s="158" t="s">
        <v>975</v>
      </c>
      <c r="V27" s="168" t="s">
        <v>1528</v>
      </c>
      <c r="W27" s="158" t="s">
        <v>966</v>
      </c>
      <c r="X27" s="158" t="s">
        <v>185</v>
      </c>
      <c r="Y27" s="158" t="s">
        <v>185</v>
      </c>
      <c r="Z27" s="158"/>
      <c r="AA27" s="158" t="str">
        <f>IF(GCP[[#This Row],[Column14]]="-","", "v")</f>
        <v>v</v>
      </c>
      <c r="AB27" s="158" t="str">
        <f>IF(GCP[[#This Row],[Column8]]="x","1",(IF(OR(GCP[[#This Row],[Column25]]=2,GCP[[#This Row],[Column26]]=2,GCP[[#This Row],[Column27]]=2),"1",(IF(GCP[[#This Row],[Column9]]="x","2",(IF(GCP[[#This Row],[Column10]]="x","3","")))))))</f>
        <v>1</v>
      </c>
      <c r="AC27" s="454" t="str">
        <f>IF(GCP[[#This Row],[Column14]] = "-", GCP[[#This Row],[Column14]], LEFT(GCP[[#This Row],[Column14]], SEARCH(" ", GCP[[#This Row],[Column14]] &amp; " ") - 1))</f>
        <v>5.1</v>
      </c>
    </row>
    <row r="28" spans="1:29" ht="409.5">
      <c r="A2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8" s="137" t="str">
        <f>GCP[[#This Row],[Column30]]</f>
        <v>5.2</v>
      </c>
      <c r="C28" s="137">
        <v>3.3</v>
      </c>
      <c r="D28" s="138" t="s">
        <v>182</v>
      </c>
      <c r="E28" s="162" t="s">
        <v>156</v>
      </c>
      <c r="F28" s="138" t="s">
        <v>195</v>
      </c>
      <c r="G28" s="138" t="s">
        <v>196</v>
      </c>
      <c r="H28" s="163" t="s">
        <v>185</v>
      </c>
      <c r="I28" s="164" t="s">
        <v>185</v>
      </c>
      <c r="J28" s="200" t="s">
        <v>185</v>
      </c>
      <c r="K28" s="176" t="s">
        <v>185</v>
      </c>
      <c r="L28" s="176" t="s">
        <v>185</v>
      </c>
      <c r="M28" s="176" t="s">
        <v>185</v>
      </c>
      <c r="N28" s="222" t="s">
        <v>1068</v>
      </c>
      <c r="O28" s="212">
        <v>2</v>
      </c>
      <c r="P28" s="214" t="s">
        <v>1069</v>
      </c>
      <c r="Q28" s="214" t="s">
        <v>1070</v>
      </c>
      <c r="R28" s="451" t="s">
        <v>1071</v>
      </c>
      <c r="S28" s="214" t="s">
        <v>1072</v>
      </c>
      <c r="T28" s="214" t="s">
        <v>1073</v>
      </c>
      <c r="U28" s="158" t="s">
        <v>975</v>
      </c>
      <c r="V28" s="168" t="s">
        <v>1534</v>
      </c>
      <c r="W28" s="158" t="s">
        <v>966</v>
      </c>
      <c r="X28" s="158" t="s">
        <v>185</v>
      </c>
      <c r="Y28" s="158" t="s">
        <v>185</v>
      </c>
      <c r="Z28" s="158"/>
      <c r="AA28" s="158" t="str">
        <f>IF(GCP[[#This Row],[Column14]]="-","", "v")</f>
        <v>v</v>
      </c>
      <c r="AB28" s="158" t="str">
        <f>IF(GCP[[#This Row],[Column8]]="x","1",(IF(OR(GCP[[#This Row],[Column25]]=2,GCP[[#This Row],[Column26]]=2,GCP[[#This Row],[Column27]]=2),"1",(IF(GCP[[#This Row],[Column9]]="x","2",(IF(GCP[[#This Row],[Column10]]="x","3","")))))))</f>
        <v>1</v>
      </c>
      <c r="AC28" s="454" t="str">
        <f>IF(GCP[[#This Row],[Column14]] = "-", GCP[[#This Row],[Column14]], LEFT(GCP[[#This Row],[Column14]], SEARCH(" ", GCP[[#This Row],[Column14]] &amp; " ") - 1))</f>
        <v>5.2</v>
      </c>
    </row>
    <row r="29" spans="1:29" ht="409.5">
      <c r="A2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9" s="137" t="str">
        <f>GCP[[#This Row],[Column30]]</f>
        <v>6.1.2</v>
      </c>
      <c r="C29" s="137">
        <v>3.3</v>
      </c>
      <c r="D29" s="138" t="s">
        <v>182</v>
      </c>
      <c r="E29" s="162" t="s">
        <v>156</v>
      </c>
      <c r="F29" s="138" t="s">
        <v>195</v>
      </c>
      <c r="G29" s="138" t="s">
        <v>196</v>
      </c>
      <c r="H29" s="163" t="s">
        <v>185</v>
      </c>
      <c r="I29" s="164" t="s">
        <v>185</v>
      </c>
      <c r="J29" s="200" t="s">
        <v>185</v>
      </c>
      <c r="K29" s="176" t="s">
        <v>185</v>
      </c>
      <c r="L29" s="176" t="s">
        <v>185</v>
      </c>
      <c r="M29" s="176" t="s">
        <v>185</v>
      </c>
      <c r="N29" s="222" t="s">
        <v>1074</v>
      </c>
      <c r="O29" s="212">
        <v>1</v>
      </c>
      <c r="P29" s="214" t="s">
        <v>1075</v>
      </c>
      <c r="Q29" s="456" t="s">
        <v>1076</v>
      </c>
      <c r="R29" s="451" t="s">
        <v>1077</v>
      </c>
      <c r="S29" s="214" t="s">
        <v>1078</v>
      </c>
      <c r="T29" s="214" t="s">
        <v>1079</v>
      </c>
      <c r="U29" s="158" t="s">
        <v>162</v>
      </c>
      <c r="V29" s="168" t="s">
        <v>1535</v>
      </c>
      <c r="W29" s="158" t="s">
        <v>967</v>
      </c>
      <c r="X29" s="158" t="s">
        <v>185</v>
      </c>
      <c r="Y29" s="158" t="s">
        <v>185</v>
      </c>
      <c r="Z29" s="158"/>
      <c r="AA29" s="158" t="str">
        <f>IF(GCP[[#This Row],[Column14]]="-","", "v")</f>
        <v>v</v>
      </c>
      <c r="AB29" s="158" t="str">
        <f>IF(GCP[[#This Row],[Column8]]="x","1",(IF(OR(GCP[[#This Row],[Column25]]=2,GCP[[#This Row],[Column26]]=2,GCP[[#This Row],[Column27]]=2),"1",(IF(GCP[[#This Row],[Column9]]="x","2",(IF(GCP[[#This Row],[Column10]]="x","3","")))))))</f>
        <v>1</v>
      </c>
      <c r="AC29" s="454" t="str">
        <f>IF(GCP[[#This Row],[Column14]] = "-", GCP[[#This Row],[Column14]], LEFT(GCP[[#This Row],[Column14]], SEARCH(" ", GCP[[#This Row],[Column14]] &amp; " ") - 1))</f>
        <v>6.1.2</v>
      </c>
    </row>
    <row r="30" spans="1:29" ht="409.5">
      <c r="A3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0" s="137" t="str">
        <f>GCP[[#This Row],[Column30]]</f>
        <v>6.3.2</v>
      </c>
      <c r="C30" s="137">
        <v>3.3</v>
      </c>
      <c r="D30" s="138" t="s">
        <v>182</v>
      </c>
      <c r="E30" s="162" t="s">
        <v>156</v>
      </c>
      <c r="F30" s="138" t="s">
        <v>195</v>
      </c>
      <c r="G30" s="138" t="s">
        <v>196</v>
      </c>
      <c r="H30" s="163" t="s">
        <v>185</v>
      </c>
      <c r="I30" s="164" t="s">
        <v>185</v>
      </c>
      <c r="J30" s="200" t="s">
        <v>185</v>
      </c>
      <c r="K30" s="176" t="s">
        <v>185</v>
      </c>
      <c r="L30" s="176" t="s">
        <v>185</v>
      </c>
      <c r="M30" s="176" t="s">
        <v>185</v>
      </c>
      <c r="N30" s="222" t="s">
        <v>1080</v>
      </c>
      <c r="O30" s="212">
        <v>1</v>
      </c>
      <c r="P30" s="214" t="s">
        <v>1081</v>
      </c>
      <c r="Q30" s="214" t="s">
        <v>1082</v>
      </c>
      <c r="R30" s="451" t="s">
        <v>1083</v>
      </c>
      <c r="S30" s="214" t="s">
        <v>1084</v>
      </c>
      <c r="T30" s="214" t="s">
        <v>1085</v>
      </c>
      <c r="U30" s="158" t="s">
        <v>162</v>
      </c>
      <c r="V30" s="168" t="s">
        <v>1535</v>
      </c>
      <c r="W30" s="158" t="s">
        <v>967</v>
      </c>
      <c r="X30" s="158" t="s">
        <v>185</v>
      </c>
      <c r="Y30" s="158" t="s">
        <v>185</v>
      </c>
      <c r="Z30" s="158"/>
      <c r="AA30" s="158" t="str">
        <f>IF(GCP[[#This Row],[Column14]]="-","", "v")</f>
        <v>v</v>
      </c>
      <c r="AB30" s="158" t="str">
        <f>IF(GCP[[#This Row],[Column8]]="x","1",(IF(OR(GCP[[#This Row],[Column25]]=2,GCP[[#This Row],[Column26]]=2,GCP[[#This Row],[Column27]]=2),"1",(IF(GCP[[#This Row],[Column9]]="x","2",(IF(GCP[[#This Row],[Column10]]="x","3","")))))))</f>
        <v>1</v>
      </c>
      <c r="AC30" s="454" t="str">
        <f>IF(GCP[[#This Row],[Column14]] = "-", GCP[[#This Row],[Column14]], LEFT(GCP[[#This Row],[Column14]], SEARCH(" ", GCP[[#This Row],[Column14]] &amp; " ") - 1))</f>
        <v>6.3.2</v>
      </c>
    </row>
    <row r="31" spans="1:29" ht="409.5">
      <c r="A3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1" s="137" t="str">
        <f>GCP[[#This Row],[Column30]]</f>
        <v>6.3.7</v>
      </c>
      <c r="C31" s="137">
        <v>3.3</v>
      </c>
      <c r="D31" s="138" t="s">
        <v>182</v>
      </c>
      <c r="E31" s="162" t="s">
        <v>156</v>
      </c>
      <c r="F31" s="138" t="s">
        <v>195</v>
      </c>
      <c r="G31" s="138" t="s">
        <v>196</v>
      </c>
      <c r="H31" s="163" t="s">
        <v>185</v>
      </c>
      <c r="I31" s="164" t="s">
        <v>185</v>
      </c>
      <c r="J31" s="200" t="s">
        <v>185</v>
      </c>
      <c r="K31" s="176" t="s">
        <v>185</v>
      </c>
      <c r="L31" s="176" t="s">
        <v>185</v>
      </c>
      <c r="M31" s="176" t="s">
        <v>185</v>
      </c>
      <c r="N31" s="222" t="s">
        <v>1086</v>
      </c>
      <c r="O31" s="212">
        <v>1</v>
      </c>
      <c r="P31" s="214" t="s">
        <v>1087</v>
      </c>
      <c r="Q31" s="457" t="s">
        <v>1088</v>
      </c>
      <c r="R31" s="451" t="s">
        <v>1089</v>
      </c>
      <c r="S31" s="214" t="s">
        <v>1090</v>
      </c>
      <c r="T31" s="214" t="s">
        <v>1091</v>
      </c>
      <c r="U31" s="158" t="s">
        <v>162</v>
      </c>
      <c r="V31" s="168" t="s">
        <v>1535</v>
      </c>
      <c r="W31" s="158" t="s">
        <v>967</v>
      </c>
      <c r="X31" s="158" t="s">
        <v>185</v>
      </c>
      <c r="Y31" s="158" t="s">
        <v>185</v>
      </c>
      <c r="Z31" s="158"/>
      <c r="AA31" s="158" t="str">
        <f>IF(GCP[[#This Row],[Column14]]="-","", "v")</f>
        <v>v</v>
      </c>
      <c r="AB31" s="158" t="str">
        <f>IF(GCP[[#This Row],[Column8]]="x","1",(IF(OR(GCP[[#This Row],[Column25]]=2,GCP[[#This Row],[Column26]]=2,GCP[[#This Row],[Column27]]=2),"1",(IF(GCP[[#This Row],[Column9]]="x","2",(IF(GCP[[#This Row],[Column10]]="x","3","")))))))</f>
        <v>1</v>
      </c>
      <c r="AC31" s="454" t="str">
        <f>IF(GCP[[#This Row],[Column14]] = "-", GCP[[#This Row],[Column14]], LEFT(GCP[[#This Row],[Column14]], SEARCH(" ", GCP[[#This Row],[Column14]] &amp; " ") - 1))</f>
        <v>6.3.7</v>
      </c>
    </row>
    <row r="32" spans="1:29" ht="409.5">
      <c r="A3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2" s="137" t="str">
        <f>GCP[[#This Row],[Column30]]</f>
        <v>6.5</v>
      </c>
      <c r="C32" s="137">
        <v>3.3</v>
      </c>
      <c r="D32" s="138" t="s">
        <v>182</v>
      </c>
      <c r="E32" s="162" t="s">
        <v>156</v>
      </c>
      <c r="F32" s="138" t="s">
        <v>195</v>
      </c>
      <c r="G32" s="138" t="s">
        <v>196</v>
      </c>
      <c r="H32" s="163" t="s">
        <v>185</v>
      </c>
      <c r="I32" s="164" t="s">
        <v>185</v>
      </c>
      <c r="J32" s="200" t="s">
        <v>185</v>
      </c>
      <c r="K32" s="176" t="s">
        <v>185</v>
      </c>
      <c r="L32" s="176" t="s">
        <v>185</v>
      </c>
      <c r="M32" s="176" t="s">
        <v>185</v>
      </c>
      <c r="N32" s="222" t="s">
        <v>1092</v>
      </c>
      <c r="O32" s="212">
        <v>1</v>
      </c>
      <c r="P32" s="214" t="s">
        <v>1093</v>
      </c>
      <c r="Q32" s="457" t="s">
        <v>1094</v>
      </c>
      <c r="R32" s="451" t="s">
        <v>1095</v>
      </c>
      <c r="S32" s="214" t="s">
        <v>1096</v>
      </c>
      <c r="T32" s="214" t="s">
        <v>1097</v>
      </c>
      <c r="U32" s="158" t="s">
        <v>975</v>
      </c>
      <c r="V32" s="168" t="s">
        <v>1536</v>
      </c>
      <c r="W32" s="158" t="s">
        <v>967</v>
      </c>
      <c r="X32" s="158" t="s">
        <v>185</v>
      </c>
      <c r="Y32" s="158" t="s">
        <v>185</v>
      </c>
      <c r="Z32" s="158"/>
      <c r="AA32" s="158" t="str">
        <f>IF(GCP[[#This Row],[Column14]]="-","", "v")</f>
        <v>v</v>
      </c>
      <c r="AB32" s="158" t="str">
        <f>IF(GCP[[#This Row],[Column8]]="x","1",(IF(OR(GCP[[#This Row],[Column25]]=2,GCP[[#This Row],[Column26]]=2,GCP[[#This Row],[Column27]]=2),"1",(IF(GCP[[#This Row],[Column9]]="x","2",(IF(GCP[[#This Row],[Column10]]="x","3","")))))))</f>
        <v>1</v>
      </c>
      <c r="AC32" s="454" t="str">
        <f>IF(GCP[[#This Row],[Column14]] = "-", GCP[[#This Row],[Column14]], LEFT(GCP[[#This Row],[Column14]], SEARCH(" ", GCP[[#This Row],[Column14]] &amp; " ") - 1))</f>
        <v>6.5</v>
      </c>
    </row>
    <row r="33" spans="1:29" ht="409.5">
      <c r="A3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3" s="137" t="str">
        <f>GCP[[#This Row],[Column30]]</f>
        <v>6.6</v>
      </c>
      <c r="C33" s="137">
        <v>3.3</v>
      </c>
      <c r="D33" s="138" t="s">
        <v>182</v>
      </c>
      <c r="E33" s="162" t="s">
        <v>156</v>
      </c>
      <c r="F33" s="138" t="s">
        <v>195</v>
      </c>
      <c r="G33" s="138" t="s">
        <v>196</v>
      </c>
      <c r="H33" s="163" t="s">
        <v>185</v>
      </c>
      <c r="I33" s="164" t="s">
        <v>185</v>
      </c>
      <c r="J33" s="200" t="s">
        <v>185</v>
      </c>
      <c r="K33" s="176" t="s">
        <v>185</v>
      </c>
      <c r="L33" s="176" t="s">
        <v>185</v>
      </c>
      <c r="M33" s="176" t="s">
        <v>185</v>
      </c>
      <c r="N33" s="222" t="s">
        <v>1098</v>
      </c>
      <c r="O33" s="212">
        <v>2</v>
      </c>
      <c r="P33" s="214" t="s">
        <v>1099</v>
      </c>
      <c r="Q33" s="457" t="s">
        <v>1100</v>
      </c>
      <c r="R33" s="451" t="s">
        <v>1101</v>
      </c>
      <c r="S33" s="214" t="s">
        <v>1102</v>
      </c>
      <c r="T33" s="214" t="s">
        <v>1103</v>
      </c>
      <c r="U33" s="158" t="s">
        <v>975</v>
      </c>
      <c r="V33" s="168" t="s">
        <v>1536</v>
      </c>
      <c r="W33" s="158" t="s">
        <v>967</v>
      </c>
      <c r="X33" s="158" t="s">
        <v>185</v>
      </c>
      <c r="Y33" s="158" t="s">
        <v>185</v>
      </c>
      <c r="Z33" s="158"/>
      <c r="AA33" s="158" t="str">
        <f>IF(GCP[[#This Row],[Column14]]="-","", "v")</f>
        <v>v</v>
      </c>
      <c r="AB33" s="158" t="str">
        <f>IF(GCP[[#This Row],[Column8]]="x","1",(IF(OR(GCP[[#This Row],[Column25]]=2,GCP[[#This Row],[Column26]]=2,GCP[[#This Row],[Column27]]=2),"1",(IF(GCP[[#This Row],[Column9]]="x","2",(IF(GCP[[#This Row],[Column10]]="x","3","")))))))</f>
        <v>1</v>
      </c>
      <c r="AC33" s="454" t="str">
        <f>IF(GCP[[#This Row],[Column14]] = "-", GCP[[#This Row],[Column14]], LEFT(GCP[[#This Row],[Column14]], SEARCH(" ", GCP[[#This Row],[Column14]] &amp; " ") - 1))</f>
        <v>6.6</v>
      </c>
    </row>
    <row r="34" spans="1:29" ht="409.5">
      <c r="A3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4" s="137" t="str">
        <f>GCP[[#This Row],[Column30]]</f>
        <v>7.1</v>
      </c>
      <c r="C34" s="137">
        <v>3.3</v>
      </c>
      <c r="D34" s="138" t="s">
        <v>182</v>
      </c>
      <c r="E34" s="162" t="s">
        <v>156</v>
      </c>
      <c r="F34" s="138" t="s">
        <v>195</v>
      </c>
      <c r="G34" s="138" t="s">
        <v>196</v>
      </c>
      <c r="H34" s="163" t="s">
        <v>185</v>
      </c>
      <c r="I34" s="164" t="s">
        <v>185</v>
      </c>
      <c r="J34" s="200" t="s">
        <v>185</v>
      </c>
      <c r="K34" s="176" t="s">
        <v>185</v>
      </c>
      <c r="L34" s="176" t="s">
        <v>185</v>
      </c>
      <c r="M34" s="176" t="s">
        <v>185</v>
      </c>
      <c r="N34" s="222" t="s">
        <v>1104</v>
      </c>
      <c r="O34" s="212">
        <v>1</v>
      </c>
      <c r="P34" s="214" t="s">
        <v>1105</v>
      </c>
      <c r="Q34" s="457" t="s">
        <v>1106</v>
      </c>
      <c r="R34" s="451" t="s">
        <v>1107</v>
      </c>
      <c r="S34" s="214" t="s">
        <v>1108</v>
      </c>
      <c r="T34" s="214" t="s">
        <v>1109</v>
      </c>
      <c r="U34" s="158" t="s">
        <v>975</v>
      </c>
      <c r="V34" s="168" t="s">
        <v>1536</v>
      </c>
      <c r="W34" s="158" t="s">
        <v>967</v>
      </c>
      <c r="X34" s="158" t="s">
        <v>185</v>
      </c>
      <c r="Y34" s="158" t="s">
        <v>185</v>
      </c>
      <c r="Z34" s="158"/>
      <c r="AA34" s="158" t="str">
        <f>IF(GCP[[#This Row],[Column14]]="-","", "v")</f>
        <v>v</v>
      </c>
      <c r="AB34" s="158" t="str">
        <f>IF(GCP[[#This Row],[Column8]]="x","1",(IF(OR(GCP[[#This Row],[Column25]]=2,GCP[[#This Row],[Column26]]=2,GCP[[#This Row],[Column27]]=2),"1",(IF(GCP[[#This Row],[Column9]]="x","2",(IF(GCP[[#This Row],[Column10]]="x","3","")))))))</f>
        <v>1</v>
      </c>
      <c r="AC34" s="454" t="str">
        <f>IF(GCP[[#This Row],[Column14]] = "-", GCP[[#This Row],[Column14]], LEFT(GCP[[#This Row],[Column14]], SEARCH(" ", GCP[[#This Row],[Column14]] &amp; " ") - 1))</f>
        <v>7.1</v>
      </c>
    </row>
    <row r="35" spans="1:29" ht="30">
      <c r="A3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5" s="137" t="str">
        <f>GCP[[#This Row],[Column30]]</f>
        <v>-</v>
      </c>
      <c r="C35" s="137">
        <v>3.4</v>
      </c>
      <c r="D35" s="138" t="s">
        <v>182</v>
      </c>
      <c r="E35" s="162" t="s">
        <v>156</v>
      </c>
      <c r="F35" s="138" t="s">
        <v>266</v>
      </c>
      <c r="G35" s="138" t="s">
        <v>267</v>
      </c>
      <c r="H35" s="163" t="s">
        <v>185</v>
      </c>
      <c r="I35" s="164" t="s">
        <v>185</v>
      </c>
      <c r="J35" s="200" t="s">
        <v>185</v>
      </c>
      <c r="K35" s="176" t="s">
        <v>185</v>
      </c>
      <c r="L35" s="176" t="s">
        <v>185</v>
      </c>
      <c r="M35" s="176" t="s">
        <v>185</v>
      </c>
      <c r="N35" s="222" t="s">
        <v>162</v>
      </c>
      <c r="O35" s="222" t="s">
        <v>162</v>
      </c>
      <c r="P35" s="222" t="s">
        <v>162</v>
      </c>
      <c r="Q35" s="222" t="s">
        <v>162</v>
      </c>
      <c r="R35" s="451"/>
      <c r="S35" s="222" t="s">
        <v>162</v>
      </c>
      <c r="T35" s="222" t="s">
        <v>162</v>
      </c>
      <c r="U35" s="258" t="s">
        <v>162</v>
      </c>
      <c r="V35" s="168"/>
      <c r="W35" s="158" t="s">
        <v>966</v>
      </c>
      <c r="X35" s="158" t="s">
        <v>185</v>
      </c>
      <c r="Y35" s="158" t="s">
        <v>185</v>
      </c>
      <c r="Z35" s="158"/>
      <c r="AA35" s="158" t="str">
        <f>IF(GCP[[#This Row],[Column14]]="-","", "v")</f>
        <v/>
      </c>
      <c r="AB35" s="158" t="str">
        <f>IF(GCP[[#This Row],[Column8]]="x","1",(IF(OR(GCP[[#This Row],[Column25]]=2,GCP[[#This Row],[Column26]]=2,GCP[[#This Row],[Column27]]=2),"1",(IF(GCP[[#This Row],[Column9]]="x","2",(IF(GCP[[#This Row],[Column10]]="x","3","")))))))</f>
        <v>1</v>
      </c>
      <c r="AC35" s="454" t="str">
        <f>IF(GCP[[#This Row],[Column14]] = "-", GCP[[#This Row],[Column14]], LEFT(GCP[[#This Row],[Column14]], SEARCH(" ", GCP[[#This Row],[Column14]] &amp; " ") - 1))</f>
        <v>-</v>
      </c>
    </row>
    <row r="36" spans="1:29" ht="45">
      <c r="A3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6" s="137" t="str">
        <f>GCP[[#This Row],[Column30]]</f>
        <v>-</v>
      </c>
      <c r="C36" s="137">
        <v>3.5</v>
      </c>
      <c r="D36" s="138" t="s">
        <v>182</v>
      </c>
      <c r="E36" s="162" t="s">
        <v>156</v>
      </c>
      <c r="F36" s="138" t="s">
        <v>268</v>
      </c>
      <c r="G36" s="138" t="s">
        <v>269</v>
      </c>
      <c r="H36" s="163" t="s">
        <v>185</v>
      </c>
      <c r="I36" s="164" t="s">
        <v>185</v>
      </c>
      <c r="J36" s="200" t="s">
        <v>185</v>
      </c>
      <c r="K36" s="176" t="s">
        <v>185</v>
      </c>
      <c r="L36" s="176" t="s">
        <v>185</v>
      </c>
      <c r="M36" s="176" t="s">
        <v>185</v>
      </c>
      <c r="N36" s="222" t="s">
        <v>162</v>
      </c>
      <c r="O36" s="222" t="s">
        <v>162</v>
      </c>
      <c r="P36" s="222" t="s">
        <v>162</v>
      </c>
      <c r="Q36" s="222" t="s">
        <v>162</v>
      </c>
      <c r="R36" s="451"/>
      <c r="S36" s="222" t="s">
        <v>162</v>
      </c>
      <c r="T36" s="222" t="s">
        <v>162</v>
      </c>
      <c r="U36" s="258" t="s">
        <v>162</v>
      </c>
      <c r="V36" s="168"/>
      <c r="W36" s="158" t="s">
        <v>966</v>
      </c>
      <c r="X36" s="158" t="s">
        <v>185</v>
      </c>
      <c r="Y36" s="158" t="s">
        <v>185</v>
      </c>
      <c r="Z36" s="158"/>
      <c r="AA36" s="158" t="str">
        <f>IF(GCP[[#This Row],[Column14]]="-","", "v")</f>
        <v/>
      </c>
      <c r="AB36" s="158" t="str">
        <f>IF(GCP[[#This Row],[Column8]]="x","1",(IF(OR(GCP[[#This Row],[Column25]]=2,GCP[[#This Row],[Column26]]=2,GCP[[#This Row],[Column27]]=2),"1",(IF(GCP[[#This Row],[Column9]]="x","2",(IF(GCP[[#This Row],[Column10]]="x","3","")))))))</f>
        <v>1</v>
      </c>
      <c r="AC36" s="454" t="str">
        <f>IF(GCP[[#This Row],[Column14]] = "-", GCP[[#This Row],[Column14]], LEFT(GCP[[#This Row],[Column14]], SEARCH(" ", GCP[[#This Row],[Column14]] &amp; " ") - 1))</f>
        <v>-</v>
      </c>
    </row>
    <row r="37" spans="1:29" ht="48">
      <c r="A3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37" s="137" t="str">
        <f>GCP[[#This Row],[Column30]]</f>
        <v>-</v>
      </c>
      <c r="C37" s="137">
        <v>3.6</v>
      </c>
      <c r="D37" s="138" t="s">
        <v>352</v>
      </c>
      <c r="E37" s="162" t="s">
        <v>156</v>
      </c>
      <c r="F37" s="138" t="s">
        <v>388</v>
      </c>
      <c r="G37" s="139" t="s">
        <v>389</v>
      </c>
      <c r="H37" s="163" t="s">
        <v>185</v>
      </c>
      <c r="I37" s="164" t="s">
        <v>185</v>
      </c>
      <c r="J37" s="200" t="s">
        <v>185</v>
      </c>
      <c r="K37" s="158"/>
      <c r="L37" s="158"/>
      <c r="M37" s="158"/>
      <c r="N37" s="222" t="s">
        <v>162</v>
      </c>
      <c r="O37" s="222" t="s">
        <v>162</v>
      </c>
      <c r="P37" s="222" t="s">
        <v>162</v>
      </c>
      <c r="Q37" s="222" t="s">
        <v>162</v>
      </c>
      <c r="R37" s="451"/>
      <c r="S37" s="222" t="s">
        <v>162</v>
      </c>
      <c r="T37" s="222" t="s">
        <v>162</v>
      </c>
      <c r="U37" s="258" t="s">
        <v>162</v>
      </c>
      <c r="V37" s="168"/>
      <c r="W37" s="158" t="s">
        <v>966</v>
      </c>
      <c r="X37" s="158" t="s">
        <v>185</v>
      </c>
      <c r="Y37" s="158" t="s">
        <v>185</v>
      </c>
      <c r="Z37" s="158"/>
      <c r="AA37" s="158" t="str">
        <f>IF(GCP[[#This Row],[Column14]]="-","", "v")</f>
        <v/>
      </c>
      <c r="AB37" s="158" t="str">
        <f>IF(GCP[[#This Row],[Column8]]="x","1",(IF(OR(GCP[[#This Row],[Column25]]=2,GCP[[#This Row],[Column26]]=2,GCP[[#This Row],[Column27]]=2),"1",(IF(GCP[[#This Row],[Column9]]="x","2",(IF(GCP[[#This Row],[Column10]]="x","3","")))))))</f>
        <v>1</v>
      </c>
      <c r="AC37" s="454" t="str">
        <f>IF(GCP[[#This Row],[Column14]] = "-", GCP[[#This Row],[Column14]], LEFT(GCP[[#This Row],[Column14]], SEARCH(" ", GCP[[#This Row],[Column14]] &amp; " ") - 1))</f>
        <v>-</v>
      </c>
    </row>
    <row r="38" spans="1:29" ht="75">
      <c r="A3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8" s="137" t="str">
        <f>GCP[[#This Row],[Column30]]</f>
        <v>-</v>
      </c>
      <c r="C38" s="137">
        <v>3.7</v>
      </c>
      <c r="D38" s="138" t="s">
        <v>182</v>
      </c>
      <c r="E38" s="162" t="s">
        <v>154</v>
      </c>
      <c r="F38" s="138" t="s">
        <v>270</v>
      </c>
      <c r="G38" s="139" t="s">
        <v>271</v>
      </c>
      <c r="H38" s="204"/>
      <c r="I38" s="164" t="s">
        <v>185</v>
      </c>
      <c r="J38" s="200" t="s">
        <v>185</v>
      </c>
      <c r="K38" s="176" t="s">
        <v>185</v>
      </c>
      <c r="L38" s="176" t="s">
        <v>185</v>
      </c>
      <c r="M38" s="176" t="s">
        <v>185</v>
      </c>
      <c r="N38" s="222" t="s">
        <v>162</v>
      </c>
      <c r="O38" s="222" t="s">
        <v>162</v>
      </c>
      <c r="P38" s="222" t="s">
        <v>162</v>
      </c>
      <c r="Q38" s="222" t="s">
        <v>162</v>
      </c>
      <c r="R38" s="451"/>
      <c r="S38" s="222" t="s">
        <v>162</v>
      </c>
      <c r="T38" s="222" t="s">
        <v>162</v>
      </c>
      <c r="U38" s="258" t="s">
        <v>162</v>
      </c>
      <c r="V38" s="168"/>
      <c r="W38" s="158" t="s">
        <v>966</v>
      </c>
      <c r="X38" s="158" t="s">
        <v>185</v>
      </c>
      <c r="Y38" s="158" t="s">
        <v>185</v>
      </c>
      <c r="Z38" s="158"/>
      <c r="AA38" s="158" t="str">
        <f>IF(GCP[[#This Row],[Column14]]="-","", "v")</f>
        <v/>
      </c>
      <c r="AB38" s="158" t="str">
        <f>IF(GCP[[#This Row],[Column8]]="x","1",(IF(OR(GCP[[#This Row],[Column25]]=2,GCP[[#This Row],[Column26]]=2,GCP[[#This Row],[Column27]]=2),"1",(IF(GCP[[#This Row],[Column9]]="x","2",(IF(GCP[[#This Row],[Column10]]="x","3","")))))))</f>
        <v>2</v>
      </c>
      <c r="AC38" s="454" t="str">
        <f>IF(GCP[[#This Row],[Column14]] = "-", GCP[[#This Row],[Column14]], LEFT(GCP[[#This Row],[Column14]], SEARCH(" ", GCP[[#This Row],[Column14]] &amp; " ") - 1))</f>
        <v>-</v>
      </c>
    </row>
    <row r="39" spans="1:29" ht="60">
      <c r="A3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39" s="137" t="str">
        <f>GCP[[#This Row],[Column30]]</f>
        <v>-</v>
      </c>
      <c r="C39" s="137">
        <v>3.8</v>
      </c>
      <c r="D39" s="138" t="s">
        <v>182</v>
      </c>
      <c r="E39" s="162" t="s">
        <v>154</v>
      </c>
      <c r="F39" s="138" t="s">
        <v>272</v>
      </c>
      <c r="G39" s="138" t="s">
        <v>273</v>
      </c>
      <c r="H39" s="137"/>
      <c r="I39" s="164" t="s">
        <v>185</v>
      </c>
      <c r="J39" s="200" t="s">
        <v>185</v>
      </c>
      <c r="K39" s="176" t="s">
        <v>185</v>
      </c>
      <c r="L39" s="176" t="s">
        <v>185</v>
      </c>
      <c r="M39" s="176" t="s">
        <v>185</v>
      </c>
      <c r="N39" s="222" t="s">
        <v>162</v>
      </c>
      <c r="O39" s="222" t="s">
        <v>162</v>
      </c>
      <c r="P39" s="222" t="s">
        <v>162</v>
      </c>
      <c r="Q39" s="222" t="s">
        <v>162</v>
      </c>
      <c r="R39" s="451"/>
      <c r="S39" s="222" t="s">
        <v>162</v>
      </c>
      <c r="T39" s="222" t="s">
        <v>162</v>
      </c>
      <c r="U39" s="258" t="s">
        <v>162</v>
      </c>
      <c r="V39" s="168"/>
      <c r="W39" s="158" t="s">
        <v>966</v>
      </c>
      <c r="X39" s="158" t="s">
        <v>185</v>
      </c>
      <c r="Y39" s="158" t="s">
        <v>185</v>
      </c>
      <c r="Z39" s="158"/>
      <c r="AA39" s="158" t="str">
        <f>IF(GCP[[#This Row],[Column14]]="-","", "v")</f>
        <v/>
      </c>
      <c r="AB39" s="158" t="str">
        <f>IF(GCP[[#This Row],[Column8]]="x","1",(IF(OR(GCP[[#This Row],[Column25]]=2,GCP[[#This Row],[Column26]]=2,GCP[[#This Row],[Column27]]=2),"1",(IF(GCP[[#This Row],[Column9]]="x","2",(IF(GCP[[#This Row],[Column10]]="x","3","")))))))</f>
        <v>2</v>
      </c>
      <c r="AC39" s="454" t="str">
        <f>IF(GCP[[#This Row],[Column14]] = "-", GCP[[#This Row],[Column14]], LEFT(GCP[[#This Row],[Column14]], SEARCH(" ", GCP[[#This Row],[Column14]] &amp; " ") - 1))</f>
        <v>-</v>
      </c>
    </row>
    <row r="40" spans="1:29" ht="30">
      <c r="A4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40" s="137" t="str">
        <f>GCP[[#This Row],[Column30]]</f>
        <v>-</v>
      </c>
      <c r="C40" s="137">
        <v>3.9</v>
      </c>
      <c r="D40" s="138" t="s">
        <v>182</v>
      </c>
      <c r="E40" s="162" t="s">
        <v>156</v>
      </c>
      <c r="F40" s="138" t="s">
        <v>274</v>
      </c>
      <c r="G40" s="138" t="s">
        <v>275</v>
      </c>
      <c r="H40" s="204"/>
      <c r="I40" s="164" t="s">
        <v>185</v>
      </c>
      <c r="J40" s="200" t="s">
        <v>185</v>
      </c>
      <c r="K40" s="158"/>
      <c r="L40" s="158"/>
      <c r="M40" s="158"/>
      <c r="N40" s="222" t="s">
        <v>162</v>
      </c>
      <c r="O40" s="222" t="s">
        <v>162</v>
      </c>
      <c r="P40" s="222" t="s">
        <v>162</v>
      </c>
      <c r="Q40" s="222" t="s">
        <v>162</v>
      </c>
      <c r="R40" s="451"/>
      <c r="S40" s="222" t="s">
        <v>162</v>
      </c>
      <c r="T40" s="222" t="s">
        <v>162</v>
      </c>
      <c r="U40" s="258" t="s">
        <v>162</v>
      </c>
      <c r="V40" s="168"/>
      <c r="W40" s="158" t="s">
        <v>966</v>
      </c>
      <c r="X40" s="158" t="s">
        <v>185</v>
      </c>
      <c r="Y40" s="158" t="s">
        <v>185</v>
      </c>
      <c r="Z40" s="158"/>
      <c r="AA40" s="158" t="str">
        <f>IF(GCP[[#This Row],[Column14]]="-","", "v")</f>
        <v/>
      </c>
      <c r="AB40" s="158" t="str">
        <f>IF(GCP[[#This Row],[Column8]]="x","1",(IF(OR(GCP[[#This Row],[Column25]]=2,GCP[[#This Row],[Column26]]=2,GCP[[#This Row],[Column27]]=2),"1",(IF(GCP[[#This Row],[Column9]]="x","2",(IF(GCP[[#This Row],[Column10]]="x","3","")))))))</f>
        <v>2</v>
      </c>
      <c r="AC40" s="454" t="str">
        <f>IF(GCP[[#This Row],[Column14]] = "-", GCP[[#This Row],[Column14]], LEFT(GCP[[#This Row],[Column14]], SEARCH(" ", GCP[[#This Row],[Column14]] &amp; " ") - 1))</f>
        <v>-</v>
      </c>
    </row>
    <row r="41" spans="1:29" ht="409.5">
      <c r="A4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1" s="137" t="str">
        <f>GCP[[#This Row],[Column30]]</f>
        <v>3.9</v>
      </c>
      <c r="C41" s="140">
        <v>3.1</v>
      </c>
      <c r="D41" s="138" t="s">
        <v>182</v>
      </c>
      <c r="E41" s="162" t="s">
        <v>156</v>
      </c>
      <c r="F41" s="138" t="s">
        <v>276</v>
      </c>
      <c r="G41" s="139" t="s">
        <v>277</v>
      </c>
      <c r="H41" s="137"/>
      <c r="I41" s="164" t="s">
        <v>185</v>
      </c>
      <c r="J41" s="200" t="s">
        <v>185</v>
      </c>
      <c r="K41" s="176" t="s">
        <v>185</v>
      </c>
      <c r="L41" s="176" t="s">
        <v>185</v>
      </c>
      <c r="M41" s="176" t="s">
        <v>185</v>
      </c>
      <c r="N41" s="222" t="s">
        <v>1110</v>
      </c>
      <c r="O41" s="212">
        <v>1</v>
      </c>
      <c r="P41" s="214" t="s">
        <v>1111</v>
      </c>
      <c r="Q41" s="214" t="s">
        <v>1112</v>
      </c>
      <c r="R41" s="451" t="s">
        <v>1113</v>
      </c>
      <c r="S41" s="214" t="s">
        <v>1114</v>
      </c>
      <c r="T41" s="214" t="s">
        <v>1115</v>
      </c>
      <c r="U41" s="158" t="s">
        <v>975</v>
      </c>
      <c r="V41" s="168" t="s">
        <v>1537</v>
      </c>
      <c r="W41" s="158" t="s">
        <v>966</v>
      </c>
      <c r="X41" s="158" t="s">
        <v>185</v>
      </c>
      <c r="Y41" s="158" t="s">
        <v>185</v>
      </c>
      <c r="Z41" s="158"/>
      <c r="AA41" s="158" t="str">
        <f>IF(GCP[[#This Row],[Column14]]="-","", "v")</f>
        <v>v</v>
      </c>
      <c r="AB41" s="158" t="str">
        <f>IF(GCP[[#This Row],[Column8]]="x","1",(IF(OR(GCP[[#This Row],[Column25]]=2,GCP[[#This Row],[Column26]]=2,GCP[[#This Row],[Column27]]=2),"1",(IF(GCP[[#This Row],[Column9]]="x","2",(IF(GCP[[#This Row],[Column10]]="x","3","")))))))</f>
        <v>2</v>
      </c>
      <c r="AC41" s="454" t="str">
        <f>IF(GCP[[#This Row],[Column14]] = "-", GCP[[#This Row],[Column14]], LEFT(GCP[[#This Row],[Column14]], SEARCH(" ", GCP[[#This Row],[Column14]] &amp; " ") - 1))</f>
        <v>3.9</v>
      </c>
    </row>
    <row r="42" spans="1:29" ht="409.5">
      <c r="A4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2" s="137" t="str">
        <f>GCP[[#This Row],[Column30]]</f>
        <v>4.3</v>
      </c>
      <c r="C42" s="140">
        <v>3.1</v>
      </c>
      <c r="D42" s="138" t="s">
        <v>182</v>
      </c>
      <c r="E42" s="162" t="s">
        <v>156</v>
      </c>
      <c r="F42" s="138" t="s">
        <v>276</v>
      </c>
      <c r="G42" s="139" t="s">
        <v>277</v>
      </c>
      <c r="H42" s="137"/>
      <c r="I42" s="164" t="s">
        <v>185</v>
      </c>
      <c r="J42" s="200" t="s">
        <v>185</v>
      </c>
      <c r="K42" s="176" t="s">
        <v>185</v>
      </c>
      <c r="L42" s="176" t="s">
        <v>185</v>
      </c>
      <c r="M42" s="176" t="s">
        <v>185</v>
      </c>
      <c r="N42" s="222" t="s">
        <v>1116</v>
      </c>
      <c r="O42" s="212">
        <v>1</v>
      </c>
      <c r="P42" s="214" t="s">
        <v>1117</v>
      </c>
      <c r="Q42" s="214" t="s">
        <v>1118</v>
      </c>
      <c r="R42" s="451" t="s">
        <v>1119</v>
      </c>
      <c r="S42" s="214" t="s">
        <v>1120</v>
      </c>
      <c r="T42" s="214" t="s">
        <v>1121</v>
      </c>
      <c r="U42" s="158" t="s">
        <v>162</v>
      </c>
      <c r="V42" s="168" t="s">
        <v>1538</v>
      </c>
      <c r="W42" s="158" t="s">
        <v>967</v>
      </c>
      <c r="X42" s="158" t="s">
        <v>185</v>
      </c>
      <c r="Y42" s="158" t="s">
        <v>185</v>
      </c>
      <c r="Z42" s="158"/>
      <c r="AA42" s="158" t="str">
        <f>IF(GCP[[#This Row],[Column14]]="-","", "v")</f>
        <v>v</v>
      </c>
      <c r="AB42" s="158" t="str">
        <f>IF(GCP[[#This Row],[Column8]]="x","1",(IF(OR(GCP[[#This Row],[Column25]]=2,GCP[[#This Row],[Column26]]=2,GCP[[#This Row],[Column27]]=2),"1",(IF(GCP[[#This Row],[Column9]]="x","2",(IF(GCP[[#This Row],[Column10]]="x","3","")))))))</f>
        <v>2</v>
      </c>
      <c r="AC42" s="454" t="str">
        <f>IF(GCP[[#This Row],[Column14]] = "-", GCP[[#This Row],[Column14]], LEFT(GCP[[#This Row],[Column14]], SEARCH(" ", GCP[[#This Row],[Column14]] &amp; " ") - 1))</f>
        <v>4.3</v>
      </c>
    </row>
    <row r="43" spans="1:29" ht="228">
      <c r="A4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3" s="137" t="str">
        <f>GCP[[#This Row],[Column30]]</f>
        <v>4.10</v>
      </c>
      <c r="C43" s="140">
        <v>3.1</v>
      </c>
      <c r="D43" s="138" t="s">
        <v>182</v>
      </c>
      <c r="E43" s="162" t="s">
        <v>156</v>
      </c>
      <c r="F43" s="138" t="s">
        <v>276</v>
      </c>
      <c r="G43" s="139" t="s">
        <v>277</v>
      </c>
      <c r="H43" s="137"/>
      <c r="I43" s="164" t="s">
        <v>185</v>
      </c>
      <c r="J43" s="200" t="s">
        <v>185</v>
      </c>
      <c r="K43" s="176" t="s">
        <v>185</v>
      </c>
      <c r="L43" s="176" t="s">
        <v>185</v>
      </c>
      <c r="M43" s="176" t="s">
        <v>185</v>
      </c>
      <c r="N43" s="222" t="s">
        <v>1122</v>
      </c>
      <c r="O43" s="212">
        <v>2</v>
      </c>
      <c r="P43" s="214" t="s">
        <v>1123</v>
      </c>
      <c r="Q43" s="214" t="s">
        <v>1124</v>
      </c>
      <c r="R43" s="451" t="s">
        <v>1125</v>
      </c>
      <c r="S43" s="214" t="s">
        <v>1126</v>
      </c>
      <c r="T43" s="214" t="s">
        <v>1127</v>
      </c>
      <c r="U43" s="158" t="s">
        <v>162</v>
      </c>
      <c r="V43" s="168" t="s">
        <v>1539</v>
      </c>
      <c r="W43" s="158" t="s">
        <v>967</v>
      </c>
      <c r="X43" s="158" t="s">
        <v>185</v>
      </c>
      <c r="Y43" s="158" t="s">
        <v>185</v>
      </c>
      <c r="Z43" s="158"/>
      <c r="AA43" s="158" t="str">
        <f>IF(GCP[[#This Row],[Column14]]="-","", "v")</f>
        <v>v</v>
      </c>
      <c r="AB43" s="158" t="str">
        <f>IF(GCP[[#This Row],[Column8]]="x","1",(IF(OR(GCP[[#This Row],[Column25]]=2,GCP[[#This Row],[Column26]]=2,GCP[[#This Row],[Column27]]=2),"1",(IF(GCP[[#This Row],[Column9]]="x","2",(IF(GCP[[#This Row],[Column10]]="x","3","")))))))</f>
        <v>2</v>
      </c>
      <c r="AC43" s="454" t="str">
        <f>IF(GCP[[#This Row],[Column14]] = "-", GCP[[#This Row],[Column14]], LEFT(GCP[[#This Row],[Column14]], SEARCH(" ", GCP[[#This Row],[Column14]] &amp; " ") - 1))</f>
        <v>4.10</v>
      </c>
    </row>
    <row r="44" spans="1:29" ht="409.5">
      <c r="A4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4" s="137" t="str">
        <f>GCP[[#This Row],[Column30]]</f>
        <v>6.4</v>
      </c>
      <c r="C44" s="140">
        <v>3.1</v>
      </c>
      <c r="D44" s="138" t="s">
        <v>182</v>
      </c>
      <c r="E44" s="162" t="s">
        <v>156</v>
      </c>
      <c r="F44" s="138" t="s">
        <v>276</v>
      </c>
      <c r="G44" s="139" t="s">
        <v>277</v>
      </c>
      <c r="H44" s="137"/>
      <c r="I44" s="164" t="s">
        <v>185</v>
      </c>
      <c r="J44" s="200" t="s">
        <v>185</v>
      </c>
      <c r="K44" s="176" t="s">
        <v>185</v>
      </c>
      <c r="L44" s="176" t="s">
        <v>185</v>
      </c>
      <c r="M44" s="176" t="s">
        <v>185</v>
      </c>
      <c r="N44" s="222" t="s">
        <v>1128</v>
      </c>
      <c r="O44" s="212">
        <v>1</v>
      </c>
      <c r="P44" s="214" t="s">
        <v>1129</v>
      </c>
      <c r="Q44" s="214" t="s">
        <v>1130</v>
      </c>
      <c r="R44" s="451" t="s">
        <v>1131</v>
      </c>
      <c r="S44" s="214" t="s">
        <v>1132</v>
      </c>
      <c r="T44" s="214" t="s">
        <v>1133</v>
      </c>
      <c r="U44" s="158" t="s">
        <v>162</v>
      </c>
      <c r="V44" s="168" t="s">
        <v>1540</v>
      </c>
      <c r="W44" s="158" t="s">
        <v>967</v>
      </c>
      <c r="X44" s="158" t="s">
        <v>185</v>
      </c>
      <c r="Y44" s="158"/>
      <c r="Z44" s="158"/>
      <c r="AA44" s="158" t="str">
        <f>IF(GCP[[#This Row],[Column14]]="-","", "v")</f>
        <v>v</v>
      </c>
      <c r="AB44" s="158" t="str">
        <f>IF(GCP[[#This Row],[Column8]]="x","1",(IF(OR(GCP[[#This Row],[Column25]]=2,GCP[[#This Row],[Column26]]=2,GCP[[#This Row],[Column27]]=2),"1",(IF(GCP[[#This Row],[Column9]]="x","2",(IF(GCP[[#This Row],[Column10]]="x","3","")))))))</f>
        <v>2</v>
      </c>
      <c r="AC44" s="454" t="str">
        <f>IF(GCP[[#This Row],[Column14]] = "-", GCP[[#This Row],[Column14]], LEFT(GCP[[#This Row],[Column14]], SEARCH(" ", GCP[[#This Row],[Column14]] &amp; " ") - 1))</f>
        <v>6.4</v>
      </c>
    </row>
    <row r="45" spans="1:29" ht="409.5">
      <c r="A4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5" s="137" t="str">
        <f>GCP[[#This Row],[Column30]]</f>
        <v>1.10</v>
      </c>
      <c r="C45" s="137">
        <v>3.11</v>
      </c>
      <c r="D45" s="138" t="s">
        <v>182</v>
      </c>
      <c r="E45" s="162" t="s">
        <v>156</v>
      </c>
      <c r="F45" s="139" t="s">
        <v>284</v>
      </c>
      <c r="G45" s="139" t="s">
        <v>285</v>
      </c>
      <c r="H45" s="204"/>
      <c r="I45" s="164" t="s">
        <v>185</v>
      </c>
      <c r="J45" s="200" t="s">
        <v>185</v>
      </c>
      <c r="K45" s="176" t="s">
        <v>185</v>
      </c>
      <c r="L45" s="176" t="s">
        <v>185</v>
      </c>
      <c r="M45" s="158"/>
      <c r="N45" s="222" t="s">
        <v>1134</v>
      </c>
      <c r="O45" s="212">
        <v>1</v>
      </c>
      <c r="P45" s="214" t="s">
        <v>1135</v>
      </c>
      <c r="Q45" s="214" t="s">
        <v>1136</v>
      </c>
      <c r="R45" s="451" t="s">
        <v>1137</v>
      </c>
      <c r="S45" s="214" t="s">
        <v>1138</v>
      </c>
      <c r="T45" s="214" t="s">
        <v>1139</v>
      </c>
      <c r="U45" s="158" t="s">
        <v>162</v>
      </c>
      <c r="V45" s="168" t="s">
        <v>1541</v>
      </c>
      <c r="W45" s="158" t="s">
        <v>967</v>
      </c>
      <c r="X45" s="158" t="s">
        <v>185</v>
      </c>
      <c r="Y45" s="158" t="s">
        <v>185</v>
      </c>
      <c r="Z45" s="158"/>
      <c r="AA45" s="158" t="str">
        <f>IF(GCP[[#This Row],[Column14]]="-","", "v")</f>
        <v>v</v>
      </c>
      <c r="AB45" s="158" t="str">
        <f>IF(GCP[[#This Row],[Column8]]="x","1",(IF(OR(GCP[[#This Row],[Column25]]=2,GCP[[#This Row],[Column26]]=2,GCP[[#This Row],[Column27]]=2),"1",(IF(GCP[[#This Row],[Column9]]="x","2",(IF(GCP[[#This Row],[Column10]]="x","3","")))))))</f>
        <v>2</v>
      </c>
      <c r="AC45" s="454" t="str">
        <f>IF(GCP[[#This Row],[Column14]] = "-", GCP[[#This Row],[Column14]], LEFT(GCP[[#This Row],[Column14]], SEARCH(" ", GCP[[#This Row],[Column14]] &amp; " ") - 1))</f>
        <v>1.10</v>
      </c>
    </row>
    <row r="46" spans="1:29" ht="409.5">
      <c r="A4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6" s="137" t="str">
        <f>GCP[[#This Row],[Column30]]</f>
        <v>1.17</v>
      </c>
      <c r="C46" s="137">
        <v>3.11</v>
      </c>
      <c r="D46" s="138" t="s">
        <v>182</v>
      </c>
      <c r="E46" s="162" t="s">
        <v>156</v>
      </c>
      <c r="F46" s="139" t="s">
        <v>284</v>
      </c>
      <c r="G46" s="139" t="s">
        <v>285</v>
      </c>
      <c r="H46" s="204"/>
      <c r="I46" s="164" t="s">
        <v>185</v>
      </c>
      <c r="J46" s="200" t="s">
        <v>185</v>
      </c>
      <c r="K46" s="176" t="s">
        <v>185</v>
      </c>
      <c r="L46" s="176" t="s">
        <v>185</v>
      </c>
      <c r="M46" s="158"/>
      <c r="N46" s="222" t="s">
        <v>1140</v>
      </c>
      <c r="O46" s="212">
        <v>2</v>
      </c>
      <c r="P46" s="214" t="s">
        <v>1141</v>
      </c>
      <c r="Q46" s="214" t="s">
        <v>1142</v>
      </c>
      <c r="R46" s="451" t="s">
        <v>1143</v>
      </c>
      <c r="S46" s="214" t="s">
        <v>1144</v>
      </c>
      <c r="T46" s="214" t="s">
        <v>1145</v>
      </c>
      <c r="U46" s="158" t="s">
        <v>162</v>
      </c>
      <c r="V46" s="168" t="s">
        <v>1542</v>
      </c>
      <c r="W46" s="158" t="s">
        <v>967</v>
      </c>
      <c r="X46" s="158" t="s">
        <v>185</v>
      </c>
      <c r="Y46" s="158" t="s">
        <v>185</v>
      </c>
      <c r="Z46" s="158"/>
      <c r="AA46" s="158" t="str">
        <f>IF(GCP[[#This Row],[Column14]]="-","", "v")</f>
        <v>v</v>
      </c>
      <c r="AB46" s="158" t="str">
        <f>IF(GCP[[#This Row],[Column8]]="x","1",(IF(OR(GCP[[#This Row],[Column25]]=2,GCP[[#This Row],[Column26]]=2,GCP[[#This Row],[Column27]]=2),"1",(IF(GCP[[#This Row],[Column9]]="x","2",(IF(GCP[[#This Row],[Column10]]="x","3","")))))))</f>
        <v>2</v>
      </c>
      <c r="AC46" s="454" t="str">
        <f>IF(GCP[[#This Row],[Column14]] = "-", GCP[[#This Row],[Column14]], LEFT(GCP[[#This Row],[Column14]], SEARCH(" ", GCP[[#This Row],[Column14]] &amp; " ") - 1))</f>
        <v>1.17</v>
      </c>
    </row>
    <row r="47" spans="1:29" ht="409.5">
      <c r="A4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7" s="137" t="str">
        <f>GCP[[#This Row],[Column30]]</f>
        <v>1.18</v>
      </c>
      <c r="C47" s="137">
        <v>3.11</v>
      </c>
      <c r="D47" s="138" t="s">
        <v>182</v>
      </c>
      <c r="E47" s="162" t="s">
        <v>156</v>
      </c>
      <c r="F47" s="139" t="s">
        <v>284</v>
      </c>
      <c r="G47" s="139" t="s">
        <v>285</v>
      </c>
      <c r="H47" s="204"/>
      <c r="I47" s="164" t="s">
        <v>185</v>
      </c>
      <c r="J47" s="200" t="s">
        <v>185</v>
      </c>
      <c r="K47" s="176" t="s">
        <v>185</v>
      </c>
      <c r="L47" s="176" t="s">
        <v>185</v>
      </c>
      <c r="M47" s="158"/>
      <c r="N47" s="222" t="s">
        <v>1146</v>
      </c>
      <c r="O47" s="212">
        <v>1</v>
      </c>
      <c r="P47" s="457" t="s">
        <v>1147</v>
      </c>
      <c r="Q47" s="214" t="s">
        <v>1148</v>
      </c>
      <c r="R47" s="451" t="s">
        <v>1149</v>
      </c>
      <c r="S47" s="214" t="s">
        <v>1150</v>
      </c>
      <c r="T47" s="214" t="s">
        <v>1151</v>
      </c>
      <c r="U47" s="158" t="s">
        <v>162</v>
      </c>
      <c r="V47" s="168" t="s">
        <v>1543</v>
      </c>
      <c r="W47" s="158" t="s">
        <v>967</v>
      </c>
      <c r="X47" s="158" t="s">
        <v>185</v>
      </c>
      <c r="Y47" s="158" t="s">
        <v>185</v>
      </c>
      <c r="Z47" s="158"/>
      <c r="AA47" s="158" t="str">
        <f>IF(GCP[[#This Row],[Column14]]="-","", "v")</f>
        <v>v</v>
      </c>
      <c r="AB47" s="158" t="str">
        <f>IF(GCP[[#This Row],[Column8]]="x","1",(IF(OR(GCP[[#This Row],[Column25]]=2,GCP[[#This Row],[Column26]]=2,GCP[[#This Row],[Column27]]=2),"1",(IF(GCP[[#This Row],[Column9]]="x","2",(IF(GCP[[#This Row],[Column10]]="x","3","")))))))</f>
        <v>2</v>
      </c>
      <c r="AC47" s="454" t="str">
        <f>IF(GCP[[#This Row],[Column14]] = "-", GCP[[#This Row],[Column14]], LEFT(GCP[[#This Row],[Column14]], SEARCH(" ", GCP[[#This Row],[Column14]] &amp; " ") - 1))</f>
        <v>1.18</v>
      </c>
    </row>
    <row r="48" spans="1:29" ht="409.5">
      <c r="A4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8" s="137" t="str">
        <f>GCP[[#This Row],[Column30]]</f>
        <v>4.7</v>
      </c>
      <c r="C48" s="137">
        <v>3.11</v>
      </c>
      <c r="D48" s="138" t="s">
        <v>182</v>
      </c>
      <c r="E48" s="162" t="s">
        <v>156</v>
      </c>
      <c r="F48" s="139" t="s">
        <v>284</v>
      </c>
      <c r="G48" s="139" t="s">
        <v>285</v>
      </c>
      <c r="H48" s="204"/>
      <c r="I48" s="164" t="s">
        <v>185</v>
      </c>
      <c r="J48" s="200" t="s">
        <v>185</v>
      </c>
      <c r="K48" s="176" t="s">
        <v>185</v>
      </c>
      <c r="L48" s="176" t="s">
        <v>185</v>
      </c>
      <c r="M48" s="158"/>
      <c r="N48" s="222" t="s">
        <v>1152</v>
      </c>
      <c r="O48" s="212">
        <v>2</v>
      </c>
      <c r="P48" s="457" t="s">
        <v>1153</v>
      </c>
      <c r="Q48" s="214" t="s">
        <v>1154</v>
      </c>
      <c r="R48" s="451" t="s">
        <v>1155</v>
      </c>
      <c r="S48" s="214" t="s">
        <v>1156</v>
      </c>
      <c r="T48" s="214" t="s">
        <v>1157</v>
      </c>
      <c r="U48" s="158" t="s">
        <v>162</v>
      </c>
      <c r="V48" s="168" t="s">
        <v>1544</v>
      </c>
      <c r="W48" s="158" t="s">
        <v>967</v>
      </c>
      <c r="X48" s="158" t="s">
        <v>185</v>
      </c>
      <c r="Y48" s="158" t="s">
        <v>185</v>
      </c>
      <c r="Z48" s="158"/>
      <c r="AA48" s="158" t="str">
        <f>IF(GCP[[#This Row],[Column14]]="-","", "v")</f>
        <v>v</v>
      </c>
      <c r="AB48" s="158" t="str">
        <f>IF(GCP[[#This Row],[Column8]]="x","1",(IF(OR(GCP[[#This Row],[Column25]]=2,GCP[[#This Row],[Column26]]=2,GCP[[#This Row],[Column27]]=2),"1",(IF(GCP[[#This Row],[Column9]]="x","2",(IF(GCP[[#This Row],[Column10]]="x","3","")))))))</f>
        <v>2</v>
      </c>
      <c r="AC48" s="454" t="str">
        <f>IF(GCP[[#This Row],[Column14]] = "-", GCP[[#This Row],[Column14]], LEFT(GCP[[#This Row],[Column14]], SEARCH(" ", GCP[[#This Row],[Column14]] &amp; " ") - 1))</f>
        <v>4.7</v>
      </c>
    </row>
    <row r="49" spans="1:29" ht="409.5">
      <c r="A4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NOT(ISBLANK(K49)),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NOT(ISBLANK(L49)),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NOT(ISBLANK(M49)),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49" s="137" t="str">
        <f>GCP[[#This Row],[Column30]]</f>
        <v>4.11</v>
      </c>
      <c r="C49" s="137">
        <v>3.11</v>
      </c>
      <c r="D49" s="138" t="s">
        <v>182</v>
      </c>
      <c r="E49" s="162" t="s">
        <v>156</v>
      </c>
      <c r="F49" s="139" t="s">
        <v>284</v>
      </c>
      <c r="G49" s="139" t="s">
        <v>285</v>
      </c>
      <c r="H49" s="204"/>
      <c r="I49" s="164" t="s">
        <v>185</v>
      </c>
      <c r="J49" s="200" t="s">
        <v>185</v>
      </c>
      <c r="K49" s="176" t="s">
        <v>185</v>
      </c>
      <c r="L49" s="176" t="s">
        <v>185</v>
      </c>
      <c r="M49" s="158"/>
      <c r="N49" s="222" t="s">
        <v>1158</v>
      </c>
      <c r="O49" s="212">
        <v>2</v>
      </c>
      <c r="P49" s="457" t="s">
        <v>1159</v>
      </c>
      <c r="Q49" s="214" t="s">
        <v>1160</v>
      </c>
      <c r="R49" s="451" t="s">
        <v>1161</v>
      </c>
      <c r="S49" s="214" t="s">
        <v>1162</v>
      </c>
      <c r="T49" s="214" t="s">
        <v>1163</v>
      </c>
      <c r="U49" s="158" t="s">
        <v>162</v>
      </c>
      <c r="V49" s="168" t="s">
        <v>1545</v>
      </c>
      <c r="W49" s="158" t="s">
        <v>967</v>
      </c>
      <c r="X49" s="158" t="s">
        <v>185</v>
      </c>
      <c r="Y49" s="158" t="s">
        <v>185</v>
      </c>
      <c r="Z49" s="158"/>
      <c r="AA49" s="158" t="str">
        <f>IF(GCP[[#This Row],[Column14]]="-","", "v")</f>
        <v>v</v>
      </c>
      <c r="AB49" s="158" t="str">
        <f>IF(GCP[[#This Row],[Column8]]="x","1",(IF(OR(GCP[[#This Row],[Column25]]=2,GCP[[#This Row],[Column26]]=2,GCP[[#This Row],[Column27]]=2),"1",(IF(GCP[[#This Row],[Column9]]="x","2",(IF(GCP[[#This Row],[Column10]]="x","3","")))))))</f>
        <v>2</v>
      </c>
      <c r="AC49" s="454" t="str">
        <f>IF(GCP[[#This Row],[Column14]] = "-", GCP[[#This Row],[Column14]], LEFT(GCP[[#This Row],[Column14]], SEARCH(" ", GCP[[#This Row],[Column14]] &amp; " ") - 1))</f>
        <v>4.11</v>
      </c>
    </row>
    <row r="50" spans="1:29" ht="409.5">
      <c r="A5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0" s="137" t="str">
        <f>GCP[[#This Row],[Column30]]</f>
        <v>7.2</v>
      </c>
      <c r="C50" s="137">
        <v>3.11</v>
      </c>
      <c r="D50" s="138" t="s">
        <v>182</v>
      </c>
      <c r="E50" s="162" t="s">
        <v>156</v>
      </c>
      <c r="F50" s="139" t="s">
        <v>284</v>
      </c>
      <c r="G50" s="139" t="s">
        <v>285</v>
      </c>
      <c r="H50" s="204"/>
      <c r="I50" s="164" t="s">
        <v>185</v>
      </c>
      <c r="J50" s="200" t="s">
        <v>185</v>
      </c>
      <c r="K50" s="176" t="s">
        <v>185</v>
      </c>
      <c r="L50" s="176" t="s">
        <v>185</v>
      </c>
      <c r="M50" s="158"/>
      <c r="N50" s="222" t="s">
        <v>1164</v>
      </c>
      <c r="O50" s="212">
        <v>2</v>
      </c>
      <c r="P50" s="214" t="s">
        <v>1165</v>
      </c>
      <c r="Q50" s="214" t="s">
        <v>1166</v>
      </c>
      <c r="R50" s="451" t="s">
        <v>1167</v>
      </c>
      <c r="S50" s="214" t="s">
        <v>1168</v>
      </c>
      <c r="T50" s="214" t="s">
        <v>1169</v>
      </c>
      <c r="U50" s="168" t="s">
        <v>162</v>
      </c>
      <c r="V50" s="168" t="s">
        <v>1546</v>
      </c>
      <c r="W50" s="158" t="s">
        <v>967</v>
      </c>
      <c r="X50" s="158" t="s">
        <v>185</v>
      </c>
      <c r="Y50" s="158" t="s">
        <v>185</v>
      </c>
      <c r="Z50" s="158"/>
      <c r="AA50" s="158" t="str">
        <f>IF(GCP[[#This Row],[Column14]]="-","", "v")</f>
        <v>v</v>
      </c>
      <c r="AB50" s="158" t="str">
        <f>IF(GCP[[#This Row],[Column8]]="x","1",(IF(OR(GCP[[#This Row],[Column25]]=2,GCP[[#This Row],[Column26]]=2,GCP[[#This Row],[Column27]]=2),"1",(IF(GCP[[#This Row],[Column9]]="x","2",(IF(GCP[[#This Row],[Column10]]="x","3","")))))))</f>
        <v>2</v>
      </c>
      <c r="AC50" s="454" t="str">
        <f>IF(GCP[[#This Row],[Column14]] = "-", GCP[[#This Row],[Column14]], LEFT(GCP[[#This Row],[Column14]], SEARCH(" ", GCP[[#This Row],[Column14]] &amp; " ") - 1))</f>
        <v>7.2</v>
      </c>
    </row>
    <row r="51" spans="1:29" ht="409.5">
      <c r="A5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1" s="137" t="str">
        <f>GCP[[#This Row],[Column30]]</f>
        <v>7.3</v>
      </c>
      <c r="C51" s="137">
        <v>3.11</v>
      </c>
      <c r="D51" s="138" t="s">
        <v>182</v>
      </c>
      <c r="E51" s="162" t="s">
        <v>156</v>
      </c>
      <c r="F51" s="139" t="s">
        <v>284</v>
      </c>
      <c r="G51" s="139" t="s">
        <v>285</v>
      </c>
      <c r="H51" s="204"/>
      <c r="I51" s="164" t="s">
        <v>185</v>
      </c>
      <c r="J51" s="200" t="s">
        <v>185</v>
      </c>
      <c r="K51" s="176" t="s">
        <v>185</v>
      </c>
      <c r="L51" s="176" t="s">
        <v>185</v>
      </c>
      <c r="M51" s="158"/>
      <c r="N51" s="222" t="s">
        <v>1170</v>
      </c>
      <c r="O51" s="212">
        <v>2</v>
      </c>
      <c r="P51" s="214" t="s">
        <v>1171</v>
      </c>
      <c r="Q51" s="214" t="s">
        <v>1172</v>
      </c>
      <c r="R51" s="451" t="s">
        <v>1173</v>
      </c>
      <c r="S51" s="214" t="s">
        <v>1174</v>
      </c>
      <c r="T51" s="214" t="s">
        <v>1169</v>
      </c>
      <c r="U51" s="158" t="s">
        <v>162</v>
      </c>
      <c r="V51" s="168" t="s">
        <v>1547</v>
      </c>
      <c r="W51" s="158" t="s">
        <v>967</v>
      </c>
      <c r="X51" s="158" t="s">
        <v>185</v>
      </c>
      <c r="Y51" s="158" t="s">
        <v>185</v>
      </c>
      <c r="Z51" s="158"/>
      <c r="AA51" s="158" t="str">
        <f>IF(GCP[[#This Row],[Column14]]="-","", "v")</f>
        <v>v</v>
      </c>
      <c r="AB51" s="158" t="str">
        <f>IF(GCP[[#This Row],[Column8]]="x","1",(IF(OR(GCP[[#This Row],[Column25]]=2,GCP[[#This Row],[Column26]]=2,GCP[[#This Row],[Column27]]=2),"1",(IF(GCP[[#This Row],[Column9]]="x","2",(IF(GCP[[#This Row],[Column10]]="x","3","")))))))</f>
        <v>2</v>
      </c>
      <c r="AC51" s="454" t="str">
        <f>IF(GCP[[#This Row],[Column14]] = "-", GCP[[#This Row],[Column14]], LEFT(GCP[[#This Row],[Column14]], SEARCH(" ", GCP[[#This Row],[Column14]] &amp; " ") - 1))</f>
        <v>7.3</v>
      </c>
    </row>
    <row r="52" spans="1:29" ht="409.5">
      <c r="A5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2" s="137" t="str">
        <f>GCP[[#This Row],[Column30]]</f>
        <v>1.7</v>
      </c>
      <c r="C52" s="137">
        <v>3.11</v>
      </c>
      <c r="D52" s="138" t="s">
        <v>182</v>
      </c>
      <c r="E52" s="162" t="s">
        <v>156</v>
      </c>
      <c r="F52" s="139" t="s">
        <v>284</v>
      </c>
      <c r="G52" s="139" t="s">
        <v>285</v>
      </c>
      <c r="H52" s="204"/>
      <c r="I52" s="164" t="s">
        <v>185</v>
      </c>
      <c r="J52" s="200" t="s">
        <v>185</v>
      </c>
      <c r="K52" s="176" t="s">
        <v>185</v>
      </c>
      <c r="L52" s="176" t="s">
        <v>185</v>
      </c>
      <c r="M52" s="158"/>
      <c r="N52" s="256" t="s">
        <v>1488</v>
      </c>
      <c r="O52" s="212">
        <v>1</v>
      </c>
      <c r="P52" s="214" t="s">
        <v>1489</v>
      </c>
      <c r="Q52" s="214" t="s">
        <v>1490</v>
      </c>
      <c r="R52" s="451" t="s">
        <v>1491</v>
      </c>
      <c r="S52" s="214" t="s">
        <v>1492</v>
      </c>
      <c r="T52" s="214" t="s">
        <v>1493</v>
      </c>
      <c r="U52" s="258" t="s">
        <v>162</v>
      </c>
      <c r="V52" s="168" t="s">
        <v>1547</v>
      </c>
      <c r="W52" s="158" t="s">
        <v>967</v>
      </c>
      <c r="X52" s="158" t="s">
        <v>185</v>
      </c>
      <c r="Y52" s="158" t="s">
        <v>185</v>
      </c>
      <c r="Z52" s="158"/>
      <c r="AA52" s="158" t="str">
        <f>IF(GCP[[#This Row],[Column14]]="-","", "v")</f>
        <v>v</v>
      </c>
      <c r="AB52" s="158" t="str">
        <f>IF(GCP[[#This Row],[Column8]]="x","1",(IF(OR(GCP[[#This Row],[Column25]]=2,GCP[[#This Row],[Column26]]=2,GCP[[#This Row],[Column27]]=2),"1",(IF(GCP[[#This Row],[Column9]]="x","2",(IF(GCP[[#This Row],[Column10]]="x","3","")))))))</f>
        <v>2</v>
      </c>
      <c r="AC52" s="454" t="str">
        <f>IF(GCP[[#This Row],[Column14]] = "-", GCP[[#This Row],[Column14]], LEFT(GCP[[#This Row],[Column14]], SEARCH(" ", GCP[[#This Row],[Column14]] &amp; " ") - 1))</f>
        <v>1.7</v>
      </c>
    </row>
    <row r="53" spans="1:29" ht="45">
      <c r="A5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3" s="137" t="str">
        <f>GCP[[#This Row],[Column30]]</f>
        <v>-</v>
      </c>
      <c r="C53" s="137">
        <v>3.12</v>
      </c>
      <c r="D53" s="138" t="s">
        <v>390</v>
      </c>
      <c r="E53" s="162" t="s">
        <v>156</v>
      </c>
      <c r="F53" s="138" t="s">
        <v>391</v>
      </c>
      <c r="G53" s="139" t="s">
        <v>392</v>
      </c>
      <c r="H53" s="137"/>
      <c r="I53" s="164" t="s">
        <v>185</v>
      </c>
      <c r="J53" s="200" t="s">
        <v>185</v>
      </c>
      <c r="K53" s="176" t="s">
        <v>185</v>
      </c>
      <c r="L53" s="158"/>
      <c r="M53" s="158"/>
      <c r="N53" s="222" t="s">
        <v>162</v>
      </c>
      <c r="O53" s="222" t="s">
        <v>162</v>
      </c>
      <c r="P53" s="222" t="s">
        <v>162</v>
      </c>
      <c r="Q53" s="222" t="s">
        <v>162</v>
      </c>
      <c r="R53" s="451"/>
      <c r="S53" s="222" t="s">
        <v>162</v>
      </c>
      <c r="T53" s="222" t="s">
        <v>162</v>
      </c>
      <c r="U53" s="258" t="s">
        <v>162</v>
      </c>
      <c r="V53" s="168"/>
      <c r="W53" s="158" t="s">
        <v>966</v>
      </c>
      <c r="X53" s="158" t="s">
        <v>185</v>
      </c>
      <c r="Y53" s="158" t="s">
        <v>185</v>
      </c>
      <c r="Z53" s="158"/>
      <c r="AA53" s="158" t="str">
        <f>IF(GCP[[#This Row],[Column14]]="-","", "v")</f>
        <v/>
      </c>
      <c r="AB53" s="158" t="str">
        <f>IF(GCP[[#This Row],[Column8]]="x","1",(IF(OR(GCP[[#This Row],[Column25]]=2,GCP[[#This Row],[Column26]]=2,GCP[[#This Row],[Column27]]=2),"1",(IF(GCP[[#This Row],[Column9]]="x","2",(IF(GCP[[#This Row],[Column10]]="x","3","")))))))</f>
        <v>2</v>
      </c>
      <c r="AC53" s="454" t="str">
        <f>IF(GCP[[#This Row],[Column14]] = "-", GCP[[#This Row],[Column14]], LEFT(GCP[[#This Row],[Column14]], SEARCH(" ", GCP[[#This Row],[Column14]] &amp; " ") - 1))</f>
        <v>-</v>
      </c>
    </row>
    <row r="54" spans="1:29" ht="60">
      <c r="A5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54" s="137" t="str">
        <f>GCP[[#This Row],[Column30]]</f>
        <v>-</v>
      </c>
      <c r="C54" s="137">
        <v>3.13</v>
      </c>
      <c r="D54" s="138" t="s">
        <v>182</v>
      </c>
      <c r="E54" s="162" t="s">
        <v>156</v>
      </c>
      <c r="F54" s="138" t="s">
        <v>322</v>
      </c>
      <c r="G54" s="138" t="s">
        <v>323</v>
      </c>
      <c r="H54" s="204"/>
      <c r="I54" s="204"/>
      <c r="J54" s="200" t="s">
        <v>185</v>
      </c>
      <c r="K54" s="176" t="s">
        <v>185</v>
      </c>
      <c r="L54" s="158"/>
      <c r="M54" s="158"/>
      <c r="N54" s="222" t="s">
        <v>162</v>
      </c>
      <c r="O54" s="222" t="s">
        <v>162</v>
      </c>
      <c r="P54" s="222" t="s">
        <v>162</v>
      </c>
      <c r="Q54" s="222" t="s">
        <v>162</v>
      </c>
      <c r="R54" s="451"/>
      <c r="S54" s="222" t="s">
        <v>162</v>
      </c>
      <c r="T54" s="222" t="s">
        <v>162</v>
      </c>
      <c r="U54" s="258" t="s">
        <v>162</v>
      </c>
      <c r="V54" s="168"/>
      <c r="W54" s="158" t="s">
        <v>967</v>
      </c>
      <c r="X54" s="158" t="s">
        <v>185</v>
      </c>
      <c r="Y54" s="158" t="s">
        <v>185</v>
      </c>
      <c r="Z54" s="158"/>
      <c r="AA54" s="158" t="str">
        <f>IF(GCP[[#This Row],[Column14]]="-","", "v")</f>
        <v/>
      </c>
      <c r="AB54" s="158" t="str">
        <f>IF(GCP[[#This Row],[Column8]]="x","1",(IF(OR(GCP[[#This Row],[Column25]]=2,GCP[[#This Row],[Column26]]=2,GCP[[#This Row],[Column27]]=2),"1",(IF(GCP[[#This Row],[Column9]]="x","2",(IF(GCP[[#This Row],[Column10]]="x","3","")))))))</f>
        <v>3</v>
      </c>
      <c r="AC54" s="454" t="str">
        <f>IF(GCP[[#This Row],[Column14]] = "-", GCP[[#This Row],[Column14]], LEFT(GCP[[#This Row],[Column14]], SEARCH(" ", GCP[[#This Row],[Column14]] &amp; " ") - 1))</f>
        <v>-</v>
      </c>
    </row>
    <row r="55" spans="1:29" ht="15.75">
      <c r="A5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55" s="137" t="str">
        <f>GCP[[#This Row],[Column30]]</f>
        <v>-</v>
      </c>
      <c r="C55" s="137">
        <v>3.14</v>
      </c>
      <c r="D55" s="138" t="s">
        <v>182</v>
      </c>
      <c r="E55" s="162" t="s">
        <v>155</v>
      </c>
      <c r="F55" s="138" t="s">
        <v>324</v>
      </c>
      <c r="G55" s="138" t="s">
        <v>325</v>
      </c>
      <c r="H55" s="137"/>
      <c r="I55" s="137"/>
      <c r="J55" s="200" t="s">
        <v>185</v>
      </c>
      <c r="K55" s="176" t="s">
        <v>185</v>
      </c>
      <c r="L55" s="176" t="s">
        <v>185</v>
      </c>
      <c r="M55" s="176" t="s">
        <v>185</v>
      </c>
      <c r="N55" s="222" t="s">
        <v>162</v>
      </c>
      <c r="O55" s="222" t="s">
        <v>162</v>
      </c>
      <c r="P55" s="222" t="s">
        <v>162</v>
      </c>
      <c r="Q55" s="222" t="s">
        <v>162</v>
      </c>
      <c r="R55" s="451"/>
      <c r="S55" s="222" t="s">
        <v>162</v>
      </c>
      <c r="T55" s="222" t="s">
        <v>162</v>
      </c>
      <c r="U55" s="258" t="s">
        <v>162</v>
      </c>
      <c r="V55" s="168"/>
      <c r="W55" s="158" t="s">
        <v>967</v>
      </c>
      <c r="X55" s="158" t="s">
        <v>185</v>
      </c>
      <c r="Y55" s="158" t="s">
        <v>185</v>
      </c>
      <c r="Z55" s="158"/>
      <c r="AA55" s="158" t="str">
        <f>IF(GCP[[#This Row],[Column14]]="-","", "v")</f>
        <v/>
      </c>
      <c r="AB55" s="158" t="str">
        <f>IF(GCP[[#This Row],[Column8]]="x","1",(IF(OR(GCP[[#This Row],[Column25]]=2,GCP[[#This Row],[Column26]]=2,GCP[[#This Row],[Column27]]=2),"1",(IF(GCP[[#This Row],[Column9]]="x","2",(IF(GCP[[#This Row],[Column10]]="x","3","")))))))</f>
        <v>3</v>
      </c>
      <c r="AC55" s="454" t="str">
        <f>IF(GCP[[#This Row],[Column14]] = "-", GCP[[#This Row],[Column14]], LEFT(GCP[[#This Row],[Column14]], SEARCH(" ", GCP[[#This Row],[Column14]] &amp; " ") - 1))</f>
        <v>-</v>
      </c>
    </row>
    <row r="56" spans="1:29" ht="60" hidden="1">
      <c r="A56" s="221" t="s">
        <v>942</v>
      </c>
      <c r="B56" s="217" t="s">
        <v>162</v>
      </c>
      <c r="C56" s="217" t="s">
        <v>162</v>
      </c>
      <c r="D56" s="217" t="s">
        <v>162</v>
      </c>
      <c r="E56" s="217" t="s">
        <v>162</v>
      </c>
      <c r="F56" s="219" t="s">
        <v>393</v>
      </c>
      <c r="G56" s="220" t="s">
        <v>394</v>
      </c>
      <c r="H56" s="217" t="s">
        <v>162</v>
      </c>
      <c r="I56" s="217" t="s">
        <v>162</v>
      </c>
      <c r="J56" s="217" t="s">
        <v>162</v>
      </c>
      <c r="K56" s="217" t="s">
        <v>162</v>
      </c>
      <c r="L56" s="217" t="s">
        <v>162</v>
      </c>
      <c r="M56" s="217" t="s">
        <v>162</v>
      </c>
      <c r="N56" s="257" t="s">
        <v>162</v>
      </c>
      <c r="O56" s="217" t="s">
        <v>162</v>
      </c>
      <c r="P56" s="217" t="s">
        <v>162</v>
      </c>
      <c r="Q56" s="217" t="s">
        <v>162</v>
      </c>
      <c r="R56" s="154"/>
      <c r="S56" s="217" t="s">
        <v>162</v>
      </c>
      <c r="T56" s="217" t="s">
        <v>162</v>
      </c>
      <c r="U56" s="217" t="s">
        <v>162</v>
      </c>
      <c r="V56" s="217" t="s">
        <v>162</v>
      </c>
      <c r="W56" s="217" t="s">
        <v>162</v>
      </c>
      <c r="X56" s="217" t="s">
        <v>162</v>
      </c>
      <c r="Y56" s="217" t="s">
        <v>162</v>
      </c>
      <c r="Z56" s="217" t="s">
        <v>162</v>
      </c>
      <c r="AA56" s="217" t="s">
        <v>162</v>
      </c>
      <c r="AB56" s="217" t="s">
        <v>162</v>
      </c>
      <c r="AC56" s="454" t="str">
        <f>IF(GCP[[#This Row],[Column14]] = "-", GCP[[#This Row],[Column14]], LEFT(GCP[[#This Row],[Column14]], SEARCH(" ", GCP[[#This Row],[Column14]] &amp; " ") - 1))</f>
        <v>-</v>
      </c>
    </row>
    <row r="57" spans="1:29" ht="409.5">
      <c r="A5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7" s="137" t="str">
        <f>GCP[[#This Row],[Column30]]</f>
        <v>6.3.3</v>
      </c>
      <c r="C57" s="137">
        <v>4.0999999999999996</v>
      </c>
      <c r="D57" s="138" t="s">
        <v>371</v>
      </c>
      <c r="E57" s="162" t="s">
        <v>156</v>
      </c>
      <c r="F57" s="138" t="s">
        <v>395</v>
      </c>
      <c r="G57" s="139" t="s">
        <v>396</v>
      </c>
      <c r="H57" s="163" t="s">
        <v>185</v>
      </c>
      <c r="I57" s="164" t="s">
        <v>185</v>
      </c>
      <c r="J57" s="200" t="s">
        <v>185</v>
      </c>
      <c r="K57" s="176" t="s">
        <v>185</v>
      </c>
      <c r="L57" s="176" t="s">
        <v>185</v>
      </c>
      <c r="M57" s="176" t="s">
        <v>185</v>
      </c>
      <c r="N57" s="222" t="s">
        <v>1175</v>
      </c>
      <c r="O57" s="212">
        <v>1</v>
      </c>
      <c r="P57" s="214" t="s">
        <v>1176</v>
      </c>
      <c r="Q57" s="214" t="s">
        <v>1177</v>
      </c>
      <c r="R57" s="451" t="s">
        <v>1178</v>
      </c>
      <c r="S57" s="214" t="s">
        <v>1179</v>
      </c>
      <c r="T57" s="214" t="s">
        <v>1180</v>
      </c>
      <c r="U57" s="158" t="s">
        <v>162</v>
      </c>
      <c r="V57" s="168" t="s">
        <v>2028</v>
      </c>
      <c r="W57" s="158" t="s">
        <v>967</v>
      </c>
      <c r="X57" s="158" t="s">
        <v>185</v>
      </c>
      <c r="Y57" s="158" t="s">
        <v>185</v>
      </c>
      <c r="Z57" s="158" t="s">
        <v>185</v>
      </c>
      <c r="AA57" s="158" t="str">
        <f>IF(GCP[[#This Row],[Column14]]="-","", "v")</f>
        <v>v</v>
      </c>
      <c r="AB57" s="158" t="str">
        <f>IF(GCP[[#This Row],[Column8]]="x","1",(IF(OR(GCP[[#This Row],[Column25]]=2,GCP[[#This Row],[Column26]]=2,GCP[[#This Row],[Column27]]=2),"1",(IF(GCP[[#This Row],[Column9]]="x","2",(IF(GCP[[#This Row],[Column10]]="x","3","")))))))</f>
        <v>1</v>
      </c>
      <c r="AC57" s="454" t="str">
        <f>IF(GCP[[#This Row],[Column14]] = "-", GCP[[#This Row],[Column14]], LEFT(GCP[[#This Row],[Column14]], SEARCH(" ", GCP[[#This Row],[Column14]] &amp; " ") - 1))</f>
        <v>6.3.3</v>
      </c>
    </row>
    <row r="58" spans="1:29" ht="409.5">
      <c r="A5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8" s="137" t="str">
        <f>GCP[[#This Row],[Column30]]</f>
        <v>6.3.4</v>
      </c>
      <c r="C58" s="137">
        <v>4.0999999999999996</v>
      </c>
      <c r="D58" s="138" t="s">
        <v>371</v>
      </c>
      <c r="E58" s="162" t="s">
        <v>156</v>
      </c>
      <c r="F58" s="138" t="s">
        <v>395</v>
      </c>
      <c r="G58" s="139" t="s">
        <v>396</v>
      </c>
      <c r="H58" s="163" t="s">
        <v>185</v>
      </c>
      <c r="I58" s="164" t="s">
        <v>185</v>
      </c>
      <c r="J58" s="200" t="s">
        <v>185</v>
      </c>
      <c r="K58" s="176" t="s">
        <v>185</v>
      </c>
      <c r="L58" s="176" t="s">
        <v>185</v>
      </c>
      <c r="M58" s="176" t="s">
        <v>185</v>
      </c>
      <c r="N58" s="222" t="s">
        <v>1181</v>
      </c>
      <c r="O58" s="212">
        <v>1</v>
      </c>
      <c r="P58" s="214" t="s">
        <v>1182</v>
      </c>
      <c r="Q58" s="214" t="s">
        <v>1183</v>
      </c>
      <c r="R58" s="451" t="s">
        <v>1184</v>
      </c>
      <c r="S58" s="214" t="s">
        <v>1185</v>
      </c>
      <c r="T58" s="214" t="s">
        <v>1186</v>
      </c>
      <c r="U58" s="258" t="s">
        <v>162</v>
      </c>
      <c r="V58" s="168" t="s">
        <v>2028</v>
      </c>
      <c r="W58" s="158" t="s">
        <v>967</v>
      </c>
      <c r="X58" s="158" t="s">
        <v>185</v>
      </c>
      <c r="Y58" s="158" t="s">
        <v>185</v>
      </c>
      <c r="Z58" s="158" t="s">
        <v>185</v>
      </c>
      <c r="AA58" s="158" t="str">
        <f>IF(GCP[[#This Row],[Column14]]="-","", "v")</f>
        <v>v</v>
      </c>
      <c r="AB58" s="158" t="str">
        <f>IF(GCP[[#This Row],[Column8]]="x","1",(IF(OR(GCP[[#This Row],[Column25]]=2,GCP[[#This Row],[Column26]]=2,GCP[[#This Row],[Column27]]=2),"1",(IF(GCP[[#This Row],[Column9]]="x","2",(IF(GCP[[#This Row],[Column10]]="x","3","")))))))</f>
        <v>1</v>
      </c>
      <c r="AC58" s="454" t="str">
        <f>IF(GCP[[#This Row],[Column14]] = "-", GCP[[#This Row],[Column14]], LEFT(GCP[[#This Row],[Column14]], SEARCH(" ", GCP[[#This Row],[Column14]] &amp; " ") - 1))</f>
        <v>6.3.4</v>
      </c>
    </row>
    <row r="59" spans="1:29" ht="409.5">
      <c r="A5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NOT(ISBLANK(K59)),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NOT(ISBLANK(L59)),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NOT(ISBLANK(M59)),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59" s="137" t="str">
        <f>GCP[[#This Row],[Column30]]</f>
        <v>6.3.6</v>
      </c>
      <c r="C59" s="137">
        <v>4.0999999999999996</v>
      </c>
      <c r="D59" s="138" t="s">
        <v>371</v>
      </c>
      <c r="E59" s="162" t="s">
        <v>156</v>
      </c>
      <c r="F59" s="138" t="s">
        <v>395</v>
      </c>
      <c r="G59" s="139" t="s">
        <v>396</v>
      </c>
      <c r="H59" s="163" t="s">
        <v>185</v>
      </c>
      <c r="I59" s="164" t="s">
        <v>185</v>
      </c>
      <c r="J59" s="200" t="s">
        <v>185</v>
      </c>
      <c r="K59" s="176" t="s">
        <v>185</v>
      </c>
      <c r="L59" s="176" t="s">
        <v>185</v>
      </c>
      <c r="M59" s="176" t="s">
        <v>185</v>
      </c>
      <c r="N59" s="222" t="s">
        <v>1187</v>
      </c>
      <c r="O59" s="212">
        <v>1</v>
      </c>
      <c r="P59" s="214" t="s">
        <v>1188</v>
      </c>
      <c r="Q59" s="214" t="s">
        <v>1189</v>
      </c>
      <c r="R59" s="451" t="s">
        <v>1190</v>
      </c>
      <c r="S59" s="214" t="s">
        <v>1191</v>
      </c>
      <c r="T59" s="214" t="s">
        <v>1192</v>
      </c>
      <c r="U59" s="258" t="s">
        <v>162</v>
      </c>
      <c r="V59" s="168" t="s">
        <v>2028</v>
      </c>
      <c r="W59" s="158" t="s">
        <v>967</v>
      </c>
      <c r="X59" s="158" t="s">
        <v>185</v>
      </c>
      <c r="Y59" s="158" t="s">
        <v>185</v>
      </c>
      <c r="Z59" s="158" t="s">
        <v>185</v>
      </c>
      <c r="AA59" s="158" t="str">
        <f>IF(GCP[[#This Row],[Column14]]="-","", "v")</f>
        <v>v</v>
      </c>
      <c r="AB59" s="158" t="str">
        <f>IF(GCP[[#This Row],[Column8]]="x","1",(IF(OR(GCP[[#This Row],[Column25]]=2,GCP[[#This Row],[Column26]]=2,GCP[[#This Row],[Column27]]=2),"1",(IF(GCP[[#This Row],[Column9]]="x","2",(IF(GCP[[#This Row],[Column10]]="x","3","")))))))</f>
        <v>1</v>
      </c>
      <c r="AC59" s="454" t="str">
        <f>IF(GCP[[#This Row],[Column14]] = "-", GCP[[#This Row],[Column14]], LEFT(GCP[[#This Row],[Column14]], SEARCH(" ", GCP[[#This Row],[Column14]] &amp; " ") - 1))</f>
        <v>6.3.6</v>
      </c>
    </row>
    <row r="60" spans="1:29" ht="409.5">
      <c r="A6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0" s="137" t="str">
        <f>GCP[[#This Row],[Column30]]</f>
        <v>3.1</v>
      </c>
      <c r="C60" s="137">
        <v>4.2</v>
      </c>
      <c r="D60" s="138" t="s">
        <v>390</v>
      </c>
      <c r="E60" s="162" t="s">
        <v>156</v>
      </c>
      <c r="F60" s="138" t="s">
        <v>397</v>
      </c>
      <c r="G60" s="138" t="s">
        <v>398</v>
      </c>
      <c r="H60" s="163" t="s">
        <v>185</v>
      </c>
      <c r="I60" s="164" t="s">
        <v>185</v>
      </c>
      <c r="J60" s="200" t="s">
        <v>185</v>
      </c>
      <c r="K60" s="176" t="s">
        <v>185</v>
      </c>
      <c r="L60" s="176" t="s">
        <v>185</v>
      </c>
      <c r="M60" s="176"/>
      <c r="N60" s="222" t="s">
        <v>1193</v>
      </c>
      <c r="O60" s="212">
        <v>2</v>
      </c>
      <c r="P60" s="214" t="s">
        <v>1194</v>
      </c>
      <c r="Q60" s="214" t="s">
        <v>1195</v>
      </c>
      <c r="R60" s="451" t="s">
        <v>1196</v>
      </c>
      <c r="S60" s="214" t="s">
        <v>1197</v>
      </c>
      <c r="T60" s="214" t="s">
        <v>1198</v>
      </c>
      <c r="U60" s="158" t="s">
        <v>975</v>
      </c>
      <c r="V60" s="168" t="s">
        <v>1548</v>
      </c>
      <c r="W60" s="158" t="s">
        <v>966</v>
      </c>
      <c r="X60" s="158" t="s">
        <v>185</v>
      </c>
      <c r="Y60" s="158" t="s">
        <v>185</v>
      </c>
      <c r="Z60" s="158" t="s">
        <v>185</v>
      </c>
      <c r="AA60" s="158" t="str">
        <f>IF(GCP[[#This Row],[Column14]]="-","", "v")</f>
        <v>v</v>
      </c>
      <c r="AB60" s="158" t="str">
        <f>IF(GCP[[#This Row],[Column8]]="x","1",(IF(OR(GCP[[#This Row],[Column25]]=2,GCP[[#This Row],[Column26]]=2,GCP[[#This Row],[Column27]]=2),"1",(IF(GCP[[#This Row],[Column9]]="x","2",(IF(GCP[[#This Row],[Column10]]="x","3","")))))))</f>
        <v>1</v>
      </c>
      <c r="AC60" s="454" t="str">
        <f>IF(GCP[[#This Row],[Column14]] = "-", GCP[[#This Row],[Column14]], LEFT(GCP[[#This Row],[Column14]], SEARCH(" ", GCP[[#This Row],[Column14]] &amp; " ") - 1))</f>
        <v>3.1</v>
      </c>
    </row>
    <row r="61" spans="1:29" ht="409.5">
      <c r="A6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1" s="137" t="str">
        <f>GCP[[#This Row],[Column30]]</f>
        <v>3.2</v>
      </c>
      <c r="C61" s="137">
        <v>4.2</v>
      </c>
      <c r="D61" s="138" t="s">
        <v>390</v>
      </c>
      <c r="E61" s="162" t="s">
        <v>156</v>
      </c>
      <c r="F61" s="138" t="s">
        <v>397</v>
      </c>
      <c r="G61" s="138" t="s">
        <v>398</v>
      </c>
      <c r="H61" s="163" t="s">
        <v>185</v>
      </c>
      <c r="I61" s="164" t="s">
        <v>185</v>
      </c>
      <c r="J61" s="200" t="s">
        <v>185</v>
      </c>
      <c r="K61" s="176" t="s">
        <v>185</v>
      </c>
      <c r="L61" s="176" t="s">
        <v>185</v>
      </c>
      <c r="M61" s="176"/>
      <c r="N61" s="222" t="s">
        <v>1199</v>
      </c>
      <c r="O61" s="212">
        <v>1</v>
      </c>
      <c r="P61" s="214" t="s">
        <v>1200</v>
      </c>
      <c r="Q61" s="214" t="s">
        <v>1201</v>
      </c>
      <c r="R61" s="451" t="s">
        <v>1202</v>
      </c>
      <c r="S61" s="214" t="s">
        <v>1203</v>
      </c>
      <c r="T61" s="214" t="s">
        <v>1204</v>
      </c>
      <c r="U61" s="258" t="s">
        <v>162</v>
      </c>
      <c r="V61" s="168" t="s">
        <v>1549</v>
      </c>
      <c r="W61" s="158" t="s">
        <v>967</v>
      </c>
      <c r="X61" s="158" t="s">
        <v>185</v>
      </c>
      <c r="Y61" s="158" t="s">
        <v>185</v>
      </c>
      <c r="Z61" s="158" t="s">
        <v>185</v>
      </c>
      <c r="AA61" s="158" t="str">
        <f>IF(GCP[[#This Row],[Column14]]="-","", "v")</f>
        <v>v</v>
      </c>
      <c r="AB61" s="158" t="str">
        <f>IF(GCP[[#This Row],[Column8]]="x","1",(IF(OR(GCP[[#This Row],[Column25]]=2,GCP[[#This Row],[Column26]]=2,GCP[[#This Row],[Column27]]=2),"1",(IF(GCP[[#This Row],[Column9]]="x","2",(IF(GCP[[#This Row],[Column10]]="x","3","")))))))</f>
        <v>1</v>
      </c>
      <c r="AC61" s="454" t="str">
        <f>IF(GCP[[#This Row],[Column14]] = "-", GCP[[#This Row],[Column14]], LEFT(GCP[[#This Row],[Column14]], SEARCH(" ", GCP[[#This Row],[Column14]] &amp; " ") - 1))</f>
        <v>3.2</v>
      </c>
    </row>
    <row r="62" spans="1:29" ht="409.5">
      <c r="A6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2" s="137" t="str">
        <f>GCP[[#This Row],[Column30]]</f>
        <v>3.3</v>
      </c>
      <c r="C62" s="137">
        <v>4.2</v>
      </c>
      <c r="D62" s="138" t="s">
        <v>390</v>
      </c>
      <c r="E62" s="162" t="s">
        <v>156</v>
      </c>
      <c r="F62" s="138" t="s">
        <v>397</v>
      </c>
      <c r="G62" s="138" t="s">
        <v>398</v>
      </c>
      <c r="H62" s="163" t="s">
        <v>185</v>
      </c>
      <c r="I62" s="164" t="s">
        <v>185</v>
      </c>
      <c r="J62" s="200" t="s">
        <v>185</v>
      </c>
      <c r="K62" s="176" t="s">
        <v>185</v>
      </c>
      <c r="L62" s="176" t="s">
        <v>185</v>
      </c>
      <c r="M62" s="176"/>
      <c r="N62" s="222" t="s">
        <v>1205</v>
      </c>
      <c r="O62" s="212">
        <v>1</v>
      </c>
      <c r="P62" s="214" t="s">
        <v>1206</v>
      </c>
      <c r="Q62" s="214" t="s">
        <v>1207</v>
      </c>
      <c r="R62" s="451" t="s">
        <v>1208</v>
      </c>
      <c r="S62" s="214" t="s">
        <v>1209</v>
      </c>
      <c r="T62" s="214" t="s">
        <v>1210</v>
      </c>
      <c r="U62" s="158" t="s">
        <v>162</v>
      </c>
      <c r="V62" s="168" t="s">
        <v>1550</v>
      </c>
      <c r="W62" s="158" t="s">
        <v>967</v>
      </c>
      <c r="X62" s="158" t="s">
        <v>185</v>
      </c>
      <c r="Y62" s="158" t="s">
        <v>185</v>
      </c>
      <c r="Z62" s="158" t="s">
        <v>185</v>
      </c>
      <c r="AA62" s="158" t="str">
        <f>IF(GCP[[#This Row],[Column14]]="-","", "v")</f>
        <v>v</v>
      </c>
      <c r="AB62" s="158" t="str">
        <f>IF(GCP[[#This Row],[Column8]]="x","1",(IF(OR(GCP[[#This Row],[Column25]]=2,GCP[[#This Row],[Column26]]=2,GCP[[#This Row],[Column27]]=2),"1",(IF(GCP[[#This Row],[Column9]]="x","2",(IF(GCP[[#This Row],[Column10]]="x","3","")))))))</f>
        <v>1</v>
      </c>
      <c r="AC62" s="454" t="str">
        <f>IF(GCP[[#This Row],[Column14]] = "-", GCP[[#This Row],[Column14]], LEFT(GCP[[#This Row],[Column14]], SEARCH(" ", GCP[[#This Row],[Column14]] &amp; " ") - 1))</f>
        <v>3.3</v>
      </c>
    </row>
    <row r="63" spans="1:29" ht="409.5">
      <c r="A6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3" s="137" t="str">
        <f>GCP[[#This Row],[Column30]]</f>
        <v>3.5</v>
      </c>
      <c r="C63" s="137">
        <v>4.2</v>
      </c>
      <c r="D63" s="138" t="s">
        <v>390</v>
      </c>
      <c r="E63" s="162" t="s">
        <v>156</v>
      </c>
      <c r="F63" s="138" t="s">
        <v>397</v>
      </c>
      <c r="G63" s="138" t="s">
        <v>398</v>
      </c>
      <c r="H63" s="163" t="s">
        <v>185</v>
      </c>
      <c r="I63" s="164" t="s">
        <v>185</v>
      </c>
      <c r="J63" s="200" t="s">
        <v>185</v>
      </c>
      <c r="K63" s="176" t="s">
        <v>185</v>
      </c>
      <c r="L63" s="176" t="s">
        <v>185</v>
      </c>
      <c r="M63" s="176"/>
      <c r="N63" s="222" t="s">
        <v>1211</v>
      </c>
      <c r="O63" s="212">
        <v>1</v>
      </c>
      <c r="P63" s="214" t="s">
        <v>1212</v>
      </c>
      <c r="Q63" s="214" t="s">
        <v>1213</v>
      </c>
      <c r="R63" s="451" t="s">
        <v>1214</v>
      </c>
      <c r="S63" s="214" t="s">
        <v>1215</v>
      </c>
      <c r="T63" s="214" t="s">
        <v>1216</v>
      </c>
      <c r="U63" s="258" t="s">
        <v>162</v>
      </c>
      <c r="V63" s="168" t="s">
        <v>1550</v>
      </c>
      <c r="W63" s="158" t="s">
        <v>967</v>
      </c>
      <c r="X63" s="158" t="s">
        <v>185</v>
      </c>
      <c r="Y63" s="158" t="s">
        <v>185</v>
      </c>
      <c r="Z63" s="158" t="s">
        <v>185</v>
      </c>
      <c r="AA63" s="158" t="str">
        <f>IF(GCP[[#This Row],[Column14]]="-","", "v")</f>
        <v>v</v>
      </c>
      <c r="AB63" s="158" t="str">
        <f>IF(GCP[[#This Row],[Column8]]="x","1",(IF(OR(GCP[[#This Row],[Column25]]=2,GCP[[#This Row],[Column26]]=2,GCP[[#This Row],[Column27]]=2),"1",(IF(GCP[[#This Row],[Column9]]="x","2",(IF(GCP[[#This Row],[Column10]]="x","3","")))))))</f>
        <v>1</v>
      </c>
      <c r="AC63" s="454" t="str">
        <f>IF(GCP[[#This Row],[Column14]] = "-", GCP[[#This Row],[Column14]], LEFT(GCP[[#This Row],[Column14]], SEARCH(" ", GCP[[#This Row],[Column14]] &amp; " ") - 1))</f>
        <v>3.5</v>
      </c>
    </row>
    <row r="64" spans="1:29" ht="409.5">
      <c r="A6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4" s="137" t="str">
        <f>GCP[[#This Row],[Column30]]</f>
        <v>3.4</v>
      </c>
      <c r="C64" s="137">
        <v>4.2</v>
      </c>
      <c r="D64" s="138" t="s">
        <v>390</v>
      </c>
      <c r="E64" s="162" t="s">
        <v>156</v>
      </c>
      <c r="F64" s="138" t="s">
        <v>397</v>
      </c>
      <c r="G64" s="138" t="s">
        <v>398</v>
      </c>
      <c r="H64" s="163" t="s">
        <v>185</v>
      </c>
      <c r="I64" s="164" t="s">
        <v>185</v>
      </c>
      <c r="J64" s="200" t="s">
        <v>185</v>
      </c>
      <c r="K64" s="176" t="s">
        <v>185</v>
      </c>
      <c r="L64" s="176" t="s">
        <v>185</v>
      </c>
      <c r="M64" s="176"/>
      <c r="N64" s="222" t="s">
        <v>1217</v>
      </c>
      <c r="O64" s="212">
        <v>1</v>
      </c>
      <c r="P64" s="214" t="s">
        <v>1212</v>
      </c>
      <c r="Q64" s="214" t="s">
        <v>1218</v>
      </c>
      <c r="R64" s="451" t="s">
        <v>1219</v>
      </c>
      <c r="S64" s="214" t="s">
        <v>1220</v>
      </c>
      <c r="T64" s="214" t="s">
        <v>1216</v>
      </c>
      <c r="U64" s="258" t="s">
        <v>162</v>
      </c>
      <c r="V64" s="168" t="s">
        <v>1550</v>
      </c>
      <c r="W64" s="158" t="s">
        <v>967</v>
      </c>
      <c r="X64" s="158" t="s">
        <v>185</v>
      </c>
      <c r="Y64" s="158" t="s">
        <v>185</v>
      </c>
      <c r="Z64" s="158" t="s">
        <v>185</v>
      </c>
      <c r="AA64" s="158" t="str">
        <f>IF(GCP[[#This Row],[Column14]]="-","", "v")</f>
        <v>v</v>
      </c>
      <c r="AB64" s="158" t="str">
        <f>IF(GCP[[#This Row],[Column8]]="x","1",(IF(OR(GCP[[#This Row],[Column25]]=2,GCP[[#This Row],[Column26]]=2,GCP[[#This Row],[Column27]]=2),"1",(IF(GCP[[#This Row],[Column9]]="x","2",(IF(GCP[[#This Row],[Column10]]="x","3","")))))))</f>
        <v>1</v>
      </c>
      <c r="AC64" s="454" t="str">
        <f>IF(GCP[[#This Row],[Column14]] = "-", GCP[[#This Row],[Column14]], LEFT(GCP[[#This Row],[Column14]], SEARCH(" ", GCP[[#This Row],[Column14]] &amp; " ") - 1))</f>
        <v>3.4</v>
      </c>
    </row>
    <row r="65" spans="1:29" ht="45">
      <c r="A6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5" s="137" t="str">
        <f>GCP[[#This Row],[Column30]]</f>
        <v>-</v>
      </c>
      <c r="C65" s="137">
        <v>4.3</v>
      </c>
      <c r="D65" s="138" t="s">
        <v>399</v>
      </c>
      <c r="E65" s="162" t="s">
        <v>156</v>
      </c>
      <c r="F65" s="138" t="s">
        <v>400</v>
      </c>
      <c r="G65" s="138" t="s">
        <v>401</v>
      </c>
      <c r="H65" s="163" t="s">
        <v>185</v>
      </c>
      <c r="I65" s="164" t="s">
        <v>185</v>
      </c>
      <c r="J65" s="200" t="s">
        <v>185</v>
      </c>
      <c r="K65" s="176" t="s">
        <v>185</v>
      </c>
      <c r="L65" s="176"/>
      <c r="M65" s="176"/>
      <c r="N65" s="222" t="s">
        <v>162</v>
      </c>
      <c r="O65" s="222" t="s">
        <v>162</v>
      </c>
      <c r="P65" s="222" t="s">
        <v>162</v>
      </c>
      <c r="Q65" s="222" t="s">
        <v>162</v>
      </c>
      <c r="R65" s="451"/>
      <c r="S65" s="222" t="s">
        <v>162</v>
      </c>
      <c r="T65" s="222" t="s">
        <v>162</v>
      </c>
      <c r="U65" s="258" t="s">
        <v>162</v>
      </c>
      <c r="V65" s="168"/>
      <c r="W65" s="158" t="s">
        <v>967</v>
      </c>
      <c r="X65" s="158" t="s">
        <v>185</v>
      </c>
      <c r="Y65" s="158" t="s">
        <v>185</v>
      </c>
      <c r="Z65" s="158" t="s">
        <v>185</v>
      </c>
      <c r="AA65" s="158" t="str">
        <f>IF(GCP[[#This Row],[Column14]]="-","", "v")</f>
        <v/>
      </c>
      <c r="AB65" s="158" t="str">
        <f>IF(GCP[[#This Row],[Column8]]="x","1",(IF(OR(GCP[[#This Row],[Column25]]=2,GCP[[#This Row],[Column26]]=2,GCP[[#This Row],[Column27]]=2),"1",(IF(GCP[[#This Row],[Column9]]="x","2",(IF(GCP[[#This Row],[Column10]]="x","3","")))))))</f>
        <v>1</v>
      </c>
      <c r="AC65" s="454" t="str">
        <f>IF(GCP[[#This Row],[Column14]] = "-", GCP[[#This Row],[Column14]], LEFT(GCP[[#This Row],[Column14]], SEARCH(" ", GCP[[#This Row],[Column14]] &amp; " ") - 1))</f>
        <v>-</v>
      </c>
    </row>
    <row r="66" spans="1:29" ht="409.5">
      <c r="A6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6" s="137" t="str">
        <f>GCP[[#This Row],[Column30]]</f>
        <v>3.6</v>
      </c>
      <c r="C66" s="137">
        <v>4.4000000000000004</v>
      </c>
      <c r="D66" s="138" t="s">
        <v>352</v>
      </c>
      <c r="E66" s="162" t="s">
        <v>156</v>
      </c>
      <c r="F66" s="138" t="s">
        <v>402</v>
      </c>
      <c r="G66" s="138" t="s">
        <v>403</v>
      </c>
      <c r="H66" s="163" t="s">
        <v>185</v>
      </c>
      <c r="I66" s="164" t="s">
        <v>185</v>
      </c>
      <c r="J66" s="200" t="s">
        <v>185</v>
      </c>
      <c r="K66" s="176" t="s">
        <v>185</v>
      </c>
      <c r="L66" s="176" t="s">
        <v>185</v>
      </c>
      <c r="M66" s="176"/>
      <c r="N66" s="222" t="s">
        <v>1221</v>
      </c>
      <c r="O66" s="212">
        <v>2</v>
      </c>
      <c r="P66" s="214" t="s">
        <v>1222</v>
      </c>
      <c r="Q66" s="214" t="s">
        <v>1223</v>
      </c>
      <c r="R66" s="451" t="s">
        <v>1224</v>
      </c>
      <c r="S66" s="214" t="s">
        <v>1225</v>
      </c>
      <c r="T66" s="214" t="s">
        <v>1226</v>
      </c>
      <c r="U66" s="158" t="s">
        <v>975</v>
      </c>
      <c r="V66" s="168" t="s">
        <v>1538</v>
      </c>
      <c r="W66" s="158" t="s">
        <v>967</v>
      </c>
      <c r="X66" s="158" t="s">
        <v>185</v>
      </c>
      <c r="Y66" s="158" t="s">
        <v>185</v>
      </c>
      <c r="Z66" s="158" t="s">
        <v>185</v>
      </c>
      <c r="AA66" s="158" t="str">
        <f>IF(GCP[[#This Row],[Column14]]="-","", "v")</f>
        <v>v</v>
      </c>
      <c r="AB66" s="158" t="str">
        <f>IF(GCP[[#This Row],[Column8]]="x","1",(IF(OR(GCP[[#This Row],[Column25]]=2,GCP[[#This Row],[Column26]]=2,GCP[[#This Row],[Column27]]=2),"1",(IF(GCP[[#This Row],[Column9]]="x","2",(IF(GCP[[#This Row],[Column10]]="x","3","")))))))</f>
        <v>1</v>
      </c>
      <c r="AC66" s="454" t="str">
        <f>IF(GCP[[#This Row],[Column14]] = "-", GCP[[#This Row],[Column14]], LEFT(GCP[[#This Row],[Column14]], SEARCH(" ", GCP[[#This Row],[Column14]] &amp; " ") - 1))</f>
        <v>3.6</v>
      </c>
    </row>
    <row r="67" spans="1:29" ht="409.5">
      <c r="A6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7" s="137" t="str">
        <f>GCP[[#This Row],[Column30]]</f>
        <v>3.7</v>
      </c>
      <c r="C67" s="137">
        <v>4.4000000000000004</v>
      </c>
      <c r="D67" s="138" t="s">
        <v>352</v>
      </c>
      <c r="E67" s="162" t="s">
        <v>156</v>
      </c>
      <c r="F67" s="138" t="s">
        <v>402</v>
      </c>
      <c r="G67" s="138" t="s">
        <v>403</v>
      </c>
      <c r="H67" s="163" t="s">
        <v>185</v>
      </c>
      <c r="I67" s="164" t="s">
        <v>185</v>
      </c>
      <c r="J67" s="200" t="s">
        <v>185</v>
      </c>
      <c r="K67" s="176" t="s">
        <v>185</v>
      </c>
      <c r="L67" s="176" t="s">
        <v>185</v>
      </c>
      <c r="M67" s="176"/>
      <c r="N67" s="222" t="s">
        <v>1227</v>
      </c>
      <c r="O67" s="212">
        <v>2</v>
      </c>
      <c r="P67" s="214" t="s">
        <v>1228</v>
      </c>
      <c r="Q67" s="214" t="s">
        <v>1229</v>
      </c>
      <c r="R67" s="451" t="s">
        <v>1230</v>
      </c>
      <c r="S67" s="214" t="s">
        <v>1231</v>
      </c>
      <c r="T67" s="214" t="s">
        <v>1226</v>
      </c>
      <c r="U67" s="158" t="s">
        <v>975</v>
      </c>
      <c r="V67" s="168" t="s">
        <v>2029</v>
      </c>
      <c r="W67" s="158" t="s">
        <v>966</v>
      </c>
      <c r="X67" s="158" t="s">
        <v>185</v>
      </c>
      <c r="Y67" s="158" t="s">
        <v>185</v>
      </c>
      <c r="Z67" s="158" t="s">
        <v>185</v>
      </c>
      <c r="AA67" s="158" t="str">
        <f>IF(GCP[[#This Row],[Column14]]="-","", "v")</f>
        <v>v</v>
      </c>
      <c r="AB67" s="158" t="str">
        <f>IF(GCP[[#This Row],[Column8]]="x","1",(IF(OR(GCP[[#This Row],[Column25]]=2,GCP[[#This Row],[Column26]]=2,GCP[[#This Row],[Column27]]=2),"1",(IF(GCP[[#This Row],[Column9]]="x","2",(IF(GCP[[#This Row],[Column10]]="x","3","")))))))</f>
        <v>1</v>
      </c>
      <c r="AC67" s="454" t="str">
        <f>IF(GCP[[#This Row],[Column14]] = "-", GCP[[#This Row],[Column14]], LEFT(GCP[[#This Row],[Column14]], SEARCH(" ", GCP[[#This Row],[Column14]] &amp; " ") - 1))</f>
        <v>3.7</v>
      </c>
    </row>
    <row r="68" spans="1:29" ht="409.5">
      <c r="A6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8" s="137" t="str">
        <f>GCP[[#This Row],[Column30]]</f>
        <v>4.6</v>
      </c>
      <c r="C68" s="137">
        <v>4.4000000000000004</v>
      </c>
      <c r="D68" s="138" t="s">
        <v>352</v>
      </c>
      <c r="E68" s="162" t="s">
        <v>156</v>
      </c>
      <c r="F68" s="138" t="s">
        <v>402</v>
      </c>
      <c r="G68" s="138" t="s">
        <v>403</v>
      </c>
      <c r="H68" s="163" t="s">
        <v>185</v>
      </c>
      <c r="I68" s="164" t="s">
        <v>185</v>
      </c>
      <c r="J68" s="200" t="s">
        <v>185</v>
      </c>
      <c r="K68" s="176" t="s">
        <v>185</v>
      </c>
      <c r="L68" s="176" t="s">
        <v>185</v>
      </c>
      <c r="M68" s="176"/>
      <c r="N68" s="222" t="s">
        <v>1232</v>
      </c>
      <c r="O68" s="212">
        <v>1</v>
      </c>
      <c r="P68" s="214" t="s">
        <v>1233</v>
      </c>
      <c r="Q68" s="214" t="s">
        <v>1234</v>
      </c>
      <c r="R68" s="451" t="s">
        <v>1235</v>
      </c>
      <c r="S68" s="214" t="s">
        <v>1236</v>
      </c>
      <c r="T68" s="214" t="s">
        <v>1237</v>
      </c>
      <c r="U68" s="258" t="s">
        <v>162</v>
      </c>
      <c r="V68" s="168" t="s">
        <v>1551</v>
      </c>
      <c r="W68" s="158" t="s">
        <v>967</v>
      </c>
      <c r="X68" s="158" t="s">
        <v>185</v>
      </c>
      <c r="Y68" s="158" t="s">
        <v>185</v>
      </c>
      <c r="Z68" s="158" t="s">
        <v>185</v>
      </c>
      <c r="AA68" s="158" t="str">
        <f>IF(GCP[[#This Row],[Column14]]="-","", "v")</f>
        <v>v</v>
      </c>
      <c r="AB68" s="158" t="str">
        <f>IF(GCP[[#This Row],[Column8]]="x","1",(IF(OR(GCP[[#This Row],[Column25]]=2,GCP[[#This Row],[Column26]]=2,GCP[[#This Row],[Column27]]=2),"1",(IF(GCP[[#This Row],[Column9]]="x","2",(IF(GCP[[#This Row],[Column10]]="x","3","")))))))</f>
        <v>1</v>
      </c>
      <c r="AC68" s="454" t="str">
        <f>IF(GCP[[#This Row],[Column14]] = "-", GCP[[#This Row],[Column14]], LEFT(GCP[[#This Row],[Column14]], SEARCH(" ", GCP[[#This Row],[Column14]] &amp; " ") - 1))</f>
        <v>4.6</v>
      </c>
    </row>
    <row r="69" spans="1:29" ht="409.5">
      <c r="A6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NOT(ISBLANK(K69)),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NOT(ISBLANK(L69)),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NOT(ISBLANK(M69)),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69" s="137" t="str">
        <f>GCP[[#This Row],[Column30]]</f>
        <v>3.6</v>
      </c>
      <c r="C69" s="137">
        <v>4.5</v>
      </c>
      <c r="D69" s="138" t="s">
        <v>352</v>
      </c>
      <c r="E69" s="162" t="s">
        <v>156</v>
      </c>
      <c r="F69" s="138" t="s">
        <v>404</v>
      </c>
      <c r="G69" s="138" t="s">
        <v>405</v>
      </c>
      <c r="H69" s="163" t="s">
        <v>185</v>
      </c>
      <c r="I69" s="164" t="s">
        <v>185</v>
      </c>
      <c r="J69" s="200" t="s">
        <v>185</v>
      </c>
      <c r="K69" s="176" t="s">
        <v>185</v>
      </c>
      <c r="L69" s="176" t="s">
        <v>185</v>
      </c>
      <c r="M69" s="176"/>
      <c r="N69" s="222" t="s">
        <v>1221</v>
      </c>
      <c r="O69" s="212">
        <v>2</v>
      </c>
      <c r="P69" s="214" t="s">
        <v>1222</v>
      </c>
      <c r="Q69" s="214" t="s">
        <v>1223</v>
      </c>
      <c r="R69" s="451" t="s">
        <v>1224</v>
      </c>
      <c r="S69" s="214" t="s">
        <v>1225</v>
      </c>
      <c r="T69" s="214" t="s">
        <v>1226</v>
      </c>
      <c r="U69" s="258" t="s">
        <v>162</v>
      </c>
      <c r="V69" s="168" t="s">
        <v>1538</v>
      </c>
      <c r="W69" s="158" t="s">
        <v>966</v>
      </c>
      <c r="X69" s="158" t="s">
        <v>185</v>
      </c>
      <c r="Y69" s="158" t="s">
        <v>185</v>
      </c>
      <c r="Z69" s="158" t="s">
        <v>185</v>
      </c>
      <c r="AA69" s="158" t="str">
        <f>IF(GCP[[#This Row],[Column14]]="-","", "v")</f>
        <v>v</v>
      </c>
      <c r="AB69" s="158" t="str">
        <f>IF(GCP[[#This Row],[Column8]]="x","1",(IF(OR(GCP[[#This Row],[Column25]]=2,GCP[[#This Row],[Column26]]=2,GCP[[#This Row],[Column27]]=2),"1",(IF(GCP[[#This Row],[Column9]]="x","2",(IF(GCP[[#This Row],[Column10]]="x","3","")))))))</f>
        <v>1</v>
      </c>
      <c r="AC69" s="454" t="str">
        <f>IF(GCP[[#This Row],[Column14]] = "-", GCP[[#This Row],[Column14]], LEFT(GCP[[#This Row],[Column14]], SEARCH(" ", GCP[[#This Row],[Column14]] &amp; " ") - 1))</f>
        <v>3.6</v>
      </c>
    </row>
    <row r="70" spans="1:29" ht="409.5">
      <c r="A7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0" s="137" t="str">
        <f>GCP[[#This Row],[Column30]]</f>
        <v>3.7</v>
      </c>
      <c r="C70" s="137">
        <v>4.5</v>
      </c>
      <c r="D70" s="138" t="s">
        <v>352</v>
      </c>
      <c r="E70" s="162" t="s">
        <v>156</v>
      </c>
      <c r="F70" s="138" t="s">
        <v>404</v>
      </c>
      <c r="G70" s="138" t="s">
        <v>405</v>
      </c>
      <c r="H70" s="163" t="s">
        <v>185</v>
      </c>
      <c r="I70" s="164" t="s">
        <v>185</v>
      </c>
      <c r="J70" s="200" t="s">
        <v>185</v>
      </c>
      <c r="K70" s="176" t="s">
        <v>185</v>
      </c>
      <c r="L70" s="176" t="s">
        <v>185</v>
      </c>
      <c r="M70" s="176"/>
      <c r="N70" s="222" t="s">
        <v>1227</v>
      </c>
      <c r="O70" s="212">
        <v>2</v>
      </c>
      <c r="P70" s="214" t="s">
        <v>1228</v>
      </c>
      <c r="Q70" s="214" t="s">
        <v>1229</v>
      </c>
      <c r="R70" s="451" t="s">
        <v>1238</v>
      </c>
      <c r="S70" s="214" t="s">
        <v>1231</v>
      </c>
      <c r="T70" s="214" t="s">
        <v>1226</v>
      </c>
      <c r="U70" s="258" t="s">
        <v>162</v>
      </c>
      <c r="V70" s="168" t="s">
        <v>1552</v>
      </c>
      <c r="W70" s="158" t="s">
        <v>966</v>
      </c>
      <c r="X70" s="158" t="s">
        <v>185</v>
      </c>
      <c r="Y70" s="158" t="s">
        <v>185</v>
      </c>
      <c r="Z70" s="158" t="s">
        <v>185</v>
      </c>
      <c r="AA70" s="158" t="str">
        <f>IF(GCP[[#This Row],[Column14]]="-","", "v")</f>
        <v>v</v>
      </c>
      <c r="AB70" s="158" t="str">
        <f>IF(GCP[[#This Row],[Column8]]="x","1",(IF(OR(GCP[[#This Row],[Column25]]=2,GCP[[#This Row],[Column26]]=2,GCP[[#This Row],[Column27]]=2),"1",(IF(GCP[[#This Row],[Column9]]="x","2",(IF(GCP[[#This Row],[Column10]]="x","3","")))))))</f>
        <v>1</v>
      </c>
      <c r="AC70" s="454" t="str">
        <f>IF(GCP[[#This Row],[Column14]] = "-", GCP[[#This Row],[Column14]], LEFT(GCP[[#This Row],[Column14]], SEARCH(" ", GCP[[#This Row],[Column14]] &amp; " ") - 1))</f>
        <v>3.7</v>
      </c>
    </row>
    <row r="71" spans="1:29" ht="409.5">
      <c r="A7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1" s="137" t="str">
        <f>GCP[[#This Row],[Column30]]</f>
        <v>4.6</v>
      </c>
      <c r="C71" s="137">
        <v>4.5</v>
      </c>
      <c r="D71" s="138" t="s">
        <v>352</v>
      </c>
      <c r="E71" s="162" t="s">
        <v>156</v>
      </c>
      <c r="F71" s="138" t="s">
        <v>404</v>
      </c>
      <c r="G71" s="138" t="s">
        <v>405</v>
      </c>
      <c r="H71" s="163" t="s">
        <v>185</v>
      </c>
      <c r="I71" s="164" t="s">
        <v>185</v>
      </c>
      <c r="J71" s="200" t="s">
        <v>185</v>
      </c>
      <c r="K71" s="176" t="s">
        <v>185</v>
      </c>
      <c r="L71" s="176" t="s">
        <v>185</v>
      </c>
      <c r="M71" s="176"/>
      <c r="N71" s="222" t="s">
        <v>1232</v>
      </c>
      <c r="O71" s="212">
        <v>1</v>
      </c>
      <c r="P71" s="214" t="s">
        <v>1233</v>
      </c>
      <c r="Q71" s="214" t="s">
        <v>1234</v>
      </c>
      <c r="R71" s="451" t="s">
        <v>1235</v>
      </c>
      <c r="S71" s="214" t="s">
        <v>1236</v>
      </c>
      <c r="T71" s="214" t="s">
        <v>1237</v>
      </c>
      <c r="U71" s="258" t="s">
        <v>162</v>
      </c>
      <c r="V71" s="168" t="s">
        <v>1551</v>
      </c>
      <c r="W71" s="158" t="s">
        <v>967</v>
      </c>
      <c r="X71" s="158" t="s">
        <v>185</v>
      </c>
      <c r="Y71" s="158" t="s">
        <v>185</v>
      </c>
      <c r="Z71" s="158" t="s">
        <v>185</v>
      </c>
      <c r="AA71" s="158" t="str">
        <f>IF(GCP[[#This Row],[Column14]]="-","", "v")</f>
        <v>v</v>
      </c>
      <c r="AB71" s="158" t="str">
        <f>IF(GCP[[#This Row],[Column8]]="x","1",(IF(OR(GCP[[#This Row],[Column25]]=2,GCP[[#This Row],[Column26]]=2,GCP[[#This Row],[Column27]]=2),"1",(IF(GCP[[#This Row],[Column9]]="x","2",(IF(GCP[[#This Row],[Column10]]="x","3","")))))))</f>
        <v>1</v>
      </c>
      <c r="AC71" s="454" t="str">
        <f>IF(GCP[[#This Row],[Column14]] = "-", GCP[[#This Row],[Column14]], LEFT(GCP[[#This Row],[Column14]], SEARCH(" ", GCP[[#This Row],[Column14]] &amp; " ") - 1))</f>
        <v>4.6</v>
      </c>
    </row>
    <row r="72" spans="1:29" ht="409.5">
      <c r="A7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2" s="137" t="str">
        <f>GCP[[#This Row],[Column30]]</f>
        <v>6.2.9</v>
      </c>
      <c r="C72" s="137">
        <v>4.5999999999999996</v>
      </c>
      <c r="D72" s="138" t="s">
        <v>390</v>
      </c>
      <c r="E72" s="162" t="s">
        <v>156</v>
      </c>
      <c r="F72" s="138" t="s">
        <v>406</v>
      </c>
      <c r="G72" s="139" t="s">
        <v>407</v>
      </c>
      <c r="H72" s="163" t="s">
        <v>185</v>
      </c>
      <c r="I72" s="164" t="s">
        <v>185</v>
      </c>
      <c r="J72" s="200" t="s">
        <v>185</v>
      </c>
      <c r="K72" s="176" t="s">
        <v>185</v>
      </c>
      <c r="L72" s="176" t="s">
        <v>185</v>
      </c>
      <c r="M72" s="176" t="s">
        <v>185</v>
      </c>
      <c r="N72" s="222" t="s">
        <v>1239</v>
      </c>
      <c r="O72" s="212">
        <v>1</v>
      </c>
      <c r="P72" s="214" t="s">
        <v>1240</v>
      </c>
      <c r="Q72" s="214" t="s">
        <v>1241</v>
      </c>
      <c r="R72" s="451" t="s">
        <v>1242</v>
      </c>
      <c r="S72" s="214" t="s">
        <v>1243</v>
      </c>
      <c r="T72" s="214" t="s">
        <v>1244</v>
      </c>
      <c r="U72" s="158" t="s">
        <v>975</v>
      </c>
      <c r="V72" s="168" t="s">
        <v>1527</v>
      </c>
      <c r="W72" s="158" t="s">
        <v>967</v>
      </c>
      <c r="X72" s="158" t="s">
        <v>185</v>
      </c>
      <c r="Y72" s="158" t="s">
        <v>185</v>
      </c>
      <c r="Z72" s="158" t="s">
        <v>185</v>
      </c>
      <c r="AA72" s="158" t="str">
        <f>IF(GCP[[#This Row],[Column14]]="-","", "v")</f>
        <v>v</v>
      </c>
      <c r="AB72" s="158" t="str">
        <f>IF(GCP[[#This Row],[Column8]]="x","1",(IF(OR(GCP[[#This Row],[Column25]]=2,GCP[[#This Row],[Column26]]=2,GCP[[#This Row],[Column27]]=2),"1",(IF(GCP[[#This Row],[Column9]]="x","2",(IF(GCP[[#This Row],[Column10]]="x","3","")))))))</f>
        <v>1</v>
      </c>
      <c r="AC72" s="454" t="str">
        <f>IF(GCP[[#This Row],[Column14]] = "-", GCP[[#This Row],[Column14]], LEFT(GCP[[#This Row],[Column14]], SEARCH(" ", GCP[[#This Row],[Column14]] &amp; " ") - 1))</f>
        <v>6.2.9</v>
      </c>
    </row>
    <row r="73" spans="1:29" ht="409.5">
      <c r="A7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3" s="137" t="str">
        <f>GCP[[#This Row],[Column30]]</f>
        <v>4.1</v>
      </c>
      <c r="C73" s="137">
        <v>4.7</v>
      </c>
      <c r="D73" s="138" t="s">
        <v>399</v>
      </c>
      <c r="E73" s="162" t="s">
        <v>156</v>
      </c>
      <c r="F73" s="138" t="s">
        <v>408</v>
      </c>
      <c r="G73" s="139" t="s">
        <v>409</v>
      </c>
      <c r="H73" s="163" t="s">
        <v>185</v>
      </c>
      <c r="I73" s="164" t="s">
        <v>185</v>
      </c>
      <c r="J73" s="200" t="s">
        <v>185</v>
      </c>
      <c r="K73" s="176" t="s">
        <v>185</v>
      </c>
      <c r="L73" s="176" t="s">
        <v>185</v>
      </c>
      <c r="M73" s="176" t="s">
        <v>185</v>
      </c>
      <c r="N73" s="222" t="s">
        <v>1245</v>
      </c>
      <c r="O73" s="212">
        <v>1</v>
      </c>
      <c r="P73" s="214" t="s">
        <v>1246</v>
      </c>
      <c r="Q73" s="214" t="s">
        <v>1247</v>
      </c>
      <c r="R73" s="451" t="s">
        <v>1248</v>
      </c>
      <c r="S73" s="214" t="s">
        <v>1249</v>
      </c>
      <c r="T73" s="214" t="s">
        <v>1250</v>
      </c>
      <c r="U73" s="158" t="s">
        <v>975</v>
      </c>
      <c r="V73" s="168" t="s">
        <v>1553</v>
      </c>
      <c r="W73" s="158" t="s">
        <v>967</v>
      </c>
      <c r="X73" s="158" t="s">
        <v>185</v>
      </c>
      <c r="Y73" s="158" t="s">
        <v>185</v>
      </c>
      <c r="Z73" s="158" t="s">
        <v>185</v>
      </c>
      <c r="AA73" s="158" t="str">
        <f>IF(GCP[[#This Row],[Column14]]="-","", "v")</f>
        <v>v</v>
      </c>
      <c r="AB73" s="158" t="str">
        <f>IF(GCP[[#This Row],[Column8]]="x","1",(IF(OR(GCP[[#This Row],[Column25]]=2,GCP[[#This Row],[Column26]]=2,GCP[[#This Row],[Column27]]=2),"1",(IF(GCP[[#This Row],[Column9]]="x","2",(IF(GCP[[#This Row],[Column10]]="x","3","")))))))</f>
        <v>1</v>
      </c>
      <c r="AC73" s="454" t="str">
        <f>IF(GCP[[#This Row],[Column14]] = "-", GCP[[#This Row],[Column14]], LEFT(GCP[[#This Row],[Column14]], SEARCH(" ", GCP[[#This Row],[Column14]] &amp; " ") - 1))</f>
        <v>4.1</v>
      </c>
    </row>
    <row r="74" spans="1:29" ht="409.5">
      <c r="A7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4" s="137" t="str">
        <f>GCP[[#This Row],[Column30]]</f>
        <v>4.2</v>
      </c>
      <c r="C74" s="137">
        <v>4.7</v>
      </c>
      <c r="D74" s="138" t="s">
        <v>399</v>
      </c>
      <c r="E74" s="162" t="s">
        <v>156</v>
      </c>
      <c r="F74" s="138" t="s">
        <v>408</v>
      </c>
      <c r="G74" s="139" t="s">
        <v>409</v>
      </c>
      <c r="H74" s="163" t="s">
        <v>185</v>
      </c>
      <c r="I74" s="164" t="s">
        <v>185</v>
      </c>
      <c r="J74" s="200" t="s">
        <v>185</v>
      </c>
      <c r="K74" s="176" t="s">
        <v>185</v>
      </c>
      <c r="L74" s="176" t="s">
        <v>185</v>
      </c>
      <c r="M74" s="176" t="s">
        <v>185</v>
      </c>
      <c r="N74" s="222" t="s">
        <v>1251</v>
      </c>
      <c r="O74" s="212">
        <v>1</v>
      </c>
      <c r="P74" s="214" t="s">
        <v>1252</v>
      </c>
      <c r="Q74" s="214" t="s">
        <v>1253</v>
      </c>
      <c r="R74" s="451" t="s">
        <v>1254</v>
      </c>
      <c r="S74" s="214" t="s">
        <v>1255</v>
      </c>
      <c r="T74" s="214" t="s">
        <v>1256</v>
      </c>
      <c r="U74" s="158" t="s">
        <v>975</v>
      </c>
      <c r="V74" s="168" t="s">
        <v>1554</v>
      </c>
      <c r="W74" s="158" t="s">
        <v>967</v>
      </c>
      <c r="X74" s="158" t="s">
        <v>185</v>
      </c>
      <c r="Y74" s="158" t="s">
        <v>185</v>
      </c>
      <c r="Z74" s="158" t="s">
        <v>185</v>
      </c>
      <c r="AA74" s="158" t="str">
        <f>IF(GCP[[#This Row],[Column14]]="-","", "v")</f>
        <v>v</v>
      </c>
      <c r="AB74" s="158" t="str">
        <f>IF(GCP[[#This Row],[Column8]]="x","1",(IF(OR(GCP[[#This Row],[Column25]]=2,GCP[[#This Row],[Column26]]=2,GCP[[#This Row],[Column27]]=2),"1",(IF(GCP[[#This Row],[Column9]]="x","2",(IF(GCP[[#This Row],[Column10]]="x","3","")))))))</f>
        <v>1</v>
      </c>
      <c r="AC74" s="454" t="str">
        <f>IF(GCP[[#This Row],[Column14]] = "-", GCP[[#This Row],[Column14]], LEFT(GCP[[#This Row],[Column14]], SEARCH(" ", GCP[[#This Row],[Column14]] &amp; " ") - 1))</f>
        <v>4.2</v>
      </c>
    </row>
    <row r="75" spans="1:29" ht="370.5">
      <c r="A7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5" s="137" t="str">
        <f>GCP[[#This Row],[Column30]]</f>
        <v>6.1.1</v>
      </c>
      <c r="C75" s="137">
        <v>4.7</v>
      </c>
      <c r="D75" s="138" t="s">
        <v>399</v>
      </c>
      <c r="E75" s="162" t="s">
        <v>156</v>
      </c>
      <c r="F75" s="138" t="s">
        <v>408</v>
      </c>
      <c r="G75" s="139" t="s">
        <v>409</v>
      </c>
      <c r="H75" s="163" t="s">
        <v>185</v>
      </c>
      <c r="I75" s="164" t="s">
        <v>185</v>
      </c>
      <c r="J75" s="200" t="s">
        <v>185</v>
      </c>
      <c r="K75" s="176" t="s">
        <v>185</v>
      </c>
      <c r="L75" s="176" t="s">
        <v>185</v>
      </c>
      <c r="M75" s="176" t="s">
        <v>185</v>
      </c>
      <c r="N75" s="222" t="s">
        <v>1257</v>
      </c>
      <c r="O75" s="212">
        <v>1</v>
      </c>
      <c r="P75" s="214" t="s">
        <v>1258</v>
      </c>
      <c r="Q75" s="214" t="s">
        <v>1259</v>
      </c>
      <c r="R75" s="451" t="s">
        <v>1260</v>
      </c>
      <c r="S75" s="214" t="s">
        <v>1261</v>
      </c>
      <c r="T75" s="214" t="s">
        <v>1262</v>
      </c>
      <c r="U75" s="158" t="s">
        <v>162</v>
      </c>
      <c r="V75" s="168" t="s">
        <v>899</v>
      </c>
      <c r="W75" s="158" t="s">
        <v>967</v>
      </c>
      <c r="X75" s="158" t="s">
        <v>185</v>
      </c>
      <c r="Y75" s="158" t="s">
        <v>185</v>
      </c>
      <c r="Z75" s="158" t="s">
        <v>185</v>
      </c>
      <c r="AA75" s="158" t="str">
        <f>IF(GCP[[#This Row],[Column14]]="-","", "v")</f>
        <v>v</v>
      </c>
      <c r="AB75" s="158" t="str">
        <f>IF(GCP[[#This Row],[Column8]]="x","1",(IF(OR(GCP[[#This Row],[Column25]]=2,GCP[[#This Row],[Column26]]=2,GCP[[#This Row],[Column27]]=2),"1",(IF(GCP[[#This Row],[Column9]]="x","2",(IF(GCP[[#This Row],[Column10]]="x","3","")))))))</f>
        <v>1</v>
      </c>
      <c r="AC75" s="454" t="str">
        <f>IF(GCP[[#This Row],[Column14]] = "-", GCP[[#This Row],[Column14]], LEFT(GCP[[#This Row],[Column14]], SEARCH(" ", GCP[[#This Row],[Column14]] &amp; " ") - 1))</f>
        <v>6.1.1</v>
      </c>
    </row>
    <row r="76" spans="1:29" ht="409.5">
      <c r="A7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6" s="137" t="str">
        <f>GCP[[#This Row],[Column30]]</f>
        <v>4.5</v>
      </c>
      <c r="C76" s="137">
        <v>4.8</v>
      </c>
      <c r="D76" s="138" t="s">
        <v>352</v>
      </c>
      <c r="E76" s="162" t="s">
        <v>156</v>
      </c>
      <c r="F76" s="139" t="s">
        <v>410</v>
      </c>
      <c r="G76" s="139" t="s">
        <v>411</v>
      </c>
      <c r="H76" s="137"/>
      <c r="I76" s="164" t="s">
        <v>185</v>
      </c>
      <c r="J76" s="200" t="s">
        <v>185</v>
      </c>
      <c r="K76" s="176" t="s">
        <v>185</v>
      </c>
      <c r="L76" s="176" t="s">
        <v>185</v>
      </c>
      <c r="M76" s="176"/>
      <c r="N76" s="222" t="s">
        <v>1263</v>
      </c>
      <c r="O76" s="212">
        <v>1</v>
      </c>
      <c r="P76" s="214" t="s">
        <v>1264</v>
      </c>
      <c r="Q76" s="214" t="s">
        <v>1265</v>
      </c>
      <c r="R76" s="451" t="s">
        <v>1266</v>
      </c>
      <c r="S76" s="214" t="s">
        <v>1267</v>
      </c>
      <c r="T76" s="214" t="s">
        <v>1268</v>
      </c>
      <c r="U76" s="158" t="s">
        <v>975</v>
      </c>
      <c r="V76" s="168" t="s">
        <v>1555</v>
      </c>
      <c r="W76" s="158" t="s">
        <v>967</v>
      </c>
      <c r="X76" s="158" t="s">
        <v>185</v>
      </c>
      <c r="Y76" s="158" t="s">
        <v>185</v>
      </c>
      <c r="Z76" s="158" t="s">
        <v>185</v>
      </c>
      <c r="AA76" s="158" t="str">
        <f>IF(GCP[[#This Row],[Column14]]="-","", "v")</f>
        <v>v</v>
      </c>
      <c r="AB76" s="158" t="str">
        <f>IF(GCP[[#This Row],[Column8]]="x","1",(IF(OR(GCP[[#This Row],[Column25]]=2,GCP[[#This Row],[Column26]]=2,GCP[[#This Row],[Column27]]=2),"1",(IF(GCP[[#This Row],[Column9]]="x","2",(IF(GCP[[#This Row],[Column10]]="x","3","")))))))</f>
        <v>2</v>
      </c>
      <c r="AC76" s="454" t="str">
        <f>IF(GCP[[#This Row],[Column14]] = "-", GCP[[#This Row],[Column14]], LEFT(GCP[[#This Row],[Column14]], SEARCH(" ", GCP[[#This Row],[Column14]] &amp; " ") - 1))</f>
        <v>4.5</v>
      </c>
    </row>
    <row r="77" spans="1:29" ht="409.5">
      <c r="A7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7" s="137" t="str">
        <f>GCP[[#This Row],[Column30]]</f>
        <v>6.3.5</v>
      </c>
      <c r="C77" s="137">
        <v>4.8</v>
      </c>
      <c r="D77" s="138" t="s">
        <v>352</v>
      </c>
      <c r="E77" s="162" t="s">
        <v>156</v>
      </c>
      <c r="F77" s="139" t="s">
        <v>410</v>
      </c>
      <c r="G77" s="139" t="s">
        <v>411</v>
      </c>
      <c r="H77" s="137"/>
      <c r="I77" s="164" t="s">
        <v>185</v>
      </c>
      <c r="J77" s="200" t="s">
        <v>185</v>
      </c>
      <c r="K77" s="176" t="s">
        <v>185</v>
      </c>
      <c r="L77" s="176" t="s">
        <v>185</v>
      </c>
      <c r="M77" s="176"/>
      <c r="N77" s="222" t="s">
        <v>1269</v>
      </c>
      <c r="O77" s="212">
        <v>1</v>
      </c>
      <c r="P77" s="214" t="s">
        <v>1270</v>
      </c>
      <c r="Q77" s="214" t="s">
        <v>1271</v>
      </c>
      <c r="R77" s="451" t="s">
        <v>1272</v>
      </c>
      <c r="S77" s="214" t="s">
        <v>1273</v>
      </c>
      <c r="T77" s="214" t="s">
        <v>1274</v>
      </c>
      <c r="U77" s="258" t="s">
        <v>162</v>
      </c>
      <c r="V77" s="168" t="s">
        <v>1556</v>
      </c>
      <c r="W77" s="158" t="s">
        <v>967</v>
      </c>
      <c r="X77" s="158" t="s">
        <v>185</v>
      </c>
      <c r="Y77" s="158" t="s">
        <v>185</v>
      </c>
      <c r="Z77" s="158" t="s">
        <v>185</v>
      </c>
      <c r="AA77" s="158" t="str">
        <f>IF(GCP[[#This Row],[Column14]]="-","", "v")</f>
        <v>v</v>
      </c>
      <c r="AB77" s="158" t="str">
        <f>IF(GCP[[#This Row],[Column8]]="x","1",(IF(OR(GCP[[#This Row],[Column25]]=2,GCP[[#This Row],[Column26]]=2,GCP[[#This Row],[Column27]]=2),"1",(IF(GCP[[#This Row],[Column9]]="x","2",(IF(GCP[[#This Row],[Column10]]="x","3","")))))))</f>
        <v>2</v>
      </c>
      <c r="AC77" s="454" t="str">
        <f>IF(GCP[[#This Row],[Column14]] = "-", GCP[[#This Row],[Column14]], LEFT(GCP[[#This Row],[Column14]], SEARCH(" ", GCP[[#This Row],[Column14]] &amp; " ") - 1))</f>
        <v>6.3.5</v>
      </c>
    </row>
    <row r="78" spans="1:29" ht="45">
      <c r="A7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8" s="137" t="str">
        <f>GCP[[#This Row],[Column30]]</f>
        <v>-</v>
      </c>
      <c r="C78" s="137">
        <v>4.9000000000000004</v>
      </c>
      <c r="D78" s="138" t="s">
        <v>352</v>
      </c>
      <c r="E78" s="162" t="s">
        <v>156</v>
      </c>
      <c r="F78" s="138" t="s">
        <v>412</v>
      </c>
      <c r="G78" s="139" t="s">
        <v>413</v>
      </c>
      <c r="H78" s="204"/>
      <c r="I78" s="164" t="s">
        <v>185</v>
      </c>
      <c r="J78" s="200" t="s">
        <v>185</v>
      </c>
      <c r="K78" s="176" t="s">
        <v>185</v>
      </c>
      <c r="L78" s="176" t="s">
        <v>185</v>
      </c>
      <c r="M78" s="176"/>
      <c r="N78" s="222" t="s">
        <v>162</v>
      </c>
      <c r="O78" s="222" t="s">
        <v>162</v>
      </c>
      <c r="P78" s="222" t="s">
        <v>162</v>
      </c>
      <c r="Q78" s="222" t="s">
        <v>162</v>
      </c>
      <c r="R78" s="451"/>
      <c r="S78" s="222" t="s">
        <v>162</v>
      </c>
      <c r="T78" s="222" t="s">
        <v>162</v>
      </c>
      <c r="U78" s="258" t="s">
        <v>162</v>
      </c>
      <c r="V78" s="168"/>
      <c r="W78" s="158" t="s">
        <v>967</v>
      </c>
      <c r="X78" s="158" t="s">
        <v>185</v>
      </c>
      <c r="Y78" s="158" t="s">
        <v>185</v>
      </c>
      <c r="Z78" s="158" t="s">
        <v>185</v>
      </c>
      <c r="AA78" s="158" t="str">
        <f>IF(GCP[[#This Row],[Column14]]="-","", "v")</f>
        <v/>
      </c>
      <c r="AB78" s="158" t="str">
        <f>IF(GCP[[#This Row],[Column8]]="x","1",(IF(OR(GCP[[#This Row],[Column25]]=2,GCP[[#This Row],[Column26]]=2,GCP[[#This Row],[Column27]]=2),"1",(IF(GCP[[#This Row],[Column9]]="x","2",(IF(GCP[[#This Row],[Column10]]="x","3","")))))))</f>
        <v>2</v>
      </c>
      <c r="AC78" s="454" t="str">
        <f>IF(GCP[[#This Row],[Column14]] = "-", GCP[[#This Row],[Column14]], LEFT(GCP[[#This Row],[Column14]], SEARCH(" ", GCP[[#This Row],[Column14]] &amp; " ") - 1))</f>
        <v>-</v>
      </c>
    </row>
    <row r="79" spans="1:29" ht="90">
      <c r="A7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NOT(ISBLANK(K79)),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NOT(ISBLANK(L79)),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NOT(ISBLANK(M79)),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79" s="137" t="str">
        <f>GCP[[#This Row],[Column30]]</f>
        <v>-</v>
      </c>
      <c r="C79" s="141">
        <v>4.0999999999999996</v>
      </c>
      <c r="D79" s="138" t="s">
        <v>352</v>
      </c>
      <c r="E79" s="162" t="s">
        <v>157</v>
      </c>
      <c r="F79" s="138" t="s">
        <v>414</v>
      </c>
      <c r="G79" s="139" t="s">
        <v>415</v>
      </c>
      <c r="H79" s="137"/>
      <c r="I79" s="164" t="s">
        <v>185</v>
      </c>
      <c r="J79" s="200" t="s">
        <v>185</v>
      </c>
      <c r="K79" s="176" t="s">
        <v>185</v>
      </c>
      <c r="L79" s="176" t="s">
        <v>185</v>
      </c>
      <c r="M79" s="176"/>
      <c r="N79" s="222" t="s">
        <v>162</v>
      </c>
      <c r="O79" s="222" t="s">
        <v>162</v>
      </c>
      <c r="P79" s="222" t="s">
        <v>162</v>
      </c>
      <c r="Q79" s="222" t="s">
        <v>162</v>
      </c>
      <c r="R79" s="451"/>
      <c r="S79" s="222" t="s">
        <v>162</v>
      </c>
      <c r="T79" s="222" t="s">
        <v>162</v>
      </c>
      <c r="U79" s="258" t="s">
        <v>162</v>
      </c>
      <c r="V79" s="168"/>
      <c r="W79" s="158" t="s">
        <v>967</v>
      </c>
      <c r="X79" s="158" t="s">
        <v>185</v>
      </c>
      <c r="Y79" s="158" t="s">
        <v>185</v>
      </c>
      <c r="Z79" s="158" t="s">
        <v>185</v>
      </c>
      <c r="AA79" s="158" t="str">
        <f>IF(GCP[[#This Row],[Column14]]="-","", "v")</f>
        <v/>
      </c>
      <c r="AB79" s="158" t="str">
        <f>IF(GCP[[#This Row],[Column8]]="x","1",(IF(OR(GCP[[#This Row],[Column25]]=2,GCP[[#This Row],[Column26]]=2,GCP[[#This Row],[Column27]]=2),"1",(IF(GCP[[#This Row],[Column9]]="x","2",(IF(GCP[[#This Row],[Column10]]="x","3","")))))))</f>
        <v>2</v>
      </c>
      <c r="AC79" s="454" t="str">
        <f>IF(GCP[[#This Row],[Column14]] = "-", GCP[[#This Row],[Column14]], LEFT(GCP[[#This Row],[Column14]], SEARCH(" ", GCP[[#This Row],[Column14]] &amp; " ") - 1))</f>
        <v>-</v>
      </c>
    </row>
    <row r="80" spans="1:29" ht="45">
      <c r="A8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0" s="137" t="str">
        <f>GCP[[#This Row],[Column30]]</f>
        <v>-</v>
      </c>
      <c r="C80" s="137">
        <v>4.1100000000000003</v>
      </c>
      <c r="D80" s="138" t="s">
        <v>352</v>
      </c>
      <c r="E80" s="162" t="s">
        <v>156</v>
      </c>
      <c r="F80" s="138" t="s">
        <v>416</v>
      </c>
      <c r="G80" s="139" t="s">
        <v>417</v>
      </c>
      <c r="H80" s="204"/>
      <c r="I80" s="164" t="s">
        <v>185</v>
      </c>
      <c r="J80" s="200" t="s">
        <v>185</v>
      </c>
      <c r="K80" s="176" t="s">
        <v>185</v>
      </c>
      <c r="L80" s="176" t="s">
        <v>185</v>
      </c>
      <c r="M80" s="176"/>
      <c r="N80" s="222" t="s">
        <v>162</v>
      </c>
      <c r="O80" s="222" t="s">
        <v>162</v>
      </c>
      <c r="P80" s="222" t="s">
        <v>162</v>
      </c>
      <c r="Q80" s="222" t="s">
        <v>162</v>
      </c>
      <c r="R80" s="451"/>
      <c r="S80" s="222" t="s">
        <v>162</v>
      </c>
      <c r="T80" s="222" t="s">
        <v>162</v>
      </c>
      <c r="U80" s="258" t="s">
        <v>162</v>
      </c>
      <c r="V80" s="168"/>
      <c r="W80" s="158" t="s">
        <v>967</v>
      </c>
      <c r="X80" s="158" t="s">
        <v>185</v>
      </c>
      <c r="Y80" s="158" t="s">
        <v>185</v>
      </c>
      <c r="Z80" s="158" t="s">
        <v>185</v>
      </c>
      <c r="AA80" s="158" t="str">
        <f>IF(GCP[[#This Row],[Column14]]="-","", "v")</f>
        <v/>
      </c>
      <c r="AB80" s="158" t="str">
        <f>IF(GCP[[#This Row],[Column8]]="x","1",(IF(OR(GCP[[#This Row],[Column25]]=2,GCP[[#This Row],[Column26]]=2,GCP[[#This Row],[Column27]]=2),"1",(IF(GCP[[#This Row],[Column9]]="x","2",(IF(GCP[[#This Row],[Column10]]="x","3","")))))))</f>
        <v>2</v>
      </c>
      <c r="AC80" s="454" t="str">
        <f>IF(GCP[[#This Row],[Column14]] = "-", GCP[[#This Row],[Column14]], LEFT(GCP[[#This Row],[Column14]], SEARCH(" ", GCP[[#This Row],[Column14]] &amp; " ") - 1))</f>
        <v>-</v>
      </c>
    </row>
    <row r="81" spans="1:29" ht="60">
      <c r="A8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1" s="137" t="str">
        <f>GCP[[#This Row],[Column30]]</f>
        <v>-</v>
      </c>
      <c r="C81" s="137">
        <v>4.12</v>
      </c>
      <c r="D81" s="138" t="s">
        <v>352</v>
      </c>
      <c r="E81" s="162" t="s">
        <v>156</v>
      </c>
      <c r="F81" s="138" t="s">
        <v>418</v>
      </c>
      <c r="G81" s="139" t="s">
        <v>419</v>
      </c>
      <c r="H81" s="137"/>
      <c r="I81" s="137"/>
      <c r="J81" s="200" t="s">
        <v>185</v>
      </c>
      <c r="K81" s="176" t="s">
        <v>185</v>
      </c>
      <c r="L81" s="176" t="s">
        <v>185</v>
      </c>
      <c r="M81" s="176"/>
      <c r="N81" s="222" t="s">
        <v>162</v>
      </c>
      <c r="O81" s="222" t="s">
        <v>162</v>
      </c>
      <c r="P81" s="222" t="s">
        <v>162</v>
      </c>
      <c r="Q81" s="222" t="s">
        <v>162</v>
      </c>
      <c r="R81" s="451"/>
      <c r="S81" s="222" t="s">
        <v>162</v>
      </c>
      <c r="T81" s="222" t="s">
        <v>162</v>
      </c>
      <c r="U81" s="258" t="s">
        <v>162</v>
      </c>
      <c r="V81" s="168"/>
      <c r="W81" s="158" t="s">
        <v>967</v>
      </c>
      <c r="X81" s="158" t="s">
        <v>185</v>
      </c>
      <c r="Y81" s="158" t="s">
        <v>185</v>
      </c>
      <c r="Z81" s="158" t="s">
        <v>185</v>
      </c>
      <c r="AA81" s="158" t="str">
        <f>IF(GCP[[#This Row],[Column14]]="-","", "v")</f>
        <v/>
      </c>
      <c r="AB81" s="158" t="str">
        <f>IF(GCP[[#This Row],[Column8]]="x","1",(IF(OR(GCP[[#This Row],[Column25]]=2,GCP[[#This Row],[Column26]]=2,GCP[[#This Row],[Column27]]=2),"1",(IF(GCP[[#This Row],[Column9]]="x","2",(IF(GCP[[#This Row],[Column10]]="x","3","")))))))</f>
        <v>3</v>
      </c>
      <c r="AC81" s="454" t="str">
        <f>IF(GCP[[#This Row],[Column14]] = "-", GCP[[#This Row],[Column14]], LEFT(GCP[[#This Row],[Column14]], SEARCH(" ", GCP[[#This Row],[Column14]] &amp; " ") - 1))</f>
        <v>-</v>
      </c>
    </row>
    <row r="82" spans="1:29" ht="45" hidden="1">
      <c r="A82" s="221" t="s">
        <v>942</v>
      </c>
      <c r="B82" s="217" t="s">
        <v>162</v>
      </c>
      <c r="C82" s="217" t="s">
        <v>162</v>
      </c>
      <c r="D82" s="217" t="s">
        <v>162</v>
      </c>
      <c r="E82" s="217" t="s">
        <v>162</v>
      </c>
      <c r="F82" s="219" t="s">
        <v>420</v>
      </c>
      <c r="G82" s="220" t="s">
        <v>421</v>
      </c>
      <c r="H82" s="217" t="s">
        <v>162</v>
      </c>
      <c r="I82" s="217" t="s">
        <v>162</v>
      </c>
      <c r="J82" s="217" t="s">
        <v>162</v>
      </c>
      <c r="K82" s="217" t="s">
        <v>162</v>
      </c>
      <c r="L82" s="217" t="s">
        <v>162</v>
      </c>
      <c r="M82" s="217" t="s">
        <v>162</v>
      </c>
      <c r="N82" s="257" t="s">
        <v>162</v>
      </c>
      <c r="O82" s="217" t="s">
        <v>162</v>
      </c>
      <c r="P82" s="217" t="s">
        <v>162</v>
      </c>
      <c r="Q82" s="217" t="s">
        <v>162</v>
      </c>
      <c r="R82" s="167"/>
      <c r="S82" s="217" t="s">
        <v>162</v>
      </c>
      <c r="T82" s="217" t="s">
        <v>162</v>
      </c>
      <c r="U82" s="217" t="s">
        <v>162</v>
      </c>
      <c r="V82" s="217" t="s">
        <v>162</v>
      </c>
      <c r="W82" s="217" t="s">
        <v>162</v>
      </c>
      <c r="X82" s="217" t="s">
        <v>162</v>
      </c>
      <c r="Y82" s="217" t="s">
        <v>162</v>
      </c>
      <c r="Z82" s="217" t="s">
        <v>162</v>
      </c>
      <c r="AA82" s="217" t="s">
        <v>162</v>
      </c>
      <c r="AB82" s="217" t="s">
        <v>162</v>
      </c>
      <c r="AC82" s="454" t="str">
        <f>IF(GCP[[#This Row],[Column14]] = "-", GCP[[#This Row],[Column14]], LEFT(GCP[[#This Row],[Column14]], SEARCH(" ", GCP[[#This Row],[Column14]] &amp; " ") - 1))</f>
        <v>-</v>
      </c>
    </row>
    <row r="83" spans="1:29" ht="75">
      <c r="A8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3" s="137" t="str">
        <f>GCP[[#This Row],[Column30]]</f>
        <v>-</v>
      </c>
      <c r="C83" s="137">
        <v>5.0999999999999996</v>
      </c>
      <c r="D83" s="138" t="s">
        <v>399</v>
      </c>
      <c r="E83" s="162" t="s">
        <v>154</v>
      </c>
      <c r="F83" s="138" t="s">
        <v>446</v>
      </c>
      <c r="G83" s="138" t="s">
        <v>447</v>
      </c>
      <c r="H83" s="163" t="s">
        <v>185</v>
      </c>
      <c r="I83" s="164" t="s">
        <v>185</v>
      </c>
      <c r="J83" s="200" t="s">
        <v>185</v>
      </c>
      <c r="K83" s="176" t="s">
        <v>185</v>
      </c>
      <c r="L83" s="176" t="s">
        <v>185</v>
      </c>
      <c r="M83" s="176" t="s">
        <v>185</v>
      </c>
      <c r="N83" s="222" t="s">
        <v>162</v>
      </c>
      <c r="O83" s="222" t="s">
        <v>162</v>
      </c>
      <c r="P83" s="222" t="s">
        <v>162</v>
      </c>
      <c r="Q83" s="222" t="s">
        <v>162</v>
      </c>
      <c r="R83" s="451"/>
      <c r="S83" s="222" t="s">
        <v>162</v>
      </c>
      <c r="T83" s="222" t="s">
        <v>162</v>
      </c>
      <c r="U83" s="258" t="s">
        <v>162</v>
      </c>
      <c r="V83" s="168"/>
      <c r="W83" s="158" t="s">
        <v>966</v>
      </c>
      <c r="X83" s="158" t="s">
        <v>185</v>
      </c>
      <c r="Y83" s="158"/>
      <c r="Z83" s="158" t="s">
        <v>185</v>
      </c>
      <c r="AA83" s="158" t="str">
        <f>IF(GCP[[#This Row],[Column14]]="-","", "v")</f>
        <v/>
      </c>
      <c r="AB83" s="158" t="str">
        <f>IF(GCP[[#This Row],[Column8]]="x","1",(IF(OR(GCP[[#This Row],[Column25]]=2,GCP[[#This Row],[Column26]]=2,GCP[[#This Row],[Column27]]=2),"1",(IF(GCP[[#This Row],[Column9]]="x","2",(IF(GCP[[#This Row],[Column10]]="x","3","")))))))</f>
        <v>1</v>
      </c>
      <c r="AC83" s="454" t="str">
        <f>IF(GCP[[#This Row],[Column14]] = "-", GCP[[#This Row],[Column14]], LEFT(GCP[[#This Row],[Column14]], SEARCH(" ", GCP[[#This Row],[Column14]] &amp; " ") - 1))</f>
        <v>-</v>
      </c>
    </row>
    <row r="84" spans="1:29" ht="409.5">
      <c r="A8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4" s="137" t="str">
        <f>GCP[[#This Row],[Column30]]</f>
        <v>4.3</v>
      </c>
      <c r="C84" s="137">
        <v>5.2</v>
      </c>
      <c r="D84" s="138" t="s">
        <v>399</v>
      </c>
      <c r="E84" s="162" t="s">
        <v>156</v>
      </c>
      <c r="F84" s="138" t="s">
        <v>448</v>
      </c>
      <c r="G84" s="138" t="s">
        <v>449</v>
      </c>
      <c r="H84" s="163" t="s">
        <v>185</v>
      </c>
      <c r="I84" s="164" t="s">
        <v>185</v>
      </c>
      <c r="J84" s="200" t="s">
        <v>185</v>
      </c>
      <c r="K84" s="176" t="s">
        <v>185</v>
      </c>
      <c r="L84" s="176" t="s">
        <v>185</v>
      </c>
      <c r="M84" s="176" t="s">
        <v>185</v>
      </c>
      <c r="N84" s="222" t="s">
        <v>1116</v>
      </c>
      <c r="O84" s="212">
        <v>1</v>
      </c>
      <c r="P84" s="214" t="s">
        <v>1117</v>
      </c>
      <c r="Q84" s="214" t="s">
        <v>1118</v>
      </c>
      <c r="R84" s="451" t="s">
        <v>1119</v>
      </c>
      <c r="S84" s="214" t="s">
        <v>1120</v>
      </c>
      <c r="T84" s="214" t="s">
        <v>1121</v>
      </c>
      <c r="U84" s="158" t="s">
        <v>162</v>
      </c>
      <c r="V84" s="168" t="s">
        <v>1557</v>
      </c>
      <c r="W84" s="158" t="s">
        <v>966</v>
      </c>
      <c r="X84" s="158" t="s">
        <v>185</v>
      </c>
      <c r="Y84" s="158"/>
      <c r="Z84" s="158" t="s">
        <v>185</v>
      </c>
      <c r="AA84" s="158" t="str">
        <f>IF(GCP[[#This Row],[Column14]]="-","", "v")</f>
        <v>v</v>
      </c>
      <c r="AB84" s="158" t="str">
        <f>IF(GCP[[#This Row],[Column8]]="x","1",(IF(OR(GCP[[#This Row],[Column25]]=2,GCP[[#This Row],[Column26]]=2,GCP[[#This Row],[Column27]]=2),"1",(IF(GCP[[#This Row],[Column9]]="x","2",(IF(GCP[[#This Row],[Column10]]="x","3","")))))))</f>
        <v>1</v>
      </c>
      <c r="AC84" s="454" t="str">
        <f>IF(GCP[[#This Row],[Column14]] = "-", GCP[[#This Row],[Column14]], LEFT(GCP[[#This Row],[Column14]], SEARCH(" ", GCP[[#This Row],[Column14]] &amp; " ") - 1))</f>
        <v>4.3</v>
      </c>
    </row>
    <row r="85" spans="1:29" ht="30">
      <c r="A8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5" s="137" t="str">
        <f>GCP[[#This Row],[Column30]]</f>
        <v>-</v>
      </c>
      <c r="C85" s="137">
        <v>5.3</v>
      </c>
      <c r="D85" s="138" t="s">
        <v>399</v>
      </c>
      <c r="E85" s="162" t="s">
        <v>157</v>
      </c>
      <c r="F85" s="138" t="s">
        <v>456</v>
      </c>
      <c r="G85" s="138" t="s">
        <v>457</v>
      </c>
      <c r="H85" s="163" t="s">
        <v>185</v>
      </c>
      <c r="I85" s="164" t="s">
        <v>185</v>
      </c>
      <c r="J85" s="200" t="s">
        <v>185</v>
      </c>
      <c r="K85" s="176" t="s">
        <v>185</v>
      </c>
      <c r="L85" s="176" t="s">
        <v>185</v>
      </c>
      <c r="M85" s="176" t="s">
        <v>185</v>
      </c>
      <c r="N85" s="222" t="s">
        <v>162</v>
      </c>
      <c r="O85" s="222" t="s">
        <v>162</v>
      </c>
      <c r="P85" s="222" t="s">
        <v>162</v>
      </c>
      <c r="Q85" s="222" t="s">
        <v>162</v>
      </c>
      <c r="R85" s="451"/>
      <c r="S85" s="222" t="s">
        <v>162</v>
      </c>
      <c r="T85" s="222" t="s">
        <v>162</v>
      </c>
      <c r="U85" s="258" t="s">
        <v>162</v>
      </c>
      <c r="V85" s="168"/>
      <c r="W85" s="158" t="s">
        <v>966</v>
      </c>
      <c r="X85" s="158" t="s">
        <v>185</v>
      </c>
      <c r="Y85" s="158"/>
      <c r="Z85" s="158" t="s">
        <v>185</v>
      </c>
      <c r="AA85" s="158" t="str">
        <f>IF(GCP[[#This Row],[Column14]]="-","", "v")</f>
        <v/>
      </c>
      <c r="AB85" s="158" t="str">
        <f>IF(GCP[[#This Row],[Column8]]="x","1",(IF(OR(GCP[[#This Row],[Column25]]=2,GCP[[#This Row],[Column26]]=2,GCP[[#This Row],[Column27]]=2),"1",(IF(GCP[[#This Row],[Column9]]="x","2",(IF(GCP[[#This Row],[Column10]]="x","3","")))))))</f>
        <v>1</v>
      </c>
      <c r="AC85" s="454" t="str">
        <f>IF(GCP[[#This Row],[Column14]] = "-", GCP[[#This Row],[Column14]], LEFT(GCP[[#This Row],[Column14]], SEARCH(" ", GCP[[#This Row],[Column14]] &amp; " ") - 1))</f>
        <v>-</v>
      </c>
    </row>
    <row r="86" spans="1:29" ht="409.5">
      <c r="A8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6" s="137" t="str">
        <f>GCP[[#This Row],[Column30]]</f>
        <v>1.5</v>
      </c>
      <c r="C86" s="137">
        <v>5.4</v>
      </c>
      <c r="D86" s="138" t="s">
        <v>399</v>
      </c>
      <c r="E86" s="162" t="s">
        <v>156</v>
      </c>
      <c r="F86" s="138" t="s">
        <v>464</v>
      </c>
      <c r="G86" s="139" t="s">
        <v>465</v>
      </c>
      <c r="H86" s="163" t="s">
        <v>185</v>
      </c>
      <c r="I86" s="164" t="s">
        <v>185</v>
      </c>
      <c r="J86" s="200" t="s">
        <v>185</v>
      </c>
      <c r="K86" s="176" t="s">
        <v>185</v>
      </c>
      <c r="L86" s="176" t="s">
        <v>185</v>
      </c>
      <c r="M86" s="176" t="s">
        <v>185</v>
      </c>
      <c r="N86" s="222" t="s">
        <v>1275</v>
      </c>
      <c r="O86" s="212">
        <v>1</v>
      </c>
      <c r="P86" s="214" t="s">
        <v>1276</v>
      </c>
      <c r="Q86" s="214" t="s">
        <v>1277</v>
      </c>
      <c r="R86" s="451" t="s">
        <v>1278</v>
      </c>
      <c r="S86" s="214" t="s">
        <v>1279</v>
      </c>
      <c r="T86" s="214" t="s">
        <v>1280</v>
      </c>
      <c r="U86" s="158" t="s">
        <v>162</v>
      </c>
      <c r="V86" s="168" t="s">
        <v>1558</v>
      </c>
      <c r="W86" s="158" t="s">
        <v>966</v>
      </c>
      <c r="X86" s="158" t="s">
        <v>185</v>
      </c>
      <c r="Y86" s="158"/>
      <c r="Z86" s="158" t="s">
        <v>185</v>
      </c>
      <c r="AA86" s="158" t="str">
        <f>IF(GCP[[#This Row],[Column14]]="-","", "v")</f>
        <v>v</v>
      </c>
      <c r="AB86" s="158" t="str">
        <f>IF(GCP[[#This Row],[Column8]]="x","1",(IF(OR(GCP[[#This Row],[Column25]]=2,GCP[[#This Row],[Column26]]=2,GCP[[#This Row],[Column27]]=2),"1",(IF(GCP[[#This Row],[Column9]]="x","2",(IF(GCP[[#This Row],[Column10]]="x","3","")))))))</f>
        <v>1</v>
      </c>
      <c r="AC86" s="454" t="str">
        <f>IF(GCP[[#This Row],[Column14]] = "-", GCP[[#This Row],[Column14]], LEFT(GCP[[#This Row],[Column14]], SEARCH(" ", GCP[[#This Row],[Column14]] &amp; " ") - 1))</f>
        <v>1.5</v>
      </c>
    </row>
    <row r="87" spans="1:29" ht="60">
      <c r="A8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7" s="137" t="str">
        <f>GCP[[#This Row],[Column30]]</f>
        <v>-</v>
      </c>
      <c r="C87" s="137">
        <v>5.5</v>
      </c>
      <c r="D87" s="138" t="s">
        <v>399</v>
      </c>
      <c r="E87" s="162" t="s">
        <v>154</v>
      </c>
      <c r="F87" s="138" t="s">
        <v>472</v>
      </c>
      <c r="G87" s="139" t="s">
        <v>473</v>
      </c>
      <c r="H87" s="137"/>
      <c r="I87" s="164" t="s">
        <v>185</v>
      </c>
      <c r="J87" s="200" t="s">
        <v>185</v>
      </c>
      <c r="K87" s="176" t="s">
        <v>185</v>
      </c>
      <c r="L87" s="176" t="s">
        <v>185</v>
      </c>
      <c r="M87" s="176" t="s">
        <v>185</v>
      </c>
      <c r="N87" s="222" t="s">
        <v>162</v>
      </c>
      <c r="O87" s="222" t="s">
        <v>162</v>
      </c>
      <c r="P87" s="222" t="s">
        <v>162</v>
      </c>
      <c r="Q87" s="222" t="s">
        <v>162</v>
      </c>
      <c r="R87" s="451"/>
      <c r="S87" s="222" t="s">
        <v>162</v>
      </c>
      <c r="T87" s="222" t="s">
        <v>162</v>
      </c>
      <c r="U87" s="258" t="s">
        <v>162</v>
      </c>
      <c r="V87" s="168"/>
      <c r="W87" s="158" t="s">
        <v>966</v>
      </c>
      <c r="X87" s="158" t="s">
        <v>185</v>
      </c>
      <c r="Y87" s="158"/>
      <c r="Z87" s="158" t="s">
        <v>185</v>
      </c>
      <c r="AA87" s="158" t="str">
        <f>IF(GCP[[#This Row],[Column14]]="-","", "v")</f>
        <v/>
      </c>
      <c r="AB87" s="158" t="str">
        <f>IF(GCP[[#This Row],[Column8]]="x","1",(IF(OR(GCP[[#This Row],[Column25]]=2,GCP[[#This Row],[Column26]]=2,GCP[[#This Row],[Column27]]=2),"1",(IF(GCP[[#This Row],[Column9]]="x","2",(IF(GCP[[#This Row],[Column10]]="x","3","")))))))</f>
        <v>2</v>
      </c>
      <c r="AC87" s="454" t="str">
        <f>IF(GCP[[#This Row],[Column14]] = "-", GCP[[#This Row],[Column14]], LEFT(GCP[[#This Row],[Column14]], SEARCH(" ", GCP[[#This Row],[Column14]] &amp; " ") - 1))</f>
        <v>-</v>
      </c>
    </row>
    <row r="88" spans="1:29" ht="409.5">
      <c r="A8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8" s="137" t="str">
        <f>GCP[[#This Row],[Column30]]</f>
        <v>1.1</v>
      </c>
      <c r="C88" s="137">
        <v>5.6</v>
      </c>
      <c r="D88" s="138" t="s">
        <v>399</v>
      </c>
      <c r="E88" s="162" t="s">
        <v>156</v>
      </c>
      <c r="F88" s="138" t="s">
        <v>474</v>
      </c>
      <c r="G88" s="138" t="s">
        <v>475</v>
      </c>
      <c r="H88" s="204"/>
      <c r="I88" s="164" t="s">
        <v>185</v>
      </c>
      <c r="J88" s="200" t="s">
        <v>185</v>
      </c>
      <c r="K88" s="176" t="s">
        <v>185</v>
      </c>
      <c r="L88" s="176" t="s">
        <v>185</v>
      </c>
      <c r="M88" s="176" t="s">
        <v>185</v>
      </c>
      <c r="N88" s="222" t="s">
        <v>1281</v>
      </c>
      <c r="O88" s="212">
        <v>1</v>
      </c>
      <c r="P88" s="214" t="s">
        <v>1282</v>
      </c>
      <c r="Q88" s="214" t="s">
        <v>1283</v>
      </c>
      <c r="R88" s="451" t="s">
        <v>1284</v>
      </c>
      <c r="S88" s="214" t="s">
        <v>1285</v>
      </c>
      <c r="T88" s="214" t="s">
        <v>1286</v>
      </c>
      <c r="U88" s="158" t="s">
        <v>162</v>
      </c>
      <c r="V88" s="168" t="s">
        <v>2030</v>
      </c>
      <c r="W88" s="158" t="s">
        <v>966</v>
      </c>
      <c r="X88" s="158" t="s">
        <v>185</v>
      </c>
      <c r="Y88" s="158"/>
      <c r="Z88" s="158" t="s">
        <v>185</v>
      </c>
      <c r="AA88" s="158" t="str">
        <f>IF(GCP[[#This Row],[Column14]]="-","", "v")</f>
        <v>v</v>
      </c>
      <c r="AB88" s="168" t="str">
        <f>IF(GCP[[#This Row],[Column8]]="x","1",(IF(OR(GCP[[#This Row],[Column25]]=2,GCP[[#This Row],[Column26]]=2,GCP[[#This Row],[Column27]]=2),"1",(IF(GCP[[#This Row],[Column9]]="x","2",(IF(GCP[[#This Row],[Column10]]="x","3","")))))))</f>
        <v>2</v>
      </c>
      <c r="AC88" s="454" t="str">
        <f>IF(GCP[[#This Row],[Column14]] = "-", GCP[[#This Row],[Column14]], LEFT(GCP[[#This Row],[Column14]], SEARCH(" ", GCP[[#This Row],[Column14]] &amp; " ") - 1))</f>
        <v>1.1</v>
      </c>
    </row>
    <row r="89" spans="1:29" ht="409.5">
      <c r="A8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NOT(ISBLANK(K89)),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NOT(ISBLANK(L89)),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NOT(ISBLANK(M89)),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89" s="137" t="str">
        <f>GCP[[#This Row],[Column30]]</f>
        <v>3.10</v>
      </c>
      <c r="C89" s="137">
        <v>5.6</v>
      </c>
      <c r="D89" s="138" t="s">
        <v>399</v>
      </c>
      <c r="E89" s="162" t="s">
        <v>156</v>
      </c>
      <c r="F89" s="138" t="s">
        <v>474</v>
      </c>
      <c r="G89" s="138" t="s">
        <v>475</v>
      </c>
      <c r="H89" s="204"/>
      <c r="I89" s="164" t="s">
        <v>185</v>
      </c>
      <c r="J89" s="200" t="s">
        <v>185</v>
      </c>
      <c r="K89" s="176" t="s">
        <v>185</v>
      </c>
      <c r="L89" s="176" t="s">
        <v>185</v>
      </c>
      <c r="M89" s="176" t="s">
        <v>185</v>
      </c>
      <c r="N89" s="222" t="s">
        <v>1287</v>
      </c>
      <c r="O89" s="212">
        <v>2</v>
      </c>
      <c r="P89" s="214" t="s">
        <v>1288</v>
      </c>
      <c r="Q89" s="214" t="s">
        <v>1289</v>
      </c>
      <c r="R89" s="451" t="s">
        <v>1290</v>
      </c>
      <c r="S89" s="214" t="s">
        <v>1291</v>
      </c>
      <c r="T89" s="214" t="s">
        <v>1292</v>
      </c>
      <c r="U89" s="158" t="s">
        <v>162</v>
      </c>
      <c r="V89" s="168" t="s">
        <v>1559</v>
      </c>
      <c r="W89" s="158" t="s">
        <v>966</v>
      </c>
      <c r="X89" s="158" t="s">
        <v>185</v>
      </c>
      <c r="Y89" s="158"/>
      <c r="Z89" s="158" t="s">
        <v>185</v>
      </c>
      <c r="AA89" s="158" t="str">
        <f>IF(GCP[[#This Row],[Column14]]="-","", "v")</f>
        <v>v</v>
      </c>
      <c r="AB89" s="168" t="str">
        <f>IF(GCP[[#This Row],[Column8]]="x","1",(IF(OR(GCP[[#This Row],[Column25]]=2,GCP[[#This Row],[Column26]]=2,GCP[[#This Row],[Column27]]=2),"1",(IF(GCP[[#This Row],[Column9]]="x","2",(IF(GCP[[#This Row],[Column10]]="x","3","")))))))</f>
        <v>2</v>
      </c>
      <c r="AC89" s="454" t="str">
        <f>IF(GCP[[#This Row],[Column14]] = "-", GCP[[#This Row],[Column14]], LEFT(GCP[[#This Row],[Column14]], SEARCH(" ", GCP[[#This Row],[Column14]] &amp; " ") - 1))</f>
        <v>3.10</v>
      </c>
    </row>
    <row r="90" spans="1:29" ht="409.5">
      <c r="A9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0" s="137" t="str">
        <f>GCP[[#This Row],[Column30]]</f>
        <v>4.4</v>
      </c>
      <c r="C90" s="137">
        <v>5.6</v>
      </c>
      <c r="D90" s="138" t="s">
        <v>399</v>
      </c>
      <c r="E90" s="162" t="s">
        <v>156</v>
      </c>
      <c r="F90" s="138" t="s">
        <v>474</v>
      </c>
      <c r="G90" s="138" t="s">
        <v>475</v>
      </c>
      <c r="H90" s="204"/>
      <c r="I90" s="164" t="s">
        <v>185</v>
      </c>
      <c r="J90" s="200" t="s">
        <v>185</v>
      </c>
      <c r="K90" s="176" t="s">
        <v>185</v>
      </c>
      <c r="L90" s="176" t="s">
        <v>185</v>
      </c>
      <c r="M90" s="176" t="s">
        <v>185</v>
      </c>
      <c r="N90" s="222" t="s">
        <v>1293</v>
      </c>
      <c r="O90" s="212">
        <v>1</v>
      </c>
      <c r="P90" s="214" t="s">
        <v>1294</v>
      </c>
      <c r="Q90" s="214" t="s">
        <v>1295</v>
      </c>
      <c r="R90" s="451" t="s">
        <v>1296</v>
      </c>
      <c r="S90" s="214" t="s">
        <v>1297</v>
      </c>
      <c r="T90" s="214" t="s">
        <v>1298</v>
      </c>
      <c r="U90" s="158" t="s">
        <v>975</v>
      </c>
      <c r="V90" s="168" t="s">
        <v>1560</v>
      </c>
      <c r="W90" s="158" t="s">
        <v>966</v>
      </c>
      <c r="X90" s="158" t="s">
        <v>185</v>
      </c>
      <c r="Y90" s="158"/>
      <c r="Z90" s="158" t="s">
        <v>185</v>
      </c>
      <c r="AA90" s="158" t="str">
        <f>IF(GCP[[#This Row],[Column14]]="-","", "v")</f>
        <v>v</v>
      </c>
      <c r="AB90" s="168" t="str">
        <f>IF(GCP[[#This Row],[Column8]]="x","1",(IF(OR(GCP[[#This Row],[Column25]]=2,GCP[[#This Row],[Column26]]=2,GCP[[#This Row],[Column27]]=2),"1",(IF(GCP[[#This Row],[Column9]]="x","2",(IF(GCP[[#This Row],[Column10]]="x","3","")))))))</f>
        <v>2</v>
      </c>
      <c r="AC90" s="454" t="str">
        <f>IF(GCP[[#This Row],[Column14]] = "-", GCP[[#This Row],[Column14]], LEFT(GCP[[#This Row],[Column14]], SEARCH(" ", GCP[[#This Row],[Column14]] &amp; " ") - 1))</f>
        <v>4.4</v>
      </c>
    </row>
    <row r="91" spans="1:29" ht="409.5">
      <c r="A9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1" s="137" t="str">
        <f>GCP[[#This Row],[Column30]]</f>
        <v>1.4</v>
      </c>
      <c r="C91" s="137">
        <v>5.6</v>
      </c>
      <c r="D91" s="138" t="s">
        <v>399</v>
      </c>
      <c r="E91" s="162" t="s">
        <v>156</v>
      </c>
      <c r="F91" s="138" t="s">
        <v>474</v>
      </c>
      <c r="G91" s="138" t="s">
        <v>475</v>
      </c>
      <c r="H91" s="204"/>
      <c r="I91" s="164" t="s">
        <v>185</v>
      </c>
      <c r="J91" s="200" t="s">
        <v>185</v>
      </c>
      <c r="K91" s="176" t="s">
        <v>185</v>
      </c>
      <c r="L91" s="176" t="s">
        <v>185</v>
      </c>
      <c r="M91" s="176" t="s">
        <v>185</v>
      </c>
      <c r="N91" s="222" t="s">
        <v>1482</v>
      </c>
      <c r="O91" s="212">
        <v>1</v>
      </c>
      <c r="P91" s="214" t="s">
        <v>1483</v>
      </c>
      <c r="Q91" s="214" t="s">
        <v>1484</v>
      </c>
      <c r="R91" s="451" t="s">
        <v>1485</v>
      </c>
      <c r="S91" s="214" t="s">
        <v>1486</v>
      </c>
      <c r="T91" s="214" t="s">
        <v>1487</v>
      </c>
      <c r="U91" s="158" t="s">
        <v>975</v>
      </c>
      <c r="V91" s="168" t="s">
        <v>1561</v>
      </c>
      <c r="W91" s="158" t="s">
        <v>966</v>
      </c>
      <c r="X91" s="158" t="s">
        <v>185</v>
      </c>
      <c r="Y91" s="158"/>
      <c r="Z91" s="158" t="s">
        <v>185</v>
      </c>
      <c r="AA91" s="158" t="str">
        <f>IF(GCP[[#This Row],[Column14]]="-","", "v")</f>
        <v>v</v>
      </c>
      <c r="AB91" s="168" t="str">
        <f>IF(GCP[[#This Row],[Column8]]="x","1",(IF(OR(GCP[[#This Row],[Column25]]=2,GCP[[#This Row],[Column26]]=2,GCP[[#This Row],[Column27]]=2),"1",(IF(GCP[[#This Row],[Column9]]="x","2",(IF(GCP[[#This Row],[Column10]]="x","3","")))))))</f>
        <v>2</v>
      </c>
      <c r="AC91" s="454" t="str">
        <f>IF(GCP[[#This Row],[Column14]] = "-", GCP[[#This Row],[Column14]], LEFT(GCP[[#This Row],[Column14]], SEARCH(" ", GCP[[#This Row],[Column14]] &amp; " ") - 1))</f>
        <v>1.4</v>
      </c>
    </row>
    <row r="92" spans="1:29" ht="45" hidden="1">
      <c r="A92" s="221" t="s">
        <v>942</v>
      </c>
      <c r="B92" s="217" t="s">
        <v>162</v>
      </c>
      <c r="C92" s="217" t="s">
        <v>162</v>
      </c>
      <c r="D92" s="217" t="s">
        <v>162</v>
      </c>
      <c r="E92" s="217" t="s">
        <v>162</v>
      </c>
      <c r="F92" s="219" t="s">
        <v>481</v>
      </c>
      <c r="G92" s="220" t="s">
        <v>482</v>
      </c>
      <c r="H92" s="217" t="s">
        <v>162</v>
      </c>
      <c r="I92" s="217" t="s">
        <v>162</v>
      </c>
      <c r="J92" s="217" t="s">
        <v>162</v>
      </c>
      <c r="K92" s="217" t="s">
        <v>162</v>
      </c>
      <c r="L92" s="217" t="s">
        <v>162</v>
      </c>
      <c r="M92" s="217" t="s">
        <v>162</v>
      </c>
      <c r="N92" s="257" t="s">
        <v>162</v>
      </c>
      <c r="O92" s="217" t="s">
        <v>162</v>
      </c>
      <c r="P92" s="217" t="s">
        <v>162</v>
      </c>
      <c r="Q92" s="217" t="s">
        <v>162</v>
      </c>
      <c r="R92" s="167"/>
      <c r="S92" s="217" t="s">
        <v>162</v>
      </c>
      <c r="T92" s="217" t="s">
        <v>162</v>
      </c>
      <c r="U92" s="217" t="s">
        <v>162</v>
      </c>
      <c r="V92" s="217" t="s">
        <v>162</v>
      </c>
      <c r="W92" s="217" t="s">
        <v>162</v>
      </c>
      <c r="X92" s="217" t="s">
        <v>162</v>
      </c>
      <c r="Y92" s="217" t="s">
        <v>162</v>
      </c>
      <c r="Z92" s="217" t="s">
        <v>162</v>
      </c>
      <c r="AA92" s="217" t="s">
        <v>162</v>
      </c>
      <c r="AB92" s="217" t="s">
        <v>162</v>
      </c>
      <c r="AC92" s="454" t="str">
        <f>IF(GCP[[#This Row],[Column14]] = "-", GCP[[#This Row],[Column14]], LEFT(GCP[[#This Row],[Column14]], SEARCH(" ", GCP[[#This Row],[Column14]] &amp; " ") - 1))</f>
        <v>-</v>
      </c>
    </row>
    <row r="93" spans="1:29" ht="30">
      <c r="A9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3" s="137" t="str">
        <f>GCP[[#This Row],[Column30]]</f>
        <v>-</v>
      </c>
      <c r="C93" s="137">
        <v>6.1</v>
      </c>
      <c r="D93" s="138" t="s">
        <v>399</v>
      </c>
      <c r="E93" s="162" t="s">
        <v>156</v>
      </c>
      <c r="F93" s="138" t="s">
        <v>483</v>
      </c>
      <c r="G93" s="138" t="s">
        <v>484</v>
      </c>
      <c r="H93" s="163" t="s">
        <v>185</v>
      </c>
      <c r="I93" s="164" t="s">
        <v>185</v>
      </c>
      <c r="J93" s="200" t="s">
        <v>185</v>
      </c>
      <c r="K93" s="176" t="s">
        <v>185</v>
      </c>
      <c r="L93" s="176" t="s">
        <v>185</v>
      </c>
      <c r="M93" s="176" t="s">
        <v>185</v>
      </c>
      <c r="N93" s="222" t="s">
        <v>162</v>
      </c>
      <c r="O93" s="222" t="s">
        <v>162</v>
      </c>
      <c r="P93" s="222" t="s">
        <v>162</v>
      </c>
      <c r="Q93" s="222" t="s">
        <v>162</v>
      </c>
      <c r="R93" s="451"/>
      <c r="S93" s="222" t="s">
        <v>162</v>
      </c>
      <c r="T93" s="222" t="s">
        <v>162</v>
      </c>
      <c r="U93" s="258" t="s">
        <v>162</v>
      </c>
      <c r="V93" s="168"/>
      <c r="W93" s="158" t="s">
        <v>966</v>
      </c>
      <c r="X93" s="158" t="s">
        <v>185</v>
      </c>
      <c r="Y93" s="158" t="s">
        <v>185</v>
      </c>
      <c r="Z93" s="158" t="s">
        <v>185</v>
      </c>
      <c r="AA93" s="158" t="str">
        <f>IF(GCP[[#This Row],[Column14]]="-","", "v")</f>
        <v/>
      </c>
      <c r="AB93" s="158" t="str">
        <f>IF(GCP[[#This Row],[Column8]]="x","1",(IF(OR(GCP[[#This Row],[Column25]]=2,GCP[[#This Row],[Column26]]=2,GCP[[#This Row],[Column27]]=2),"1",(IF(GCP[[#This Row],[Column9]]="x","2",(IF(GCP[[#This Row],[Column10]]="x","3","")))))))</f>
        <v>1</v>
      </c>
      <c r="AC93" s="454" t="str">
        <f>IF(GCP[[#This Row],[Column14]] = "-", GCP[[#This Row],[Column14]], LEFT(GCP[[#This Row],[Column14]], SEARCH(" ", GCP[[#This Row],[Column14]] &amp; " ") - 1))</f>
        <v>-</v>
      </c>
    </row>
    <row r="94" spans="1:29" ht="60">
      <c r="A9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4" s="137" t="str">
        <f>GCP[[#This Row],[Column30]]</f>
        <v>-</v>
      </c>
      <c r="C94" s="137">
        <v>6.2</v>
      </c>
      <c r="D94" s="138" t="s">
        <v>399</v>
      </c>
      <c r="E94" s="162" t="s">
        <v>156</v>
      </c>
      <c r="F94" s="138" t="s">
        <v>485</v>
      </c>
      <c r="G94" s="138" t="s">
        <v>486</v>
      </c>
      <c r="H94" s="163" t="s">
        <v>185</v>
      </c>
      <c r="I94" s="164" t="s">
        <v>185</v>
      </c>
      <c r="J94" s="200" t="s">
        <v>185</v>
      </c>
      <c r="K94" s="176" t="s">
        <v>185</v>
      </c>
      <c r="L94" s="176" t="s">
        <v>185</v>
      </c>
      <c r="M94" s="176" t="s">
        <v>185</v>
      </c>
      <c r="N94" s="222" t="s">
        <v>162</v>
      </c>
      <c r="O94" s="222" t="s">
        <v>162</v>
      </c>
      <c r="P94" s="222" t="s">
        <v>162</v>
      </c>
      <c r="Q94" s="222" t="s">
        <v>162</v>
      </c>
      <c r="R94" s="451"/>
      <c r="S94" s="222" t="s">
        <v>162</v>
      </c>
      <c r="T94" s="222" t="s">
        <v>162</v>
      </c>
      <c r="U94" s="258" t="s">
        <v>162</v>
      </c>
      <c r="V94" s="168"/>
      <c r="W94" s="158" t="s">
        <v>966</v>
      </c>
      <c r="X94" s="158" t="s">
        <v>185</v>
      </c>
      <c r="Y94" s="158" t="s">
        <v>185</v>
      </c>
      <c r="Z94" s="158" t="s">
        <v>185</v>
      </c>
      <c r="AA94" s="158" t="str">
        <f>IF(GCP[[#This Row],[Column14]]="-","", "v")</f>
        <v/>
      </c>
      <c r="AB94" s="158" t="str">
        <f>IF(GCP[[#This Row],[Column8]]="x","1",(IF(OR(GCP[[#This Row],[Column25]]=2,GCP[[#This Row],[Column26]]=2,GCP[[#This Row],[Column27]]=2),"1",(IF(GCP[[#This Row],[Column9]]="x","2",(IF(GCP[[#This Row],[Column10]]="x","3","")))))))</f>
        <v>1</v>
      </c>
      <c r="AC94" s="454" t="str">
        <f>IF(GCP[[#This Row],[Column14]] = "-", GCP[[#This Row],[Column14]], LEFT(GCP[[#This Row],[Column14]], SEARCH(" ", GCP[[#This Row],[Column14]] &amp; " ") - 1))</f>
        <v>-</v>
      </c>
    </row>
    <row r="95" spans="1:29" ht="185.25">
      <c r="A9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5" s="137" t="str">
        <f>GCP[[#This Row],[Column30]]</f>
        <v>1.2</v>
      </c>
      <c r="C95" s="137">
        <v>6.3</v>
      </c>
      <c r="D95" s="138" t="s">
        <v>399</v>
      </c>
      <c r="E95" s="162" t="s">
        <v>156</v>
      </c>
      <c r="F95" s="138" t="s">
        <v>487</v>
      </c>
      <c r="G95" s="138" t="s">
        <v>488</v>
      </c>
      <c r="H95" s="163" t="s">
        <v>185</v>
      </c>
      <c r="I95" s="164" t="s">
        <v>185</v>
      </c>
      <c r="J95" s="200" t="s">
        <v>185</v>
      </c>
      <c r="K95" s="176" t="s">
        <v>185</v>
      </c>
      <c r="L95" s="176" t="s">
        <v>185</v>
      </c>
      <c r="M95" s="176" t="s">
        <v>185</v>
      </c>
      <c r="N95" s="222" t="s">
        <v>1299</v>
      </c>
      <c r="O95" s="212">
        <v>1</v>
      </c>
      <c r="P95" s="214" t="s">
        <v>1300</v>
      </c>
      <c r="Q95" s="214" t="s">
        <v>1301</v>
      </c>
      <c r="R95" s="451" t="s">
        <v>1302</v>
      </c>
      <c r="S95" s="214" t="s">
        <v>1303</v>
      </c>
      <c r="T95" s="214" t="s">
        <v>1304</v>
      </c>
      <c r="U95" s="158" t="s">
        <v>975</v>
      </c>
      <c r="V95" s="168" t="s">
        <v>1562</v>
      </c>
      <c r="W95" s="158" t="s">
        <v>966</v>
      </c>
      <c r="X95" s="158" t="s">
        <v>185</v>
      </c>
      <c r="Y95" s="158" t="s">
        <v>185</v>
      </c>
      <c r="Z95" s="158" t="s">
        <v>185</v>
      </c>
      <c r="AA95" s="158" t="str">
        <f>IF(GCP[[#This Row],[Column14]]="-","", "v")</f>
        <v>v</v>
      </c>
      <c r="AB95" s="158" t="str">
        <f>IF(GCP[[#This Row],[Column8]]="x","1",(IF(OR(GCP[[#This Row],[Column25]]=2,GCP[[#This Row],[Column26]]=2,GCP[[#This Row],[Column27]]=2),"1",(IF(GCP[[#This Row],[Column9]]="x","2",(IF(GCP[[#This Row],[Column10]]="x","3","")))))))</f>
        <v>1</v>
      </c>
      <c r="AC95" s="454" t="str">
        <f>IF(GCP[[#This Row],[Column14]] = "-", GCP[[#This Row],[Column14]], LEFT(GCP[[#This Row],[Column14]], SEARCH(" ", GCP[[#This Row],[Column14]] &amp; " ") - 1))</f>
        <v>1.2</v>
      </c>
    </row>
    <row r="96" spans="1:29" ht="409.5">
      <c r="A9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6" s="137" t="str">
        <f>GCP[[#This Row],[Column30]]</f>
        <v>1.3</v>
      </c>
      <c r="C96" s="137">
        <v>6.3</v>
      </c>
      <c r="D96" s="138" t="s">
        <v>399</v>
      </c>
      <c r="E96" s="162" t="s">
        <v>156</v>
      </c>
      <c r="F96" s="138" t="s">
        <v>487</v>
      </c>
      <c r="G96" s="138" t="s">
        <v>488</v>
      </c>
      <c r="H96" s="163" t="s">
        <v>185</v>
      </c>
      <c r="I96" s="164" t="s">
        <v>185</v>
      </c>
      <c r="J96" s="200" t="s">
        <v>185</v>
      </c>
      <c r="K96" s="176" t="s">
        <v>185</v>
      </c>
      <c r="L96" s="176" t="s">
        <v>185</v>
      </c>
      <c r="M96" s="176" t="s">
        <v>185</v>
      </c>
      <c r="N96" s="222" t="s">
        <v>1305</v>
      </c>
      <c r="O96" s="212">
        <v>2</v>
      </c>
      <c r="P96" s="214" t="s">
        <v>1306</v>
      </c>
      <c r="Q96" s="214" t="s">
        <v>1307</v>
      </c>
      <c r="R96" s="451" t="s">
        <v>1308</v>
      </c>
      <c r="S96" s="214" t="s">
        <v>1309</v>
      </c>
      <c r="T96" s="214" t="s">
        <v>1310</v>
      </c>
      <c r="U96" s="258" t="s">
        <v>162</v>
      </c>
      <c r="V96" s="168" t="s">
        <v>1563</v>
      </c>
      <c r="W96" s="158" t="s">
        <v>967</v>
      </c>
      <c r="X96" s="158" t="s">
        <v>185</v>
      </c>
      <c r="Y96" s="158" t="s">
        <v>185</v>
      </c>
      <c r="Z96" s="158" t="s">
        <v>185</v>
      </c>
      <c r="AA96" s="158" t="str">
        <f>IF(GCP[[#This Row],[Column14]]="-","", "v")</f>
        <v>v</v>
      </c>
      <c r="AB96" s="158" t="str">
        <f>IF(GCP[[#This Row],[Column8]]="x","1",(IF(OR(GCP[[#This Row],[Column25]]=2,GCP[[#This Row],[Column26]]=2,GCP[[#This Row],[Column27]]=2),"1",(IF(GCP[[#This Row],[Column9]]="x","2",(IF(GCP[[#This Row],[Column10]]="x","3","")))))))</f>
        <v>1</v>
      </c>
      <c r="AC96" s="454" t="str">
        <f>IF(GCP[[#This Row],[Column14]] = "-", GCP[[#This Row],[Column14]], LEFT(GCP[[#This Row],[Column14]], SEARCH(" ", GCP[[#This Row],[Column14]] &amp; " ") - 1))</f>
        <v>1.3</v>
      </c>
    </row>
    <row r="97" spans="1:29" ht="30">
      <c r="A9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7" s="137" t="str">
        <f>GCP[[#This Row],[Column30]]</f>
        <v>-</v>
      </c>
      <c r="C97" s="137">
        <v>6.4</v>
      </c>
      <c r="D97" s="138" t="s">
        <v>399</v>
      </c>
      <c r="E97" s="162" t="s">
        <v>156</v>
      </c>
      <c r="F97" s="138" t="s">
        <v>489</v>
      </c>
      <c r="G97" s="138" t="s">
        <v>490</v>
      </c>
      <c r="H97" s="163" t="s">
        <v>185</v>
      </c>
      <c r="I97" s="164" t="s">
        <v>185</v>
      </c>
      <c r="J97" s="200" t="s">
        <v>185</v>
      </c>
      <c r="K97" s="176" t="s">
        <v>185</v>
      </c>
      <c r="L97" s="176"/>
      <c r="M97" s="176"/>
      <c r="N97" s="222" t="s">
        <v>162</v>
      </c>
      <c r="O97" s="222" t="s">
        <v>162</v>
      </c>
      <c r="P97" s="222" t="s">
        <v>162</v>
      </c>
      <c r="Q97" s="222" t="s">
        <v>162</v>
      </c>
      <c r="R97" s="451"/>
      <c r="S97" s="222" t="s">
        <v>162</v>
      </c>
      <c r="T97" s="222" t="s">
        <v>162</v>
      </c>
      <c r="U97" s="258" t="s">
        <v>162</v>
      </c>
      <c r="V97" s="168"/>
      <c r="W97" s="158" t="s">
        <v>966</v>
      </c>
      <c r="X97" s="158" t="s">
        <v>185</v>
      </c>
      <c r="Y97" s="158" t="s">
        <v>185</v>
      </c>
      <c r="Z97" s="158" t="s">
        <v>185</v>
      </c>
      <c r="AA97" s="158" t="str">
        <f>IF(GCP[[#This Row],[Column14]]="-","", "v")</f>
        <v/>
      </c>
      <c r="AB97" s="158" t="str">
        <f>IF(GCP[[#This Row],[Column8]]="x","1",(IF(OR(GCP[[#This Row],[Column25]]=2,GCP[[#This Row],[Column26]]=2,GCP[[#This Row],[Column27]]=2),"1",(IF(GCP[[#This Row],[Column9]]="x","2",(IF(GCP[[#This Row],[Column10]]="x","3","")))))))</f>
        <v>1</v>
      </c>
      <c r="AC97" s="454" t="str">
        <f>IF(GCP[[#This Row],[Column14]] = "-", GCP[[#This Row],[Column14]], LEFT(GCP[[#This Row],[Column14]], SEARCH(" ", GCP[[#This Row],[Column14]] &amp; " ") - 1))</f>
        <v>-</v>
      </c>
    </row>
    <row r="98" spans="1:29" ht="30">
      <c r="A9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8" s="137" t="str">
        <f>GCP[[#This Row],[Column30]]</f>
        <v>-</v>
      </c>
      <c r="C98" s="137">
        <v>6.5</v>
      </c>
      <c r="D98" s="138" t="s">
        <v>399</v>
      </c>
      <c r="E98" s="162" t="s">
        <v>156</v>
      </c>
      <c r="F98" s="138" t="s">
        <v>491</v>
      </c>
      <c r="G98" s="138" t="s">
        <v>492</v>
      </c>
      <c r="H98" s="163" t="s">
        <v>185</v>
      </c>
      <c r="I98" s="164" t="s">
        <v>185</v>
      </c>
      <c r="J98" s="200" t="s">
        <v>185</v>
      </c>
      <c r="K98" s="176" t="s">
        <v>185</v>
      </c>
      <c r="L98" s="176" t="s">
        <v>185</v>
      </c>
      <c r="M98" s="176" t="s">
        <v>185</v>
      </c>
      <c r="N98" s="222" t="s">
        <v>162</v>
      </c>
      <c r="O98" s="222" t="s">
        <v>162</v>
      </c>
      <c r="P98" s="222" t="s">
        <v>162</v>
      </c>
      <c r="Q98" s="222" t="s">
        <v>162</v>
      </c>
      <c r="R98" s="451"/>
      <c r="S98" s="222" t="s">
        <v>162</v>
      </c>
      <c r="T98" s="222" t="s">
        <v>162</v>
      </c>
      <c r="U98" s="258" t="s">
        <v>162</v>
      </c>
      <c r="V98" s="168"/>
      <c r="W98" s="158" t="s">
        <v>966</v>
      </c>
      <c r="X98" s="158" t="s">
        <v>185</v>
      </c>
      <c r="Y98" s="158" t="s">
        <v>185</v>
      </c>
      <c r="Z98" s="158" t="s">
        <v>185</v>
      </c>
      <c r="AA98" s="158" t="str">
        <f>IF(GCP[[#This Row],[Column14]]="-","", "v")</f>
        <v/>
      </c>
      <c r="AB98" s="158" t="str">
        <f>IF(GCP[[#This Row],[Column8]]="x","1",(IF(OR(GCP[[#This Row],[Column25]]=2,GCP[[#This Row],[Column26]]=2,GCP[[#This Row],[Column27]]=2),"1",(IF(GCP[[#This Row],[Column9]]="x","2",(IF(GCP[[#This Row],[Column10]]="x","3","")))))))</f>
        <v>1</v>
      </c>
      <c r="AC98" s="454" t="str">
        <f>IF(GCP[[#This Row],[Column14]] = "-", GCP[[#This Row],[Column14]], LEFT(GCP[[#This Row],[Column14]], SEARCH(" ", GCP[[#This Row],[Column14]] &amp; " ") - 1))</f>
        <v>-</v>
      </c>
    </row>
    <row r="99" spans="1:29" ht="285">
      <c r="A9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NOT(ISBLANK(K99)),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NOT(ISBLANK(L99)),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NOT(ISBLANK(M99)),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99" s="137" t="str">
        <f>GCP[[#This Row],[Column30]]</f>
        <v>2.13</v>
      </c>
      <c r="C99" s="137">
        <v>6.6</v>
      </c>
      <c r="D99" s="138" t="s">
        <v>399</v>
      </c>
      <c r="E99" s="162" t="s">
        <v>154</v>
      </c>
      <c r="F99" s="138" t="s">
        <v>513</v>
      </c>
      <c r="G99" s="138" t="s">
        <v>514</v>
      </c>
      <c r="H99" s="137"/>
      <c r="I99" s="164" t="s">
        <v>185</v>
      </c>
      <c r="J99" s="200" t="s">
        <v>185</v>
      </c>
      <c r="K99" s="176" t="s">
        <v>185</v>
      </c>
      <c r="L99" s="176" t="s">
        <v>185</v>
      </c>
      <c r="M99" s="176" t="s">
        <v>185</v>
      </c>
      <c r="N99" s="222" t="s">
        <v>1002</v>
      </c>
      <c r="O99" s="212">
        <v>1</v>
      </c>
      <c r="P99" s="214" t="s">
        <v>1003</v>
      </c>
      <c r="Q99" s="214" t="s">
        <v>1004</v>
      </c>
      <c r="R99" s="451" t="s">
        <v>1005</v>
      </c>
      <c r="S99" s="214" t="s">
        <v>1006</v>
      </c>
      <c r="T99" s="214" t="s">
        <v>1007</v>
      </c>
      <c r="U99" s="258" t="s">
        <v>162</v>
      </c>
      <c r="V99" s="168" t="s">
        <v>899</v>
      </c>
      <c r="W99" s="158" t="s">
        <v>967</v>
      </c>
      <c r="X99" s="158" t="s">
        <v>185</v>
      </c>
      <c r="Y99" s="158" t="s">
        <v>185</v>
      </c>
      <c r="Z99" s="158" t="s">
        <v>185</v>
      </c>
      <c r="AA99" s="158" t="str">
        <f>IF(GCP[[#This Row],[Column14]]="-","", "v")</f>
        <v>v</v>
      </c>
      <c r="AB99" s="158" t="str">
        <f>IF(GCP[[#This Row],[Column8]]="x","1",(IF(OR(GCP[[#This Row],[Column25]]=2,GCP[[#This Row],[Column26]]=2,GCP[[#This Row],[Column27]]=2),"1",(IF(GCP[[#This Row],[Column9]]="x","2",(IF(GCP[[#This Row],[Column10]]="x","3","")))))))</f>
        <v>2</v>
      </c>
      <c r="AC99" s="454" t="str">
        <f>IF(GCP[[#This Row],[Column14]] = "-", GCP[[#This Row],[Column14]], LEFT(GCP[[#This Row],[Column14]], SEARCH(" ", GCP[[#This Row],[Column14]] &amp; " ") - 1))</f>
        <v>2.13</v>
      </c>
    </row>
    <row r="100" spans="1:29" ht="409.5">
      <c r="A10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0" s="137" t="str">
        <f>GCP[[#This Row],[Column30]]</f>
        <v>4.4</v>
      </c>
      <c r="C100" s="137">
        <v>6.7</v>
      </c>
      <c r="D100" s="138" t="s">
        <v>399</v>
      </c>
      <c r="E100" s="162" t="s">
        <v>156</v>
      </c>
      <c r="F100" s="138" t="s">
        <v>515</v>
      </c>
      <c r="G100" s="138" t="s">
        <v>516</v>
      </c>
      <c r="H100" s="204"/>
      <c r="I100" s="164" t="s">
        <v>185</v>
      </c>
      <c r="J100" s="200" t="s">
        <v>185</v>
      </c>
      <c r="K100" s="176" t="s">
        <v>185</v>
      </c>
      <c r="L100" s="176" t="s">
        <v>185</v>
      </c>
      <c r="M100" s="176" t="s">
        <v>185</v>
      </c>
      <c r="N100" s="222" t="s">
        <v>1293</v>
      </c>
      <c r="O100" s="212">
        <v>1</v>
      </c>
      <c r="P100" s="214" t="s">
        <v>1294</v>
      </c>
      <c r="Q100" s="214" t="s">
        <v>1295</v>
      </c>
      <c r="R100" s="451" t="s">
        <v>1296</v>
      </c>
      <c r="S100" s="214" t="s">
        <v>1297</v>
      </c>
      <c r="T100" s="214" t="s">
        <v>1298</v>
      </c>
      <c r="U100" s="158" t="s">
        <v>975</v>
      </c>
      <c r="V100" s="168" t="s">
        <v>1560</v>
      </c>
      <c r="W100" s="158" t="s">
        <v>966</v>
      </c>
      <c r="X100" s="158" t="s">
        <v>185</v>
      </c>
      <c r="Y100" s="158" t="s">
        <v>185</v>
      </c>
      <c r="Z100" s="158" t="s">
        <v>185</v>
      </c>
      <c r="AA100" s="158" t="str">
        <f>IF(GCP[[#This Row],[Column14]]="-","", "v")</f>
        <v>v</v>
      </c>
      <c r="AB100" s="158" t="str">
        <f>IF(GCP[[#This Row],[Column8]]="x","1",(IF(OR(GCP[[#This Row],[Column25]]=2,GCP[[#This Row],[Column26]]=2,GCP[[#This Row],[Column27]]=2),"1",(IF(GCP[[#This Row],[Column9]]="x","2",(IF(GCP[[#This Row],[Column10]]="x","3","")))))))</f>
        <v>2</v>
      </c>
      <c r="AC100" s="454" t="str">
        <f>IF(GCP[[#This Row],[Column14]] = "-", GCP[[#This Row],[Column14]], LEFT(GCP[[#This Row],[Column14]], SEARCH(" ", GCP[[#This Row],[Column14]] &amp; " ") - 1))</f>
        <v>4.4</v>
      </c>
    </row>
    <row r="101" spans="1:29" ht="75">
      <c r="A10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1" s="137" t="str">
        <f>GCP[[#This Row],[Column30]]</f>
        <v>-</v>
      </c>
      <c r="C101" s="137">
        <v>6.8</v>
      </c>
      <c r="D101" s="138" t="s">
        <v>182</v>
      </c>
      <c r="E101" s="162" t="s">
        <v>156</v>
      </c>
      <c r="F101" s="138" t="s">
        <v>332</v>
      </c>
      <c r="G101" s="139" t="s">
        <v>333</v>
      </c>
      <c r="H101" s="204"/>
      <c r="I101" s="204"/>
      <c r="J101" s="200" t="s">
        <v>185</v>
      </c>
      <c r="K101" s="176" t="s">
        <v>185</v>
      </c>
      <c r="L101" s="176" t="s">
        <v>185</v>
      </c>
      <c r="M101" s="176" t="s">
        <v>185</v>
      </c>
      <c r="N101" s="222" t="s">
        <v>162</v>
      </c>
      <c r="O101" s="222" t="s">
        <v>162</v>
      </c>
      <c r="P101" s="222" t="s">
        <v>162</v>
      </c>
      <c r="Q101" s="222" t="s">
        <v>162</v>
      </c>
      <c r="R101" s="451"/>
      <c r="S101" s="222" t="s">
        <v>162</v>
      </c>
      <c r="T101" s="222" t="s">
        <v>162</v>
      </c>
      <c r="U101" s="258" t="s">
        <v>162</v>
      </c>
      <c r="V101" s="168"/>
      <c r="W101" s="158" t="s">
        <v>966</v>
      </c>
      <c r="X101" s="158" t="s">
        <v>185</v>
      </c>
      <c r="Y101" s="158" t="s">
        <v>185</v>
      </c>
      <c r="Z101" s="158" t="s">
        <v>185</v>
      </c>
      <c r="AA101" s="158" t="str">
        <f>IF(GCP[[#This Row],[Column14]]="-","", "v")</f>
        <v/>
      </c>
      <c r="AB101" s="158" t="str">
        <f>IF(GCP[[#This Row],[Column8]]="x","1",(IF(OR(GCP[[#This Row],[Column25]]=2,GCP[[#This Row],[Column26]]=2,GCP[[#This Row],[Column27]]=2),"1",(IF(GCP[[#This Row],[Column9]]="x","2",(IF(GCP[[#This Row],[Column10]]="x","3","")))))))</f>
        <v>3</v>
      </c>
      <c r="AC101" s="454" t="str">
        <f>IF(GCP[[#This Row],[Column14]] = "-", GCP[[#This Row],[Column14]], LEFT(GCP[[#This Row],[Column14]], SEARCH(" ", GCP[[#This Row],[Column14]] &amp; " ") - 1))</f>
        <v>-</v>
      </c>
    </row>
    <row r="102" spans="1:29" ht="75" hidden="1">
      <c r="A102" s="221" t="s">
        <v>942</v>
      </c>
      <c r="B102" s="217" t="s">
        <v>162</v>
      </c>
      <c r="C102" s="217" t="s">
        <v>162</v>
      </c>
      <c r="D102" s="217" t="s">
        <v>162</v>
      </c>
      <c r="E102" s="217" t="s">
        <v>162</v>
      </c>
      <c r="F102" s="219" t="s">
        <v>517</v>
      </c>
      <c r="G102" s="220" t="s">
        <v>518</v>
      </c>
      <c r="H102" s="217" t="s">
        <v>162</v>
      </c>
      <c r="I102" s="217" t="s">
        <v>162</v>
      </c>
      <c r="J102" s="217" t="s">
        <v>162</v>
      </c>
      <c r="K102" s="217" t="s">
        <v>162</v>
      </c>
      <c r="L102" s="217" t="s">
        <v>162</v>
      </c>
      <c r="M102" s="217" t="s">
        <v>162</v>
      </c>
      <c r="N102" s="257" t="s">
        <v>162</v>
      </c>
      <c r="O102" s="217" t="s">
        <v>162</v>
      </c>
      <c r="P102" s="217" t="s">
        <v>162</v>
      </c>
      <c r="Q102" s="217" t="s">
        <v>162</v>
      </c>
      <c r="R102" s="154"/>
      <c r="S102" s="217" t="s">
        <v>162</v>
      </c>
      <c r="T102" s="217" t="s">
        <v>162</v>
      </c>
      <c r="U102" s="217" t="s">
        <v>162</v>
      </c>
      <c r="V102" s="217" t="s">
        <v>162</v>
      </c>
      <c r="W102" s="217" t="s">
        <v>162</v>
      </c>
      <c r="X102" s="217" t="s">
        <v>162</v>
      </c>
      <c r="Y102" s="217" t="s">
        <v>162</v>
      </c>
      <c r="Z102" s="217" t="s">
        <v>162</v>
      </c>
      <c r="AA102" s="217" t="s">
        <v>162</v>
      </c>
      <c r="AB102" s="217" t="s">
        <v>162</v>
      </c>
      <c r="AC102" s="454" t="str">
        <f>IF(GCP[[#This Row],[Column14]] = "-", GCP[[#This Row],[Column14]], LEFT(GCP[[#This Row],[Column14]], SEARCH(" ", GCP[[#This Row],[Column14]] &amp; " ") - 1))</f>
        <v>-</v>
      </c>
    </row>
    <row r="103" spans="1:29" ht="45">
      <c r="A10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3" s="137" t="str">
        <f>GCP[[#This Row],[Column30]]</f>
        <v>-</v>
      </c>
      <c r="C103" s="137">
        <v>7.1</v>
      </c>
      <c r="D103" s="138" t="s">
        <v>371</v>
      </c>
      <c r="E103" s="162" t="s">
        <v>156</v>
      </c>
      <c r="F103" s="138" t="s">
        <v>519</v>
      </c>
      <c r="G103" s="138" t="s">
        <v>520</v>
      </c>
      <c r="H103" s="163" t="s">
        <v>185</v>
      </c>
      <c r="I103" s="164" t="s">
        <v>185</v>
      </c>
      <c r="J103" s="200" t="s">
        <v>185</v>
      </c>
      <c r="K103" s="176" t="s">
        <v>185</v>
      </c>
      <c r="L103" s="176" t="s">
        <v>185</v>
      </c>
      <c r="M103" s="176" t="s">
        <v>185</v>
      </c>
      <c r="N103" s="222" t="s">
        <v>162</v>
      </c>
      <c r="O103" s="222" t="s">
        <v>162</v>
      </c>
      <c r="P103" s="222" t="s">
        <v>162</v>
      </c>
      <c r="Q103" s="222" t="s">
        <v>162</v>
      </c>
      <c r="S103" s="222" t="s">
        <v>162</v>
      </c>
      <c r="T103" s="222" t="s">
        <v>162</v>
      </c>
      <c r="U103" s="258" t="s">
        <v>162</v>
      </c>
      <c r="V103" s="168"/>
      <c r="W103" s="158" t="s">
        <v>966</v>
      </c>
      <c r="X103" s="158" t="s">
        <v>185</v>
      </c>
      <c r="Y103" s="158" t="s">
        <v>185</v>
      </c>
      <c r="Z103" s="158" t="s">
        <v>185</v>
      </c>
      <c r="AA103" s="158" t="str">
        <f>IF(GCP[[#This Row],[Column14]]="-","", "v")</f>
        <v/>
      </c>
      <c r="AB103" s="158" t="str">
        <f>IF(GCP[[#This Row],[Column8]]="x","1",(IF(OR(GCP[[#This Row],[Column25]]=2,GCP[[#This Row],[Column26]]=2,GCP[[#This Row],[Column27]]=2),"1",(IF(GCP[[#This Row],[Column9]]="x","2",(IF(GCP[[#This Row],[Column10]]="x","3","")))))))</f>
        <v>1</v>
      </c>
      <c r="AC103" s="454" t="str">
        <f>IF(GCP[[#This Row],[Column14]] = "-", GCP[[#This Row],[Column14]], LEFT(GCP[[#This Row],[Column14]], SEARCH(" ", GCP[[#This Row],[Column14]] &amp; " ") - 1))</f>
        <v>-</v>
      </c>
    </row>
    <row r="104" spans="1:29" ht="30">
      <c r="A10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4" s="137" t="str">
        <f>GCP[[#This Row],[Column30]]</f>
        <v>-</v>
      </c>
      <c r="C104" s="137">
        <v>7.2</v>
      </c>
      <c r="D104" s="138" t="s">
        <v>371</v>
      </c>
      <c r="E104" s="162" t="s">
        <v>157</v>
      </c>
      <c r="F104" s="138" t="s">
        <v>521</v>
      </c>
      <c r="G104" s="138" t="s">
        <v>522</v>
      </c>
      <c r="H104" s="163" t="s">
        <v>185</v>
      </c>
      <c r="I104" s="164" t="s">
        <v>185</v>
      </c>
      <c r="J104" s="200" t="s">
        <v>185</v>
      </c>
      <c r="K104" s="176" t="s">
        <v>185</v>
      </c>
      <c r="L104" s="176" t="s">
        <v>185</v>
      </c>
      <c r="M104" s="176" t="s">
        <v>185</v>
      </c>
      <c r="N104" s="222" t="s">
        <v>162</v>
      </c>
      <c r="O104" s="222" t="s">
        <v>162</v>
      </c>
      <c r="P104" s="222" t="s">
        <v>162</v>
      </c>
      <c r="Q104" s="222" t="s">
        <v>162</v>
      </c>
      <c r="S104" s="222" t="s">
        <v>162</v>
      </c>
      <c r="T104" s="222" t="s">
        <v>162</v>
      </c>
      <c r="U104" s="258" t="s">
        <v>162</v>
      </c>
      <c r="V104" s="168"/>
      <c r="W104" s="158" t="s">
        <v>966</v>
      </c>
      <c r="X104" s="158" t="s">
        <v>185</v>
      </c>
      <c r="Y104" s="158" t="s">
        <v>185</v>
      </c>
      <c r="Z104" s="158" t="s">
        <v>185</v>
      </c>
      <c r="AA104" s="158" t="str">
        <f>IF(GCP[[#This Row],[Column14]]="-","", "v")</f>
        <v/>
      </c>
      <c r="AB104" s="158" t="str">
        <f>IF(GCP[[#This Row],[Column8]]="x","1",(IF(OR(GCP[[#This Row],[Column25]]=2,GCP[[#This Row],[Column26]]=2,GCP[[#This Row],[Column27]]=2),"1",(IF(GCP[[#This Row],[Column9]]="x","2",(IF(GCP[[#This Row],[Column10]]="x","3","")))))))</f>
        <v>1</v>
      </c>
      <c r="AC104" s="454" t="str">
        <f>IF(GCP[[#This Row],[Column14]] = "-", GCP[[#This Row],[Column14]], LEFT(GCP[[#This Row],[Column14]], SEARCH(" ", GCP[[#This Row],[Column14]] &amp; " ") - 1))</f>
        <v>-</v>
      </c>
    </row>
    <row r="105" spans="1:29" ht="409.5">
      <c r="A10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5" s="137" t="str">
        <f>GCP[[#This Row],[Column30]]</f>
        <v>4.8</v>
      </c>
      <c r="C105" s="137">
        <v>7.3</v>
      </c>
      <c r="D105" s="138" t="s">
        <v>371</v>
      </c>
      <c r="E105" s="162" t="s">
        <v>156</v>
      </c>
      <c r="F105" s="138" t="s">
        <v>523</v>
      </c>
      <c r="G105" s="138" t="s">
        <v>524</v>
      </c>
      <c r="H105" s="163" t="s">
        <v>185</v>
      </c>
      <c r="I105" s="164" t="s">
        <v>185</v>
      </c>
      <c r="J105" s="200" t="s">
        <v>185</v>
      </c>
      <c r="K105" s="176" t="s">
        <v>185</v>
      </c>
      <c r="L105" s="176" t="s">
        <v>185</v>
      </c>
      <c r="M105" s="176"/>
      <c r="N105" s="255" t="s">
        <v>1494</v>
      </c>
      <c r="O105" s="212">
        <v>2</v>
      </c>
      <c r="P105" s="214" t="s">
        <v>1495</v>
      </c>
      <c r="Q105" s="214" t="s">
        <v>1496</v>
      </c>
      <c r="R105" s="214" t="s">
        <v>1497</v>
      </c>
      <c r="S105" s="214" t="s">
        <v>1498</v>
      </c>
      <c r="T105" s="212" t="s">
        <v>1499</v>
      </c>
      <c r="U105" s="158" t="s">
        <v>162</v>
      </c>
      <c r="V105" s="168" t="s">
        <v>2031</v>
      </c>
      <c r="W105" s="158" t="s">
        <v>967</v>
      </c>
      <c r="X105" s="158" t="s">
        <v>185</v>
      </c>
      <c r="Y105" s="158" t="s">
        <v>185</v>
      </c>
      <c r="Z105" s="158" t="s">
        <v>185</v>
      </c>
      <c r="AA105" s="158" t="str">
        <f>IF(GCP[[#This Row],[Column14]]="-","", "v")</f>
        <v>v</v>
      </c>
      <c r="AB105" s="158" t="str">
        <f>IF(GCP[[#This Row],[Column8]]="x","1",(IF(OR(GCP[[#This Row],[Column25]]=2,GCP[[#This Row],[Column26]]=2,GCP[[#This Row],[Column27]]=2),"1",(IF(GCP[[#This Row],[Column9]]="x","2",(IF(GCP[[#This Row],[Column10]]="x","3","")))))))</f>
        <v>1</v>
      </c>
      <c r="AC105" s="454" t="str">
        <f>IF(GCP[[#This Row],[Column14]] = "-", GCP[[#This Row],[Column14]], LEFT(GCP[[#This Row],[Column14]], SEARCH(" ", GCP[[#This Row],[Column14]] &amp; " ") - 1))</f>
        <v>4.8</v>
      </c>
    </row>
    <row r="106" spans="1:29" ht="45">
      <c r="A10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6" s="137" t="str">
        <f>GCP[[#This Row],[Column30]]</f>
        <v>-</v>
      </c>
      <c r="C106" s="137">
        <v>7.4</v>
      </c>
      <c r="D106" s="138" t="s">
        <v>371</v>
      </c>
      <c r="E106" s="162" t="s">
        <v>156</v>
      </c>
      <c r="F106" s="138" t="s">
        <v>525</v>
      </c>
      <c r="G106" s="138" t="s">
        <v>526</v>
      </c>
      <c r="H106" s="163" t="s">
        <v>185</v>
      </c>
      <c r="I106" s="164" t="s">
        <v>185</v>
      </c>
      <c r="J106" s="200" t="s">
        <v>185</v>
      </c>
      <c r="K106" s="176" t="s">
        <v>185</v>
      </c>
      <c r="L106" s="176" t="s">
        <v>185</v>
      </c>
      <c r="M106" s="176"/>
      <c r="N106" s="222" t="s">
        <v>162</v>
      </c>
      <c r="O106" s="222" t="s">
        <v>162</v>
      </c>
      <c r="P106" s="222" t="s">
        <v>162</v>
      </c>
      <c r="Q106" s="222" t="s">
        <v>162</v>
      </c>
      <c r="S106" s="222" t="s">
        <v>162</v>
      </c>
      <c r="T106" s="222" t="s">
        <v>162</v>
      </c>
      <c r="U106" s="258" t="s">
        <v>162</v>
      </c>
      <c r="V106" s="168"/>
      <c r="W106" s="158" t="s">
        <v>967</v>
      </c>
      <c r="X106" s="158" t="s">
        <v>185</v>
      </c>
      <c r="Y106" s="158" t="s">
        <v>185</v>
      </c>
      <c r="Z106" s="158" t="s">
        <v>185</v>
      </c>
      <c r="AA106" s="158" t="str">
        <f>IF(GCP[[#This Row],[Column14]]="-","", "v")</f>
        <v/>
      </c>
      <c r="AB106" s="158" t="str">
        <f>IF(GCP[[#This Row],[Column8]]="x","1",(IF(OR(GCP[[#This Row],[Column25]]=2,GCP[[#This Row],[Column26]]=2,GCP[[#This Row],[Column27]]=2),"1",(IF(GCP[[#This Row],[Column9]]="x","2",(IF(GCP[[#This Row],[Column10]]="x","3","")))))))</f>
        <v>1</v>
      </c>
      <c r="AC106" s="454" t="str">
        <f>IF(GCP[[#This Row],[Column14]] = "-", GCP[[#This Row],[Column14]], LEFT(GCP[[#This Row],[Column14]], SEARCH(" ", GCP[[#This Row],[Column14]] &amp; " ") - 1))</f>
        <v>-</v>
      </c>
    </row>
    <row r="107" spans="1:29" ht="45.75">
      <c r="A10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7" s="137" t="str">
        <f>GCP[[#This Row],[Column30]]</f>
        <v>-</v>
      </c>
      <c r="C107" s="137">
        <v>7.5</v>
      </c>
      <c r="D107" s="138" t="s">
        <v>371</v>
      </c>
      <c r="E107" s="162" t="s">
        <v>154</v>
      </c>
      <c r="F107" s="138" t="s">
        <v>533</v>
      </c>
      <c r="G107" s="138" t="s">
        <v>534</v>
      </c>
      <c r="H107" s="204"/>
      <c r="I107" s="164" t="s">
        <v>185</v>
      </c>
      <c r="J107" s="200" t="s">
        <v>185</v>
      </c>
      <c r="K107" s="176" t="s">
        <v>185</v>
      </c>
      <c r="L107" s="176" t="s">
        <v>185</v>
      </c>
      <c r="M107" s="176"/>
      <c r="N107" s="222" t="s">
        <v>162</v>
      </c>
      <c r="O107" s="222" t="s">
        <v>162</v>
      </c>
      <c r="P107" s="222" t="s">
        <v>162</v>
      </c>
      <c r="Q107" s="222" t="s">
        <v>162</v>
      </c>
      <c r="S107" s="222" t="s">
        <v>162</v>
      </c>
      <c r="T107" s="222" t="s">
        <v>162</v>
      </c>
      <c r="U107" s="258" t="s">
        <v>162</v>
      </c>
      <c r="V107" s="168"/>
      <c r="W107" s="158" t="s">
        <v>966</v>
      </c>
      <c r="X107" s="158" t="s">
        <v>185</v>
      </c>
      <c r="Y107" s="158" t="s">
        <v>185</v>
      </c>
      <c r="Z107" s="158" t="s">
        <v>185</v>
      </c>
      <c r="AA107" s="158" t="str">
        <f>IF(GCP[[#This Row],[Column14]]="-","", "v")</f>
        <v/>
      </c>
      <c r="AB107" s="158" t="str">
        <f>IF(GCP[[#This Row],[Column8]]="x","1",(IF(OR(GCP[[#This Row],[Column25]]=2,GCP[[#This Row],[Column26]]=2,GCP[[#This Row],[Column27]]=2),"1",(IF(GCP[[#This Row],[Column9]]="x","2",(IF(GCP[[#This Row],[Column10]]="x","3","")))))))</f>
        <v>2</v>
      </c>
      <c r="AC107" s="454" t="str">
        <f>IF(GCP[[#This Row],[Column14]] = "-", GCP[[#This Row],[Column14]], LEFT(GCP[[#This Row],[Column14]], SEARCH(" ", GCP[[#This Row],[Column14]] &amp; " ") - 1))</f>
        <v>-</v>
      </c>
    </row>
    <row r="108" spans="1:29" ht="60">
      <c r="A10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8" s="137" t="str">
        <f>GCP[[#This Row],[Column30]]</f>
        <v>-</v>
      </c>
      <c r="C108" s="137">
        <v>7.6</v>
      </c>
      <c r="D108" s="138" t="s">
        <v>371</v>
      </c>
      <c r="E108" s="162" t="s">
        <v>154</v>
      </c>
      <c r="F108" s="138" t="s">
        <v>535</v>
      </c>
      <c r="G108" s="138" t="s">
        <v>536</v>
      </c>
      <c r="H108" s="204"/>
      <c r="I108" s="164" t="s">
        <v>185</v>
      </c>
      <c r="J108" s="200" t="s">
        <v>185</v>
      </c>
      <c r="K108" s="176" t="s">
        <v>185</v>
      </c>
      <c r="L108" s="176" t="s">
        <v>185</v>
      </c>
      <c r="M108" s="176"/>
      <c r="N108" s="222" t="s">
        <v>162</v>
      </c>
      <c r="O108" s="222" t="s">
        <v>162</v>
      </c>
      <c r="P108" s="222" t="s">
        <v>162</v>
      </c>
      <c r="Q108" s="222" t="s">
        <v>162</v>
      </c>
      <c r="S108" s="222" t="s">
        <v>162</v>
      </c>
      <c r="T108" s="222" t="s">
        <v>162</v>
      </c>
      <c r="U108" s="258" t="s">
        <v>162</v>
      </c>
      <c r="V108" s="168"/>
      <c r="W108" s="158" t="s">
        <v>966</v>
      </c>
      <c r="X108" s="158" t="s">
        <v>185</v>
      </c>
      <c r="Y108" s="158" t="s">
        <v>185</v>
      </c>
      <c r="Z108" s="158" t="s">
        <v>185</v>
      </c>
      <c r="AA108" s="158" t="str">
        <f>IF(GCP[[#This Row],[Column14]]="-","", "v")</f>
        <v/>
      </c>
      <c r="AB108" s="158" t="str">
        <f>IF(GCP[[#This Row],[Column8]]="x","1",(IF(OR(GCP[[#This Row],[Column25]]=2,GCP[[#This Row],[Column26]]=2,GCP[[#This Row],[Column27]]=2),"1",(IF(GCP[[#This Row],[Column9]]="x","2",(IF(GCP[[#This Row],[Column10]]="x","3","")))))))</f>
        <v>2</v>
      </c>
      <c r="AC108" s="454" t="str">
        <f>IF(GCP[[#This Row],[Column14]] = "-", GCP[[#This Row],[Column14]], LEFT(GCP[[#This Row],[Column14]], SEARCH(" ", GCP[[#This Row],[Column14]] &amp; " ") - 1))</f>
        <v>-</v>
      </c>
    </row>
    <row r="109" spans="1:29" ht="30">
      <c r="A10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NOT(ISBLANK(K109)),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NOT(ISBLANK(L109)),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NOT(ISBLANK(M109)),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09" s="137" t="str">
        <f>GCP[[#This Row],[Column30]]</f>
        <v>-</v>
      </c>
      <c r="C109" s="137">
        <v>7.7</v>
      </c>
      <c r="D109" s="138" t="s">
        <v>371</v>
      </c>
      <c r="E109" s="162" t="s">
        <v>157</v>
      </c>
      <c r="F109" s="138" t="s">
        <v>537</v>
      </c>
      <c r="G109" s="138" t="s">
        <v>538</v>
      </c>
      <c r="H109" s="204"/>
      <c r="I109" s="164" t="s">
        <v>185</v>
      </c>
      <c r="J109" s="200" t="s">
        <v>185</v>
      </c>
      <c r="K109" s="176" t="s">
        <v>185</v>
      </c>
      <c r="L109" s="176" t="s">
        <v>185</v>
      </c>
      <c r="M109" s="176"/>
      <c r="N109" s="222" t="s">
        <v>162</v>
      </c>
      <c r="O109" s="222" t="s">
        <v>162</v>
      </c>
      <c r="P109" s="222" t="s">
        <v>162</v>
      </c>
      <c r="Q109" s="222" t="s">
        <v>162</v>
      </c>
      <c r="S109" s="222" t="s">
        <v>162</v>
      </c>
      <c r="T109" s="222" t="s">
        <v>162</v>
      </c>
      <c r="U109" s="258" t="s">
        <v>162</v>
      </c>
      <c r="V109" s="168"/>
      <c r="W109" s="158" t="s">
        <v>966</v>
      </c>
      <c r="X109" s="158" t="s">
        <v>185</v>
      </c>
      <c r="Y109" s="158" t="s">
        <v>185</v>
      </c>
      <c r="Z109" s="158" t="s">
        <v>185</v>
      </c>
      <c r="AA109" s="158" t="str">
        <f>IF(GCP[[#This Row],[Column14]]="-","", "v")</f>
        <v/>
      </c>
      <c r="AB109" s="158" t="str">
        <f>IF(GCP[[#This Row],[Column8]]="x","1",(IF(OR(GCP[[#This Row],[Column25]]=2,GCP[[#This Row],[Column26]]=2,GCP[[#This Row],[Column27]]=2),"1",(IF(GCP[[#This Row],[Column9]]="x","2",(IF(GCP[[#This Row],[Column10]]="x","3","")))))))</f>
        <v>2</v>
      </c>
      <c r="AC109" s="454" t="str">
        <f>IF(GCP[[#This Row],[Column14]] = "-", GCP[[#This Row],[Column14]], LEFT(GCP[[#This Row],[Column14]], SEARCH(" ", GCP[[#This Row],[Column14]] &amp; " ") - 1))</f>
        <v>-</v>
      </c>
    </row>
    <row r="110" spans="1:29" ht="30" hidden="1">
      <c r="A110" s="221" t="s">
        <v>942</v>
      </c>
      <c r="B110" s="217" t="s">
        <v>162</v>
      </c>
      <c r="C110" s="217" t="s">
        <v>162</v>
      </c>
      <c r="D110" s="217" t="s">
        <v>162</v>
      </c>
      <c r="E110" s="217" t="s">
        <v>162</v>
      </c>
      <c r="F110" s="219" t="s">
        <v>539</v>
      </c>
      <c r="G110" s="220" t="s">
        <v>540</v>
      </c>
      <c r="H110" s="217" t="s">
        <v>162</v>
      </c>
      <c r="I110" s="217" t="s">
        <v>162</v>
      </c>
      <c r="J110" s="217" t="s">
        <v>162</v>
      </c>
      <c r="K110" s="217" t="s">
        <v>162</v>
      </c>
      <c r="L110" s="217" t="s">
        <v>162</v>
      </c>
      <c r="M110" s="217" t="s">
        <v>162</v>
      </c>
      <c r="N110" s="257" t="s">
        <v>162</v>
      </c>
      <c r="O110" s="217" t="s">
        <v>162</v>
      </c>
      <c r="P110" s="217" t="s">
        <v>162</v>
      </c>
      <c r="Q110" s="217" t="s">
        <v>162</v>
      </c>
      <c r="R110" s="167"/>
      <c r="S110" s="217" t="s">
        <v>162</v>
      </c>
      <c r="T110" s="217" t="s">
        <v>162</v>
      </c>
      <c r="U110" s="217" t="s">
        <v>162</v>
      </c>
      <c r="V110" s="217" t="s">
        <v>162</v>
      </c>
      <c r="W110" s="217" t="s">
        <v>162</v>
      </c>
      <c r="X110" s="217" t="s">
        <v>162</v>
      </c>
      <c r="Y110" s="217" t="s">
        <v>162</v>
      </c>
      <c r="Z110" s="217" t="s">
        <v>162</v>
      </c>
      <c r="AA110" s="217" t="s">
        <v>162</v>
      </c>
      <c r="AB110" s="217" t="s">
        <v>162</v>
      </c>
      <c r="AC110" s="454" t="str">
        <f>IF(GCP[[#This Row],[Column14]] = "-", GCP[[#This Row],[Column14]], LEFT(GCP[[#This Row],[Column14]], SEARCH(" ", GCP[[#This Row],[Column14]] &amp; " ") - 1))</f>
        <v>-</v>
      </c>
    </row>
    <row r="111" spans="1:29" ht="75.75">
      <c r="A11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1" s="137" t="str">
        <f>GCP[[#This Row],[Column30]]</f>
        <v>-</v>
      </c>
      <c r="C111" s="137">
        <v>8.1</v>
      </c>
      <c r="D111" s="138" t="s">
        <v>390</v>
      </c>
      <c r="E111" s="162" t="s">
        <v>156</v>
      </c>
      <c r="F111" s="138" t="s">
        <v>541</v>
      </c>
      <c r="G111" s="138" t="s">
        <v>542</v>
      </c>
      <c r="H111" s="163" t="s">
        <v>185</v>
      </c>
      <c r="I111" s="164" t="s">
        <v>185</v>
      </c>
      <c r="J111" s="200" t="s">
        <v>185</v>
      </c>
      <c r="K111" s="176" t="s">
        <v>185</v>
      </c>
      <c r="L111" s="176" t="s">
        <v>185</v>
      </c>
      <c r="M111" s="176" t="s">
        <v>185</v>
      </c>
      <c r="N111" s="222" t="s">
        <v>162</v>
      </c>
      <c r="O111" s="222" t="s">
        <v>162</v>
      </c>
      <c r="P111" s="222" t="s">
        <v>162</v>
      </c>
      <c r="Q111" s="222" t="s">
        <v>162</v>
      </c>
      <c r="R111" s="451"/>
      <c r="S111" s="222" t="s">
        <v>162</v>
      </c>
      <c r="T111" s="222" t="s">
        <v>162</v>
      </c>
      <c r="U111" s="258" t="s">
        <v>162</v>
      </c>
      <c r="V111" s="168"/>
      <c r="W111" s="158" t="s">
        <v>966</v>
      </c>
      <c r="X111" s="158" t="s">
        <v>185</v>
      </c>
      <c r="Y111" s="158" t="s">
        <v>185</v>
      </c>
      <c r="Z111" s="158"/>
      <c r="AA111" s="158" t="str">
        <f>IF(GCP[[#This Row],[Column14]]="-","", "v")</f>
        <v/>
      </c>
      <c r="AB111" s="158" t="str">
        <f>IF(GCP[[#This Row],[Column8]]="x","1",(IF(OR(GCP[[#This Row],[Column25]]=2,GCP[[#This Row],[Column26]]=2,GCP[[#This Row],[Column27]]=2),"1",(IF(GCP[[#This Row],[Column9]]="x","2",(IF(GCP[[#This Row],[Column10]]="x","3","")))))))</f>
        <v>1</v>
      </c>
      <c r="AC111" s="454" t="str">
        <f>IF(GCP[[#This Row],[Column14]] = "-", GCP[[#This Row],[Column14]], LEFT(GCP[[#This Row],[Column14]], SEARCH(" ", GCP[[#This Row],[Column14]] &amp; " ") - 1))</f>
        <v>-</v>
      </c>
    </row>
    <row r="112" spans="1:29" ht="409.5">
      <c r="A11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2" s="137" t="str">
        <f>GCP[[#This Row],[Column30]]</f>
        <v>2.1</v>
      </c>
      <c r="C112" s="137">
        <v>8.1999999999999993</v>
      </c>
      <c r="D112" s="138" t="s">
        <v>390</v>
      </c>
      <c r="E112" s="162" t="s">
        <v>155</v>
      </c>
      <c r="F112" s="138" t="s">
        <v>543</v>
      </c>
      <c r="G112" s="138" t="s">
        <v>544</v>
      </c>
      <c r="H112" s="163" t="s">
        <v>185</v>
      </c>
      <c r="I112" s="164" t="s">
        <v>185</v>
      </c>
      <c r="J112" s="200" t="s">
        <v>185</v>
      </c>
      <c r="K112" s="176" t="s">
        <v>185</v>
      </c>
      <c r="L112" s="176" t="s">
        <v>185</v>
      </c>
      <c r="M112" s="176" t="s">
        <v>185</v>
      </c>
      <c r="N112" s="222" t="s">
        <v>1311</v>
      </c>
      <c r="O112" s="212">
        <v>1</v>
      </c>
      <c r="P112" s="214" t="s">
        <v>1312</v>
      </c>
      <c r="Q112" s="214" t="s">
        <v>1313</v>
      </c>
      <c r="R112" s="451" t="s">
        <v>1314</v>
      </c>
      <c r="S112" s="214" t="s">
        <v>1315</v>
      </c>
      <c r="T112" s="214" t="s">
        <v>1316</v>
      </c>
      <c r="U112" s="158" t="s">
        <v>975</v>
      </c>
      <c r="V112" s="168" t="s">
        <v>1564</v>
      </c>
      <c r="W112" s="158" t="s">
        <v>966</v>
      </c>
      <c r="X112" s="158" t="s">
        <v>185</v>
      </c>
      <c r="Y112" s="158" t="s">
        <v>185</v>
      </c>
      <c r="Z112" s="158"/>
      <c r="AA112" s="158" t="str">
        <f>IF(GCP[[#This Row],[Column14]]="-","", "v")</f>
        <v>v</v>
      </c>
      <c r="AB112" s="158" t="str">
        <f>IF(GCP[[#This Row],[Column8]]="x","1",(IF(OR(GCP[[#This Row],[Column25]]=2,GCP[[#This Row],[Column26]]=2,GCP[[#This Row],[Column27]]=2),"1",(IF(GCP[[#This Row],[Column9]]="x","2",(IF(GCP[[#This Row],[Column10]]="x","3","")))))))</f>
        <v>1</v>
      </c>
      <c r="AC112" s="454" t="str">
        <f>IF(GCP[[#This Row],[Column14]] = "-", GCP[[#This Row],[Column14]], LEFT(GCP[[#This Row],[Column14]], SEARCH(" ", GCP[[#This Row],[Column14]] &amp; " ") - 1))</f>
        <v>2.1</v>
      </c>
    </row>
    <row r="113" spans="1:29" ht="409.5">
      <c r="A11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3" s="137" t="str">
        <f>GCP[[#This Row],[Column30]]</f>
        <v>2.2</v>
      </c>
      <c r="C113" s="137">
        <v>8.1999999999999993</v>
      </c>
      <c r="D113" s="138" t="s">
        <v>390</v>
      </c>
      <c r="E113" s="162" t="s">
        <v>155</v>
      </c>
      <c r="F113" s="138" t="s">
        <v>543</v>
      </c>
      <c r="G113" s="138" t="s">
        <v>544</v>
      </c>
      <c r="H113" s="163" t="s">
        <v>185</v>
      </c>
      <c r="I113" s="164" t="s">
        <v>185</v>
      </c>
      <c r="J113" s="200" t="s">
        <v>185</v>
      </c>
      <c r="K113" s="176" t="s">
        <v>185</v>
      </c>
      <c r="L113" s="176" t="s">
        <v>185</v>
      </c>
      <c r="M113" s="176" t="s">
        <v>185</v>
      </c>
      <c r="N113" s="222" t="s">
        <v>1317</v>
      </c>
      <c r="O113" s="212">
        <v>1</v>
      </c>
      <c r="P113" s="214" t="s">
        <v>1318</v>
      </c>
      <c r="Q113" s="214" t="s">
        <v>1319</v>
      </c>
      <c r="R113" s="451" t="s">
        <v>1320</v>
      </c>
      <c r="S113" s="214" t="s">
        <v>1321</v>
      </c>
      <c r="T113" s="214" t="s">
        <v>1322</v>
      </c>
      <c r="U113" s="158" t="s">
        <v>975</v>
      </c>
      <c r="V113" s="168" t="s">
        <v>1564</v>
      </c>
      <c r="W113" s="158" t="s">
        <v>966</v>
      </c>
      <c r="X113" s="158" t="s">
        <v>185</v>
      </c>
      <c r="Y113" s="158" t="s">
        <v>185</v>
      </c>
      <c r="Z113" s="158"/>
      <c r="AA113" s="158" t="str">
        <f>IF(GCP[[#This Row],[Column14]]="-","", "v")</f>
        <v>v</v>
      </c>
      <c r="AB113" s="158" t="str">
        <f>IF(GCP[[#This Row],[Column8]]="x","1",(IF(OR(GCP[[#This Row],[Column25]]=2,GCP[[#This Row],[Column26]]=2,GCP[[#This Row],[Column27]]=2),"1",(IF(GCP[[#This Row],[Column9]]="x","2",(IF(GCP[[#This Row],[Column10]]="x","3","")))))))</f>
        <v>1</v>
      </c>
      <c r="AC113" s="454" t="str">
        <f>IF(GCP[[#This Row],[Column14]] = "-", GCP[[#This Row],[Column14]], LEFT(GCP[[#This Row],[Column14]], SEARCH(" ", GCP[[#This Row],[Column14]] &amp; " ") - 1))</f>
        <v>2.2</v>
      </c>
    </row>
    <row r="114" spans="1:29" ht="409.5">
      <c r="A11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4" s="137" t="str">
        <f>GCP[[#This Row],[Column30]]</f>
        <v>2.4</v>
      </c>
      <c r="C114" s="137">
        <v>8.1999999999999993</v>
      </c>
      <c r="D114" s="138" t="s">
        <v>390</v>
      </c>
      <c r="E114" s="162" t="s">
        <v>155</v>
      </c>
      <c r="F114" s="138" t="s">
        <v>543</v>
      </c>
      <c r="G114" s="138" t="s">
        <v>544</v>
      </c>
      <c r="H114" s="163" t="s">
        <v>185</v>
      </c>
      <c r="I114" s="164" t="s">
        <v>185</v>
      </c>
      <c r="J114" s="200" t="s">
        <v>185</v>
      </c>
      <c r="K114" s="176" t="s">
        <v>185</v>
      </c>
      <c r="L114" s="176" t="s">
        <v>185</v>
      </c>
      <c r="M114" s="176" t="s">
        <v>185</v>
      </c>
      <c r="N114" s="222" t="s">
        <v>1323</v>
      </c>
      <c r="O114" s="212">
        <v>1</v>
      </c>
      <c r="P114" s="214" t="s">
        <v>1324</v>
      </c>
      <c r="Q114" s="214" t="s">
        <v>1325</v>
      </c>
      <c r="R114" s="451" t="s">
        <v>1326</v>
      </c>
      <c r="S114" s="214" t="s">
        <v>1327</v>
      </c>
      <c r="T114" s="214" t="s">
        <v>1328</v>
      </c>
      <c r="U114" s="158" t="s">
        <v>162</v>
      </c>
      <c r="V114" s="168" t="s">
        <v>1565</v>
      </c>
      <c r="W114" s="158" t="s">
        <v>967</v>
      </c>
      <c r="X114" s="158" t="s">
        <v>185</v>
      </c>
      <c r="Y114" s="158" t="s">
        <v>185</v>
      </c>
      <c r="Z114" s="158"/>
      <c r="AA114" s="158" t="str">
        <f>IF(GCP[[#This Row],[Column14]]="-","", "v")</f>
        <v>v</v>
      </c>
      <c r="AB114" s="158" t="str">
        <f>IF(GCP[[#This Row],[Column8]]="x","1",(IF(OR(GCP[[#This Row],[Column25]]=2,GCP[[#This Row],[Column26]]=2,GCP[[#This Row],[Column27]]=2),"1",(IF(GCP[[#This Row],[Column9]]="x","2",(IF(GCP[[#This Row],[Column10]]="x","3","")))))))</f>
        <v>1</v>
      </c>
      <c r="AC114" s="454" t="str">
        <f>IF(GCP[[#This Row],[Column14]] = "-", GCP[[#This Row],[Column14]], LEFT(GCP[[#This Row],[Column14]], SEARCH(" ", GCP[[#This Row],[Column14]] &amp; " ") - 1))</f>
        <v>2.4</v>
      </c>
    </row>
    <row r="115" spans="1:29" ht="409.5">
      <c r="A11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5" s="137" t="str">
        <f>GCP[[#This Row],[Column30]]</f>
        <v>2.5</v>
      </c>
      <c r="C115" s="137">
        <v>8.1999999999999993</v>
      </c>
      <c r="D115" s="138" t="s">
        <v>390</v>
      </c>
      <c r="E115" s="162" t="s">
        <v>155</v>
      </c>
      <c r="F115" s="138" t="s">
        <v>543</v>
      </c>
      <c r="G115" s="138" t="s">
        <v>544</v>
      </c>
      <c r="H115" s="163" t="s">
        <v>185</v>
      </c>
      <c r="I115" s="164" t="s">
        <v>185</v>
      </c>
      <c r="J115" s="200" t="s">
        <v>185</v>
      </c>
      <c r="K115" s="176" t="s">
        <v>185</v>
      </c>
      <c r="L115" s="176" t="s">
        <v>185</v>
      </c>
      <c r="M115" s="176" t="s">
        <v>185</v>
      </c>
      <c r="N115" s="222" t="s">
        <v>1329</v>
      </c>
      <c r="O115" s="212">
        <v>1</v>
      </c>
      <c r="P115" s="214" t="s">
        <v>1330</v>
      </c>
      <c r="Q115" s="214" t="s">
        <v>1331</v>
      </c>
      <c r="R115" s="451" t="s">
        <v>1332</v>
      </c>
      <c r="S115" s="214" t="s">
        <v>1333</v>
      </c>
      <c r="T115" s="214" t="s">
        <v>1334</v>
      </c>
      <c r="U115" s="258" t="s">
        <v>162</v>
      </c>
      <c r="V115" s="168" t="s">
        <v>1565</v>
      </c>
      <c r="W115" s="158" t="s">
        <v>967</v>
      </c>
      <c r="X115" s="158" t="s">
        <v>185</v>
      </c>
      <c r="Y115" s="158" t="s">
        <v>185</v>
      </c>
      <c r="Z115" s="158" t="s">
        <v>185</v>
      </c>
      <c r="AA115" s="158" t="str">
        <f>IF(GCP[[#This Row],[Column14]]="-","", "v")</f>
        <v>v</v>
      </c>
      <c r="AB115" s="158" t="str">
        <f>IF(GCP[[#This Row],[Column8]]="x","1",(IF(OR(GCP[[#This Row],[Column25]]=2,GCP[[#This Row],[Column26]]=2,GCP[[#This Row],[Column27]]=2),"1",(IF(GCP[[#This Row],[Column9]]="x","2",(IF(GCP[[#This Row],[Column10]]="x","3","")))))))</f>
        <v>1</v>
      </c>
      <c r="AC115" s="454" t="str">
        <f>IF(GCP[[#This Row],[Column14]] = "-", GCP[[#This Row],[Column14]], LEFT(GCP[[#This Row],[Column14]], SEARCH(" ", GCP[[#This Row],[Column14]] &amp; " ") - 1))</f>
        <v>2.5</v>
      </c>
    </row>
    <row r="116" spans="1:29" ht="409.5">
      <c r="A11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6" s="137" t="str">
        <f>GCP[[#This Row],[Column30]]</f>
        <v>2.6</v>
      </c>
      <c r="C116" s="137">
        <v>8.1999999999999993</v>
      </c>
      <c r="D116" s="138" t="s">
        <v>390</v>
      </c>
      <c r="E116" s="162" t="s">
        <v>155</v>
      </c>
      <c r="F116" s="138" t="s">
        <v>543</v>
      </c>
      <c r="G116" s="138" t="s">
        <v>544</v>
      </c>
      <c r="H116" s="163" t="s">
        <v>185</v>
      </c>
      <c r="I116" s="164" t="s">
        <v>185</v>
      </c>
      <c r="J116" s="200" t="s">
        <v>185</v>
      </c>
      <c r="K116" s="176" t="s">
        <v>185</v>
      </c>
      <c r="L116" s="176" t="s">
        <v>185</v>
      </c>
      <c r="M116" s="176" t="s">
        <v>185</v>
      </c>
      <c r="N116" s="222" t="s">
        <v>1335</v>
      </c>
      <c r="O116" s="212">
        <v>1</v>
      </c>
      <c r="P116" s="214" t="s">
        <v>1336</v>
      </c>
      <c r="Q116" s="214" t="s">
        <v>1337</v>
      </c>
      <c r="R116" s="451" t="s">
        <v>1338</v>
      </c>
      <c r="S116" s="214" t="s">
        <v>1339</v>
      </c>
      <c r="T116" s="214" t="s">
        <v>1340</v>
      </c>
      <c r="U116" s="258" t="s">
        <v>162</v>
      </c>
      <c r="V116" s="168" t="s">
        <v>1565</v>
      </c>
      <c r="W116" s="158" t="s">
        <v>967</v>
      </c>
      <c r="X116" s="158" t="s">
        <v>185</v>
      </c>
      <c r="Y116" s="158" t="s">
        <v>185</v>
      </c>
      <c r="Z116" s="158"/>
      <c r="AA116" s="158" t="str">
        <f>IF(GCP[[#This Row],[Column14]]="-","", "v")</f>
        <v>v</v>
      </c>
      <c r="AB116" s="158" t="str">
        <f>IF(GCP[[#This Row],[Column8]]="x","1",(IF(OR(GCP[[#This Row],[Column25]]=2,GCP[[#This Row],[Column26]]=2,GCP[[#This Row],[Column27]]=2),"1",(IF(GCP[[#This Row],[Column9]]="x","2",(IF(GCP[[#This Row],[Column10]]="x","3","")))))))</f>
        <v>1</v>
      </c>
      <c r="AC116" s="454" t="str">
        <f>IF(GCP[[#This Row],[Column14]] = "-", GCP[[#This Row],[Column14]], LEFT(GCP[[#This Row],[Column14]], SEARCH(" ", GCP[[#This Row],[Column14]] &amp; " ") - 1))</f>
        <v>2.6</v>
      </c>
    </row>
    <row r="117" spans="1:29" ht="409.5">
      <c r="A11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7" s="137" t="str">
        <f>GCP[[#This Row],[Column30]]</f>
        <v>2.7</v>
      </c>
      <c r="C117" s="137">
        <v>8.1999999999999993</v>
      </c>
      <c r="D117" s="138" t="s">
        <v>390</v>
      </c>
      <c r="E117" s="162" t="s">
        <v>155</v>
      </c>
      <c r="F117" s="138" t="s">
        <v>543</v>
      </c>
      <c r="G117" s="138" t="s">
        <v>544</v>
      </c>
      <c r="H117" s="163" t="s">
        <v>185</v>
      </c>
      <c r="I117" s="164" t="s">
        <v>185</v>
      </c>
      <c r="J117" s="200" t="s">
        <v>185</v>
      </c>
      <c r="K117" s="176" t="s">
        <v>185</v>
      </c>
      <c r="L117" s="176" t="s">
        <v>185</v>
      </c>
      <c r="M117" s="176" t="s">
        <v>185</v>
      </c>
      <c r="N117" s="222" t="s">
        <v>1341</v>
      </c>
      <c r="O117" s="212">
        <v>2</v>
      </c>
      <c r="P117" s="214" t="s">
        <v>1342</v>
      </c>
      <c r="Q117" s="214" t="s">
        <v>1343</v>
      </c>
      <c r="R117" s="451" t="s">
        <v>1344</v>
      </c>
      <c r="S117" s="214" t="s">
        <v>1345</v>
      </c>
      <c r="T117" s="214" t="s">
        <v>1346</v>
      </c>
      <c r="U117" s="258" t="s">
        <v>162</v>
      </c>
      <c r="V117" s="168" t="s">
        <v>1565</v>
      </c>
      <c r="W117" s="158" t="s">
        <v>967</v>
      </c>
      <c r="X117" s="158" t="s">
        <v>185</v>
      </c>
      <c r="Y117" s="158" t="s">
        <v>185</v>
      </c>
      <c r="Z117" s="158"/>
      <c r="AA117" s="158" t="str">
        <f>IF(GCP[[#This Row],[Column14]]="-","", "v")</f>
        <v>v</v>
      </c>
      <c r="AB117" s="158" t="str">
        <f>IF(GCP[[#This Row],[Column8]]="x","1",(IF(OR(GCP[[#This Row],[Column25]]=2,GCP[[#This Row],[Column26]]=2,GCP[[#This Row],[Column27]]=2),"1",(IF(GCP[[#This Row],[Column9]]="x","2",(IF(GCP[[#This Row],[Column10]]="x","3","")))))))</f>
        <v>1</v>
      </c>
      <c r="AC117" s="454" t="str">
        <f>IF(GCP[[#This Row],[Column14]] = "-", GCP[[#This Row],[Column14]], LEFT(GCP[[#This Row],[Column14]], SEARCH(" ", GCP[[#This Row],[Column14]] &amp; " ") - 1))</f>
        <v>2.7</v>
      </c>
    </row>
    <row r="118" spans="1:29" ht="409.5">
      <c r="A11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8" s="137" t="str">
        <f>GCP[[#This Row],[Column30]]</f>
        <v>2.8</v>
      </c>
      <c r="C118" s="137">
        <v>8.1999999999999993</v>
      </c>
      <c r="D118" s="138" t="s">
        <v>390</v>
      </c>
      <c r="E118" s="162" t="s">
        <v>155</v>
      </c>
      <c r="F118" s="138" t="s">
        <v>543</v>
      </c>
      <c r="G118" s="138" t="s">
        <v>544</v>
      </c>
      <c r="H118" s="163" t="s">
        <v>185</v>
      </c>
      <c r="I118" s="164" t="s">
        <v>185</v>
      </c>
      <c r="J118" s="200" t="s">
        <v>185</v>
      </c>
      <c r="K118" s="176" t="s">
        <v>185</v>
      </c>
      <c r="L118" s="176" t="s">
        <v>185</v>
      </c>
      <c r="M118" s="176" t="s">
        <v>185</v>
      </c>
      <c r="N118" s="222" t="s">
        <v>1347</v>
      </c>
      <c r="O118" s="212">
        <v>2</v>
      </c>
      <c r="P118" s="214" t="s">
        <v>1348</v>
      </c>
      <c r="Q118" s="214" t="s">
        <v>1349</v>
      </c>
      <c r="R118" s="451" t="s">
        <v>1350</v>
      </c>
      <c r="S118" s="214" t="s">
        <v>1351</v>
      </c>
      <c r="T118" s="214" t="s">
        <v>1352</v>
      </c>
      <c r="U118" s="258" t="s">
        <v>162</v>
      </c>
      <c r="V118" s="168" t="s">
        <v>1565</v>
      </c>
      <c r="W118" s="158" t="s">
        <v>967</v>
      </c>
      <c r="X118" s="158" t="s">
        <v>185</v>
      </c>
      <c r="Y118" s="158" t="s">
        <v>185</v>
      </c>
      <c r="Z118" s="158"/>
      <c r="AA118" s="158" t="str">
        <f>IF(GCP[[#This Row],[Column14]]="-","", "v")</f>
        <v>v</v>
      </c>
      <c r="AB118" s="158" t="str">
        <f>IF(GCP[[#This Row],[Column8]]="x","1",(IF(OR(GCP[[#This Row],[Column25]]=2,GCP[[#This Row],[Column26]]=2,GCP[[#This Row],[Column27]]=2),"1",(IF(GCP[[#This Row],[Column9]]="x","2",(IF(GCP[[#This Row],[Column10]]="x","3","")))))))</f>
        <v>1</v>
      </c>
      <c r="AC118" s="454" t="str">
        <f>IF(GCP[[#This Row],[Column14]] = "-", GCP[[#This Row],[Column14]], LEFT(GCP[[#This Row],[Column14]], SEARCH(" ", GCP[[#This Row],[Column14]] &amp; " ") - 1))</f>
        <v>2.8</v>
      </c>
    </row>
    <row r="119" spans="1:29" ht="409.5">
      <c r="A11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19" s="137" t="str">
        <f>GCP[[#This Row],[Column30]]</f>
        <v>2.9</v>
      </c>
      <c r="C119" s="137">
        <v>8.1999999999999993</v>
      </c>
      <c r="D119" s="138" t="s">
        <v>390</v>
      </c>
      <c r="E119" s="162" t="s">
        <v>155</v>
      </c>
      <c r="F119" s="138" t="s">
        <v>543</v>
      </c>
      <c r="G119" s="138" t="s">
        <v>544</v>
      </c>
      <c r="H119" s="163" t="s">
        <v>185</v>
      </c>
      <c r="I119" s="164" t="s">
        <v>185</v>
      </c>
      <c r="J119" s="200" t="s">
        <v>185</v>
      </c>
      <c r="K119" s="176" t="s">
        <v>185</v>
      </c>
      <c r="L119" s="176" t="s">
        <v>185</v>
      </c>
      <c r="M119" s="176" t="s">
        <v>185</v>
      </c>
      <c r="N119" s="222" t="s">
        <v>1353</v>
      </c>
      <c r="O119" s="212">
        <v>2</v>
      </c>
      <c r="P119" s="214" t="s">
        <v>1354</v>
      </c>
      <c r="Q119" s="214" t="s">
        <v>1355</v>
      </c>
      <c r="R119" s="451" t="s">
        <v>1356</v>
      </c>
      <c r="S119" s="214" t="s">
        <v>1357</v>
      </c>
      <c r="T119" s="214" t="s">
        <v>1358</v>
      </c>
      <c r="U119" s="258" t="s">
        <v>162</v>
      </c>
      <c r="V119" s="168" t="s">
        <v>1565</v>
      </c>
      <c r="W119" s="158" t="s">
        <v>967</v>
      </c>
      <c r="X119" s="158" t="s">
        <v>185</v>
      </c>
      <c r="Y119" s="158" t="s">
        <v>185</v>
      </c>
      <c r="Z119" s="158"/>
      <c r="AA119" s="158" t="str">
        <f>IF(GCP[[#This Row],[Column14]]="-","", "v")</f>
        <v>v</v>
      </c>
      <c r="AB119" s="158" t="str">
        <f>IF(GCP[[#This Row],[Column8]]="x","1",(IF(OR(GCP[[#This Row],[Column25]]=2,GCP[[#This Row],[Column26]]=2,GCP[[#This Row],[Column27]]=2),"1",(IF(GCP[[#This Row],[Column9]]="x","2",(IF(GCP[[#This Row],[Column10]]="x","3","")))))))</f>
        <v>1</v>
      </c>
      <c r="AC119" s="454" t="str">
        <f>IF(GCP[[#This Row],[Column14]] = "-", GCP[[#This Row],[Column14]], LEFT(GCP[[#This Row],[Column14]], SEARCH(" ", GCP[[#This Row],[Column14]] &amp; " ") - 1))</f>
        <v>2.9</v>
      </c>
    </row>
    <row r="120" spans="1:29" ht="409.5">
      <c r="A12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0" s="137" t="str">
        <f>GCP[[#This Row],[Column30]]</f>
        <v>2.10</v>
      </c>
      <c r="C120" s="137">
        <v>8.1999999999999993</v>
      </c>
      <c r="D120" s="138" t="s">
        <v>390</v>
      </c>
      <c r="E120" s="162" t="s">
        <v>155</v>
      </c>
      <c r="F120" s="138" t="s">
        <v>543</v>
      </c>
      <c r="G120" s="138" t="s">
        <v>544</v>
      </c>
      <c r="H120" s="163" t="s">
        <v>185</v>
      </c>
      <c r="I120" s="164" t="s">
        <v>185</v>
      </c>
      <c r="J120" s="200" t="s">
        <v>185</v>
      </c>
      <c r="K120" s="176" t="s">
        <v>185</v>
      </c>
      <c r="L120" s="176" t="s">
        <v>185</v>
      </c>
      <c r="M120" s="176" t="s">
        <v>185</v>
      </c>
      <c r="N120" s="222" t="s">
        <v>1359</v>
      </c>
      <c r="O120" s="212">
        <v>2</v>
      </c>
      <c r="P120" s="214" t="s">
        <v>1360</v>
      </c>
      <c r="Q120" s="214" t="s">
        <v>1361</v>
      </c>
      <c r="R120" s="451" t="s">
        <v>1362</v>
      </c>
      <c r="S120" s="214" t="s">
        <v>1363</v>
      </c>
      <c r="T120" s="214" t="s">
        <v>1364</v>
      </c>
      <c r="U120" s="258" t="s">
        <v>162</v>
      </c>
      <c r="V120" s="168" t="s">
        <v>1565</v>
      </c>
      <c r="W120" s="158" t="s">
        <v>967</v>
      </c>
      <c r="X120" s="158" t="s">
        <v>185</v>
      </c>
      <c r="Y120" s="158" t="s">
        <v>185</v>
      </c>
      <c r="Z120" s="158"/>
      <c r="AA120" s="158" t="str">
        <f>IF(GCP[[#This Row],[Column14]]="-","", "v")</f>
        <v>v</v>
      </c>
      <c r="AB120" s="158" t="str">
        <f>IF(GCP[[#This Row],[Column8]]="x","1",(IF(OR(GCP[[#This Row],[Column25]]=2,GCP[[#This Row],[Column26]]=2,GCP[[#This Row],[Column27]]=2),"1",(IF(GCP[[#This Row],[Column9]]="x","2",(IF(GCP[[#This Row],[Column10]]="x","3","")))))))</f>
        <v>1</v>
      </c>
      <c r="AC120" s="454" t="str">
        <f>IF(GCP[[#This Row],[Column14]] = "-", GCP[[#This Row],[Column14]], LEFT(GCP[[#This Row],[Column14]], SEARCH(" ", GCP[[#This Row],[Column14]] &amp; " ") - 1))</f>
        <v>2.10</v>
      </c>
    </row>
    <row r="121" spans="1:29" ht="409.5">
      <c r="A12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1" s="137" t="str">
        <f>GCP[[#This Row],[Column30]]</f>
        <v>2.11</v>
      </c>
      <c r="C121" s="137">
        <v>8.1999999999999993</v>
      </c>
      <c r="D121" s="138" t="s">
        <v>390</v>
      </c>
      <c r="E121" s="162" t="s">
        <v>155</v>
      </c>
      <c r="F121" s="138" t="s">
        <v>543</v>
      </c>
      <c r="G121" s="138" t="s">
        <v>544</v>
      </c>
      <c r="H121" s="163" t="s">
        <v>185</v>
      </c>
      <c r="I121" s="164" t="s">
        <v>185</v>
      </c>
      <c r="J121" s="200" t="s">
        <v>185</v>
      </c>
      <c r="K121" s="176" t="s">
        <v>185</v>
      </c>
      <c r="L121" s="176" t="s">
        <v>185</v>
      </c>
      <c r="M121" s="176" t="s">
        <v>185</v>
      </c>
      <c r="N121" s="222" t="s">
        <v>1365</v>
      </c>
      <c r="O121" s="212">
        <v>2</v>
      </c>
      <c r="P121" s="214" t="s">
        <v>1366</v>
      </c>
      <c r="Q121" s="214" t="s">
        <v>1367</v>
      </c>
      <c r="R121" s="451" t="s">
        <v>1368</v>
      </c>
      <c r="S121" s="214" t="s">
        <v>1369</v>
      </c>
      <c r="T121" s="214" t="s">
        <v>1370</v>
      </c>
      <c r="U121" s="258" t="s">
        <v>162</v>
      </c>
      <c r="V121" s="168" t="s">
        <v>1565</v>
      </c>
      <c r="W121" s="158" t="s">
        <v>967</v>
      </c>
      <c r="X121" s="158" t="s">
        <v>185</v>
      </c>
      <c r="Y121" s="158" t="s">
        <v>185</v>
      </c>
      <c r="Z121" s="158"/>
      <c r="AA121" s="158" t="str">
        <f>IF(GCP[[#This Row],[Column14]]="-","", "v")</f>
        <v>v</v>
      </c>
      <c r="AB121" s="158" t="str">
        <f>IF(GCP[[#This Row],[Column8]]="x","1",(IF(OR(GCP[[#This Row],[Column25]]=2,GCP[[#This Row],[Column26]]=2,GCP[[#This Row],[Column27]]=2),"1",(IF(GCP[[#This Row],[Column9]]="x","2",(IF(GCP[[#This Row],[Column10]]="x","3","")))))))</f>
        <v>1</v>
      </c>
      <c r="AC121" s="454" t="str">
        <f>IF(GCP[[#This Row],[Column14]] = "-", GCP[[#This Row],[Column14]], LEFT(GCP[[#This Row],[Column14]], SEARCH(" ", GCP[[#This Row],[Column14]] &amp; " ") - 1))</f>
        <v>2.11</v>
      </c>
    </row>
    <row r="122" spans="1:29" ht="409.5">
      <c r="A12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2" s="137" t="str">
        <f>GCP[[#This Row],[Column30]]</f>
        <v>2.12</v>
      </c>
      <c r="C122" s="137">
        <v>8.1999999999999993</v>
      </c>
      <c r="D122" s="138" t="s">
        <v>390</v>
      </c>
      <c r="E122" s="162" t="s">
        <v>155</v>
      </c>
      <c r="F122" s="138" t="s">
        <v>543</v>
      </c>
      <c r="G122" s="138" t="s">
        <v>544</v>
      </c>
      <c r="H122" s="163" t="s">
        <v>185</v>
      </c>
      <c r="I122" s="164" t="s">
        <v>185</v>
      </c>
      <c r="J122" s="200" t="s">
        <v>185</v>
      </c>
      <c r="K122" s="176" t="s">
        <v>185</v>
      </c>
      <c r="L122" s="176" t="s">
        <v>185</v>
      </c>
      <c r="M122" s="176" t="s">
        <v>185</v>
      </c>
      <c r="N122" s="222" t="s">
        <v>1371</v>
      </c>
      <c r="O122" s="212">
        <v>1</v>
      </c>
      <c r="P122" s="214" t="s">
        <v>1372</v>
      </c>
      <c r="Q122" s="214" t="s">
        <v>1373</v>
      </c>
      <c r="R122" s="451" t="s">
        <v>1374</v>
      </c>
      <c r="S122" s="214" t="s">
        <v>1375</v>
      </c>
      <c r="T122" s="214" t="s">
        <v>1376</v>
      </c>
      <c r="U122" s="158" t="s">
        <v>162</v>
      </c>
      <c r="V122" s="168" t="s">
        <v>1530</v>
      </c>
      <c r="W122" s="158" t="s">
        <v>967</v>
      </c>
      <c r="X122" s="158" t="s">
        <v>185</v>
      </c>
      <c r="Y122" s="158" t="s">
        <v>185</v>
      </c>
      <c r="Z122" s="158"/>
      <c r="AA122" s="158" t="str">
        <f>IF(GCP[[#This Row],[Column14]]="-","", "v")</f>
        <v>v</v>
      </c>
      <c r="AB122" s="158" t="str">
        <f>IF(GCP[[#This Row],[Column8]]="x","1",(IF(OR(GCP[[#This Row],[Column25]]=2,GCP[[#This Row],[Column26]]=2,GCP[[#This Row],[Column27]]=2),"1",(IF(GCP[[#This Row],[Column9]]="x","2",(IF(GCP[[#This Row],[Column10]]="x","3","")))))))</f>
        <v>1</v>
      </c>
      <c r="AC122" s="454" t="str">
        <f>IF(GCP[[#This Row],[Column14]] = "-", GCP[[#This Row],[Column14]], LEFT(GCP[[#This Row],[Column14]], SEARCH(" ", GCP[[#This Row],[Column14]] &amp; " ") - 1))</f>
        <v>2.12</v>
      </c>
    </row>
    <row r="123" spans="1:29" ht="409.5">
      <c r="A12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3" s="137" t="str">
        <f>GCP[[#This Row],[Column30]]</f>
        <v>2.14</v>
      </c>
      <c r="C123" s="137">
        <v>8.1999999999999993</v>
      </c>
      <c r="D123" s="138" t="s">
        <v>390</v>
      </c>
      <c r="E123" s="162" t="s">
        <v>155</v>
      </c>
      <c r="F123" s="138" t="s">
        <v>543</v>
      </c>
      <c r="G123" s="138" t="s">
        <v>544</v>
      </c>
      <c r="H123" s="163" t="s">
        <v>185</v>
      </c>
      <c r="I123" s="164" t="s">
        <v>185</v>
      </c>
      <c r="J123" s="200" t="s">
        <v>185</v>
      </c>
      <c r="K123" s="176" t="s">
        <v>185</v>
      </c>
      <c r="L123" s="176" t="s">
        <v>185</v>
      </c>
      <c r="M123" s="176" t="s">
        <v>185</v>
      </c>
      <c r="N123" s="222" t="s">
        <v>1377</v>
      </c>
      <c r="O123" s="212">
        <v>2</v>
      </c>
      <c r="P123" s="214" t="s">
        <v>1378</v>
      </c>
      <c r="Q123" s="214" t="s">
        <v>1379</v>
      </c>
      <c r="R123" s="451" t="s">
        <v>1380</v>
      </c>
      <c r="S123" s="214" t="s">
        <v>1381</v>
      </c>
      <c r="T123" s="214" t="s">
        <v>1382</v>
      </c>
      <c r="U123" s="158" t="s">
        <v>162</v>
      </c>
      <c r="V123" s="168" t="s">
        <v>1566</v>
      </c>
      <c r="W123" s="158" t="s">
        <v>967</v>
      </c>
      <c r="X123" s="158" t="s">
        <v>185</v>
      </c>
      <c r="Y123" s="158" t="s">
        <v>185</v>
      </c>
      <c r="Z123" s="158"/>
      <c r="AA123" s="158" t="str">
        <f>IF(GCP[[#This Row],[Column14]]="-","", "v")</f>
        <v>v</v>
      </c>
      <c r="AB123" s="158" t="str">
        <f>IF(GCP[[#This Row],[Column8]]="x","1",(IF(OR(GCP[[#This Row],[Column25]]=2,GCP[[#This Row],[Column26]]=2,GCP[[#This Row],[Column27]]=2),"1",(IF(GCP[[#This Row],[Column9]]="x","2",(IF(GCP[[#This Row],[Column10]]="x","3","")))))))</f>
        <v>1</v>
      </c>
      <c r="AC123" s="454" t="str">
        <f>IF(GCP[[#This Row],[Column14]] = "-", GCP[[#This Row],[Column14]], LEFT(GCP[[#This Row],[Column14]], SEARCH(" ", GCP[[#This Row],[Column14]] &amp; " ") - 1))</f>
        <v>2.14</v>
      </c>
    </row>
    <row r="124" spans="1:29" ht="370.5">
      <c r="A12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4" s="137" t="str">
        <f>GCP[[#This Row],[Column30]]</f>
        <v>2.16</v>
      </c>
      <c r="C124" s="137">
        <v>8.1999999999999993</v>
      </c>
      <c r="D124" s="138" t="s">
        <v>390</v>
      </c>
      <c r="E124" s="162" t="s">
        <v>155</v>
      </c>
      <c r="F124" s="138" t="s">
        <v>543</v>
      </c>
      <c r="G124" s="138" t="s">
        <v>544</v>
      </c>
      <c r="H124" s="163" t="s">
        <v>185</v>
      </c>
      <c r="I124" s="164" t="s">
        <v>185</v>
      </c>
      <c r="J124" s="200" t="s">
        <v>185</v>
      </c>
      <c r="K124" s="176" t="s">
        <v>185</v>
      </c>
      <c r="L124" s="176" t="s">
        <v>185</v>
      </c>
      <c r="M124" s="176" t="s">
        <v>185</v>
      </c>
      <c r="N124" s="222" t="s">
        <v>2032</v>
      </c>
      <c r="O124" s="212">
        <v>2</v>
      </c>
      <c r="P124" s="214" t="s">
        <v>1383</v>
      </c>
      <c r="Q124" s="214" t="s">
        <v>1384</v>
      </c>
      <c r="R124" s="451" t="s">
        <v>1385</v>
      </c>
      <c r="S124" s="214" t="s">
        <v>1386</v>
      </c>
      <c r="T124" s="214" t="s">
        <v>1387</v>
      </c>
      <c r="U124" s="158" t="s">
        <v>975</v>
      </c>
      <c r="V124" s="168" t="s">
        <v>1567</v>
      </c>
      <c r="W124" s="158" t="s">
        <v>966</v>
      </c>
      <c r="X124" s="158" t="s">
        <v>185</v>
      </c>
      <c r="Y124" s="158" t="s">
        <v>185</v>
      </c>
      <c r="Z124" s="158"/>
      <c r="AA124" s="158" t="str">
        <f>IF(GCP[[#This Row],[Column14]]="-","", "v")</f>
        <v>v</v>
      </c>
      <c r="AB124" s="158" t="str">
        <f>IF(GCP[[#This Row],[Column8]]="x","1",(IF(OR(GCP[[#This Row],[Column25]]=2,GCP[[#This Row],[Column26]]=2,GCP[[#This Row],[Column27]]=2),"1",(IF(GCP[[#This Row],[Column9]]="x","2",(IF(GCP[[#This Row],[Column10]]="x","3","")))))))</f>
        <v>1</v>
      </c>
      <c r="AC124" s="454" t="str">
        <f>IF(GCP[[#This Row],[Column14]] = "-", GCP[[#This Row],[Column14]], LEFT(GCP[[#This Row],[Column14]], SEARCH(" ", GCP[[#This Row],[Column14]] &amp; " ") - 1))</f>
        <v>2.16</v>
      </c>
    </row>
    <row r="125" spans="1:29" ht="409.5">
      <c r="A12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5" s="137" t="str">
        <f>GCP[[#This Row],[Column30]]</f>
        <v>3.8</v>
      </c>
      <c r="C125" s="137">
        <v>8.1999999999999993</v>
      </c>
      <c r="D125" s="138" t="s">
        <v>390</v>
      </c>
      <c r="E125" s="162" t="s">
        <v>155</v>
      </c>
      <c r="F125" s="138" t="s">
        <v>543</v>
      </c>
      <c r="G125" s="138" t="s">
        <v>544</v>
      </c>
      <c r="H125" s="163" t="s">
        <v>185</v>
      </c>
      <c r="I125" s="164" t="s">
        <v>185</v>
      </c>
      <c r="J125" s="200" t="s">
        <v>185</v>
      </c>
      <c r="K125" s="176" t="s">
        <v>185</v>
      </c>
      <c r="L125" s="176" t="s">
        <v>185</v>
      </c>
      <c r="M125" s="176" t="s">
        <v>185</v>
      </c>
      <c r="N125" s="222" t="s">
        <v>1388</v>
      </c>
      <c r="O125" s="212">
        <v>2</v>
      </c>
      <c r="P125" s="214" t="s">
        <v>1389</v>
      </c>
      <c r="Q125" s="214" t="s">
        <v>1390</v>
      </c>
      <c r="R125" s="451" t="s">
        <v>1391</v>
      </c>
      <c r="S125" s="214" t="s">
        <v>1392</v>
      </c>
      <c r="T125" s="214" t="s">
        <v>1393</v>
      </c>
      <c r="U125" s="158" t="s">
        <v>162</v>
      </c>
      <c r="V125" s="168" t="s">
        <v>1568</v>
      </c>
      <c r="W125" s="158" t="s">
        <v>967</v>
      </c>
      <c r="X125" s="158" t="s">
        <v>185</v>
      </c>
      <c r="Y125" s="158" t="s">
        <v>185</v>
      </c>
      <c r="Z125" s="158"/>
      <c r="AA125" s="158" t="str">
        <f>IF(GCP[[#This Row],[Column14]]="-","", "v")</f>
        <v>v</v>
      </c>
      <c r="AB125" s="158" t="str">
        <f>IF(GCP[[#This Row],[Column8]]="x","1",(IF(OR(GCP[[#This Row],[Column25]]=2,GCP[[#This Row],[Column26]]=2,GCP[[#This Row],[Column27]]=2),"1",(IF(GCP[[#This Row],[Column9]]="x","2",(IF(GCP[[#This Row],[Column10]]="x","3","")))))))</f>
        <v>1</v>
      </c>
      <c r="AC125" s="454" t="str">
        <f>IF(GCP[[#This Row],[Column14]] = "-", GCP[[#This Row],[Column14]], LEFT(GCP[[#This Row],[Column14]], SEARCH(" ", GCP[[#This Row],[Column14]] &amp; " ") - 1))</f>
        <v>3.8</v>
      </c>
    </row>
    <row r="126" spans="1:29" ht="409.5">
      <c r="A12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6" s="137" t="str">
        <f>GCP[[#This Row],[Column30]]</f>
        <v>2.2</v>
      </c>
      <c r="C126" s="137">
        <v>8.3000000000000007</v>
      </c>
      <c r="D126" s="138" t="s">
        <v>390</v>
      </c>
      <c r="E126" s="162" t="s">
        <v>156</v>
      </c>
      <c r="F126" s="138" t="s">
        <v>552</v>
      </c>
      <c r="G126" s="138" t="s">
        <v>553</v>
      </c>
      <c r="H126" s="163" t="s">
        <v>185</v>
      </c>
      <c r="I126" s="164" t="s">
        <v>185</v>
      </c>
      <c r="J126" s="200" t="s">
        <v>185</v>
      </c>
      <c r="K126" s="176" t="s">
        <v>185</v>
      </c>
      <c r="L126" s="176" t="s">
        <v>185</v>
      </c>
      <c r="M126" s="176" t="s">
        <v>185</v>
      </c>
      <c r="N126" s="222" t="s">
        <v>1317</v>
      </c>
      <c r="O126" s="212">
        <v>1</v>
      </c>
      <c r="P126" s="214" t="s">
        <v>1318</v>
      </c>
      <c r="Q126" s="214" t="s">
        <v>1319</v>
      </c>
      <c r="R126" s="451" t="s">
        <v>1320</v>
      </c>
      <c r="S126" s="214" t="s">
        <v>1321</v>
      </c>
      <c r="T126" s="214" t="s">
        <v>1322</v>
      </c>
      <c r="U126" s="158" t="s">
        <v>975</v>
      </c>
      <c r="V126" s="168" t="s">
        <v>1564</v>
      </c>
      <c r="W126" s="158" t="s">
        <v>966</v>
      </c>
      <c r="X126" s="158" t="s">
        <v>185</v>
      </c>
      <c r="Y126" s="158" t="s">
        <v>185</v>
      </c>
      <c r="Z126" s="158"/>
      <c r="AA126" s="158" t="str">
        <f>IF(GCP[[#This Row],[Column14]]="-","", "v")</f>
        <v>v</v>
      </c>
      <c r="AB126" s="158" t="str">
        <f>IF(GCP[[#This Row],[Column8]]="x","1",(IF(OR(GCP[[#This Row],[Column25]]=2,GCP[[#This Row],[Column26]]=2,GCP[[#This Row],[Column27]]=2),"1",(IF(GCP[[#This Row],[Column9]]="x","2",(IF(GCP[[#This Row],[Column10]]="x","3","")))))))</f>
        <v>1</v>
      </c>
      <c r="AC126" s="454" t="str">
        <f>IF(GCP[[#This Row],[Column14]] = "-", GCP[[#This Row],[Column14]], LEFT(GCP[[#This Row],[Column14]], SEARCH(" ", GCP[[#This Row],[Column14]] &amp; " ") - 1))</f>
        <v>2.2</v>
      </c>
    </row>
    <row r="127" spans="1:29" ht="30">
      <c r="A12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7" s="137" t="str">
        <f>GCP[[#This Row],[Column30]]</f>
        <v>-</v>
      </c>
      <c r="C127" s="137">
        <v>8.4</v>
      </c>
      <c r="D127" s="138" t="s">
        <v>390</v>
      </c>
      <c r="E127" s="162" t="s">
        <v>156</v>
      </c>
      <c r="F127" s="138" t="s">
        <v>554</v>
      </c>
      <c r="G127" s="138" t="s">
        <v>555</v>
      </c>
      <c r="H127" s="137"/>
      <c r="I127" s="164" t="s">
        <v>185</v>
      </c>
      <c r="J127" s="200" t="s">
        <v>185</v>
      </c>
      <c r="K127" s="176" t="s">
        <v>185</v>
      </c>
      <c r="L127" s="158"/>
      <c r="M127" s="158"/>
      <c r="N127" s="222" t="s">
        <v>162</v>
      </c>
      <c r="O127" s="222" t="s">
        <v>162</v>
      </c>
      <c r="P127" s="222" t="s">
        <v>162</v>
      </c>
      <c r="Q127" s="222" t="s">
        <v>162</v>
      </c>
      <c r="R127" s="451"/>
      <c r="S127" s="222" t="s">
        <v>162</v>
      </c>
      <c r="T127" s="222" t="s">
        <v>162</v>
      </c>
      <c r="U127" s="258" t="s">
        <v>162</v>
      </c>
      <c r="V127" s="168"/>
      <c r="W127" s="158" t="s">
        <v>966</v>
      </c>
      <c r="X127" s="158" t="s">
        <v>185</v>
      </c>
      <c r="Y127" s="158" t="s">
        <v>185</v>
      </c>
      <c r="Z127" s="158"/>
      <c r="AA127" s="158" t="str">
        <f>IF(GCP[[#This Row],[Column14]]="-","", "v")</f>
        <v/>
      </c>
      <c r="AB127" s="158" t="str">
        <f>IF(GCP[[#This Row],[Column8]]="x","1",(IF(OR(GCP[[#This Row],[Column25]]=2,GCP[[#This Row],[Column26]]=2,GCP[[#This Row],[Column27]]=2),"1",(IF(GCP[[#This Row],[Column9]]="x","2",(IF(GCP[[#This Row],[Column10]]="x","3","")))))))</f>
        <v>2</v>
      </c>
      <c r="AC127" s="454" t="str">
        <f>IF(GCP[[#This Row],[Column14]] = "-", GCP[[#This Row],[Column14]], LEFT(GCP[[#This Row],[Column14]], SEARCH(" ", GCP[[#This Row],[Column14]] &amp; " ") - 1))</f>
        <v>-</v>
      </c>
    </row>
    <row r="128" spans="1:29" ht="409.5">
      <c r="A12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8" s="137" t="str">
        <f>GCP[[#This Row],[Column30]]</f>
        <v>2.5</v>
      </c>
      <c r="C128" s="137">
        <v>8.5</v>
      </c>
      <c r="D128" s="138" t="s">
        <v>390</v>
      </c>
      <c r="E128" s="162" t="s">
        <v>155</v>
      </c>
      <c r="F128" s="138" t="s">
        <v>556</v>
      </c>
      <c r="G128" s="138" t="s">
        <v>557</v>
      </c>
      <c r="H128" s="204"/>
      <c r="I128" s="164" t="s">
        <v>185</v>
      </c>
      <c r="J128" s="200" t="s">
        <v>185</v>
      </c>
      <c r="K128" s="176" t="s">
        <v>185</v>
      </c>
      <c r="L128" s="176" t="s">
        <v>185</v>
      </c>
      <c r="M128" s="176" t="s">
        <v>185</v>
      </c>
      <c r="N128" s="222" t="s">
        <v>1329</v>
      </c>
      <c r="O128" s="212">
        <v>1</v>
      </c>
      <c r="P128" s="214" t="s">
        <v>1330</v>
      </c>
      <c r="Q128" s="214" t="s">
        <v>1331</v>
      </c>
      <c r="R128" s="451" t="s">
        <v>1332</v>
      </c>
      <c r="S128" s="214" t="s">
        <v>1333</v>
      </c>
      <c r="T128" s="214" t="s">
        <v>1334</v>
      </c>
      <c r="U128" s="258" t="s">
        <v>162</v>
      </c>
      <c r="V128" s="168" t="s">
        <v>1565</v>
      </c>
      <c r="W128" s="158" t="s">
        <v>967</v>
      </c>
      <c r="X128" s="158" t="s">
        <v>185</v>
      </c>
      <c r="Y128" s="158" t="s">
        <v>185</v>
      </c>
      <c r="Z128" s="158"/>
      <c r="AA128" s="158" t="str">
        <f>IF(GCP[[#This Row],[Column14]]="-","", "v")</f>
        <v>v</v>
      </c>
      <c r="AB128" s="158" t="str">
        <f>IF(GCP[[#This Row],[Column8]]="x","1",(IF(OR(GCP[[#This Row],[Column25]]=2,GCP[[#This Row],[Column26]]=2,GCP[[#This Row],[Column27]]=2),"1",(IF(GCP[[#This Row],[Column9]]="x","2",(IF(GCP[[#This Row],[Column10]]="x","3","")))))))</f>
        <v>2</v>
      </c>
      <c r="AC128" s="454" t="str">
        <f>IF(GCP[[#This Row],[Column14]] = "-", GCP[[#This Row],[Column14]], LEFT(GCP[[#This Row],[Column14]], SEARCH(" ", GCP[[#This Row],[Column14]] &amp; " ") - 1))</f>
        <v>2.5</v>
      </c>
    </row>
    <row r="129" spans="1:29" ht="409.5">
      <c r="A12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29" s="137" t="str">
        <f>GCP[[#This Row],[Column30]]</f>
        <v>2.6</v>
      </c>
      <c r="C129" s="137">
        <v>8.5</v>
      </c>
      <c r="D129" s="138" t="s">
        <v>390</v>
      </c>
      <c r="E129" s="162" t="s">
        <v>155</v>
      </c>
      <c r="F129" s="138" t="s">
        <v>556</v>
      </c>
      <c r="G129" s="138" t="s">
        <v>557</v>
      </c>
      <c r="H129" s="204"/>
      <c r="I129" s="164" t="s">
        <v>185</v>
      </c>
      <c r="J129" s="200" t="s">
        <v>185</v>
      </c>
      <c r="K129" s="176" t="s">
        <v>185</v>
      </c>
      <c r="L129" s="176" t="s">
        <v>185</v>
      </c>
      <c r="M129" s="176" t="s">
        <v>185</v>
      </c>
      <c r="N129" s="222" t="s">
        <v>1335</v>
      </c>
      <c r="O129" s="212">
        <v>1</v>
      </c>
      <c r="P129" s="214" t="s">
        <v>1336</v>
      </c>
      <c r="Q129" s="214" t="s">
        <v>1337</v>
      </c>
      <c r="R129" s="451" t="s">
        <v>1338</v>
      </c>
      <c r="S129" s="214" t="s">
        <v>1339</v>
      </c>
      <c r="T129" s="214" t="s">
        <v>1340</v>
      </c>
      <c r="U129" s="258" t="s">
        <v>162</v>
      </c>
      <c r="V129" s="168" t="s">
        <v>1565</v>
      </c>
      <c r="W129" s="158" t="s">
        <v>967</v>
      </c>
      <c r="X129" s="158" t="s">
        <v>185</v>
      </c>
      <c r="Y129" s="158" t="s">
        <v>185</v>
      </c>
      <c r="Z129" s="158"/>
      <c r="AA129" s="158" t="str">
        <f>IF(GCP[[#This Row],[Column14]]="-","", "v")</f>
        <v>v</v>
      </c>
      <c r="AB129" s="158" t="str">
        <f>IF(GCP[[#This Row],[Column8]]="x","1",(IF(OR(GCP[[#This Row],[Column25]]=2,GCP[[#This Row],[Column26]]=2,GCP[[#This Row],[Column27]]=2),"1",(IF(GCP[[#This Row],[Column9]]="x","2",(IF(GCP[[#This Row],[Column10]]="x","3","")))))))</f>
        <v>2</v>
      </c>
      <c r="AC129" s="454" t="str">
        <f>IF(GCP[[#This Row],[Column14]] = "-", GCP[[#This Row],[Column14]], LEFT(GCP[[#This Row],[Column14]], SEARCH(" ", GCP[[#This Row],[Column14]] &amp; " ") - 1))</f>
        <v>2.6</v>
      </c>
    </row>
    <row r="130" spans="1:29" ht="409.5">
      <c r="A13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0" s="137" t="str">
        <f>GCP[[#This Row],[Column30]]</f>
        <v>2.7</v>
      </c>
      <c r="C130" s="137">
        <v>8.5</v>
      </c>
      <c r="D130" s="138" t="s">
        <v>390</v>
      </c>
      <c r="E130" s="162" t="s">
        <v>155</v>
      </c>
      <c r="F130" s="138" t="s">
        <v>556</v>
      </c>
      <c r="G130" s="138" t="s">
        <v>557</v>
      </c>
      <c r="H130" s="204"/>
      <c r="I130" s="164" t="s">
        <v>185</v>
      </c>
      <c r="J130" s="200" t="s">
        <v>185</v>
      </c>
      <c r="K130" s="176" t="s">
        <v>185</v>
      </c>
      <c r="L130" s="176" t="s">
        <v>185</v>
      </c>
      <c r="M130" s="176" t="s">
        <v>185</v>
      </c>
      <c r="N130" s="222" t="s">
        <v>1341</v>
      </c>
      <c r="O130" s="212">
        <v>2</v>
      </c>
      <c r="P130" s="214" t="s">
        <v>1342</v>
      </c>
      <c r="Q130" s="214" t="s">
        <v>1343</v>
      </c>
      <c r="R130" s="451" t="s">
        <v>1344</v>
      </c>
      <c r="S130" s="214" t="s">
        <v>1345</v>
      </c>
      <c r="T130" s="214" t="s">
        <v>1346</v>
      </c>
      <c r="U130" s="258" t="s">
        <v>162</v>
      </c>
      <c r="V130" s="168" t="s">
        <v>1565</v>
      </c>
      <c r="W130" s="158" t="s">
        <v>967</v>
      </c>
      <c r="X130" s="158" t="s">
        <v>185</v>
      </c>
      <c r="Y130" s="158" t="s">
        <v>185</v>
      </c>
      <c r="Z130" s="158"/>
      <c r="AA130" s="158" t="str">
        <f>IF(GCP[[#This Row],[Column14]]="-","", "v")</f>
        <v>v</v>
      </c>
      <c r="AB130" s="158" t="str">
        <f>IF(GCP[[#This Row],[Column8]]="x","1",(IF(OR(GCP[[#This Row],[Column25]]=2,GCP[[#This Row],[Column26]]=2,GCP[[#This Row],[Column27]]=2),"1",(IF(GCP[[#This Row],[Column9]]="x","2",(IF(GCP[[#This Row],[Column10]]="x","3","")))))))</f>
        <v>2</v>
      </c>
      <c r="AC130" s="454" t="str">
        <f>IF(GCP[[#This Row],[Column14]] = "-", GCP[[#This Row],[Column14]], LEFT(GCP[[#This Row],[Column14]], SEARCH(" ", GCP[[#This Row],[Column14]] &amp; " ") - 1))</f>
        <v>2.7</v>
      </c>
    </row>
    <row r="131" spans="1:29" ht="409.5">
      <c r="A13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1" s="137" t="str">
        <f>GCP[[#This Row],[Column30]]</f>
        <v>2.8</v>
      </c>
      <c r="C131" s="137">
        <v>8.5</v>
      </c>
      <c r="D131" s="138" t="s">
        <v>390</v>
      </c>
      <c r="E131" s="162" t="s">
        <v>155</v>
      </c>
      <c r="F131" s="138" t="s">
        <v>556</v>
      </c>
      <c r="G131" s="138" t="s">
        <v>557</v>
      </c>
      <c r="H131" s="204"/>
      <c r="I131" s="164" t="s">
        <v>185</v>
      </c>
      <c r="J131" s="200" t="s">
        <v>185</v>
      </c>
      <c r="K131" s="176" t="s">
        <v>185</v>
      </c>
      <c r="L131" s="176" t="s">
        <v>185</v>
      </c>
      <c r="M131" s="176" t="s">
        <v>185</v>
      </c>
      <c r="N131" s="222" t="s">
        <v>1347</v>
      </c>
      <c r="O131" s="212">
        <v>2</v>
      </c>
      <c r="P131" s="214" t="s">
        <v>1348</v>
      </c>
      <c r="Q131" s="214" t="s">
        <v>1349</v>
      </c>
      <c r="R131" s="451" t="s">
        <v>1350</v>
      </c>
      <c r="S131" s="214" t="s">
        <v>1351</v>
      </c>
      <c r="T131" s="214" t="s">
        <v>1352</v>
      </c>
      <c r="U131" s="258" t="s">
        <v>162</v>
      </c>
      <c r="V131" s="168" t="s">
        <v>1565</v>
      </c>
      <c r="W131" s="158" t="s">
        <v>967</v>
      </c>
      <c r="X131" s="158" t="s">
        <v>185</v>
      </c>
      <c r="Y131" s="158" t="s">
        <v>185</v>
      </c>
      <c r="Z131" s="158"/>
      <c r="AA131" s="158" t="str">
        <f>IF(GCP[[#This Row],[Column14]]="-","", "v")</f>
        <v>v</v>
      </c>
      <c r="AB131" s="158" t="str">
        <f>IF(GCP[[#This Row],[Column8]]="x","1",(IF(OR(GCP[[#This Row],[Column25]]=2,GCP[[#This Row],[Column26]]=2,GCP[[#This Row],[Column27]]=2),"1",(IF(GCP[[#This Row],[Column9]]="x","2",(IF(GCP[[#This Row],[Column10]]="x","3","")))))))</f>
        <v>2</v>
      </c>
      <c r="AC131" s="454" t="str">
        <f>IF(GCP[[#This Row],[Column14]] = "-", GCP[[#This Row],[Column14]], LEFT(GCP[[#This Row],[Column14]], SEARCH(" ", GCP[[#This Row],[Column14]] &amp; " ") - 1))</f>
        <v>2.8</v>
      </c>
    </row>
    <row r="132" spans="1:29" ht="409.5">
      <c r="A13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2" s="137" t="str">
        <f>GCP[[#This Row],[Column30]]</f>
        <v>2.9</v>
      </c>
      <c r="C132" s="137">
        <v>8.5</v>
      </c>
      <c r="D132" s="138" t="s">
        <v>390</v>
      </c>
      <c r="E132" s="162" t="s">
        <v>155</v>
      </c>
      <c r="F132" s="138" t="s">
        <v>556</v>
      </c>
      <c r="G132" s="138" t="s">
        <v>557</v>
      </c>
      <c r="H132" s="204"/>
      <c r="I132" s="164" t="s">
        <v>185</v>
      </c>
      <c r="J132" s="200" t="s">
        <v>185</v>
      </c>
      <c r="K132" s="176" t="s">
        <v>185</v>
      </c>
      <c r="L132" s="176" t="s">
        <v>185</v>
      </c>
      <c r="M132" s="176" t="s">
        <v>185</v>
      </c>
      <c r="N132" s="222" t="s">
        <v>1353</v>
      </c>
      <c r="O132" s="212">
        <v>2</v>
      </c>
      <c r="P132" s="214" t="s">
        <v>1354</v>
      </c>
      <c r="Q132" s="214" t="s">
        <v>1355</v>
      </c>
      <c r="R132" s="451" t="s">
        <v>1356</v>
      </c>
      <c r="S132" s="214" t="s">
        <v>1357</v>
      </c>
      <c r="T132" s="214" t="s">
        <v>1358</v>
      </c>
      <c r="U132" s="258" t="s">
        <v>162</v>
      </c>
      <c r="V132" s="168" t="s">
        <v>1565</v>
      </c>
      <c r="W132" s="158" t="s">
        <v>967</v>
      </c>
      <c r="X132" s="158" t="s">
        <v>185</v>
      </c>
      <c r="Y132" s="158" t="s">
        <v>185</v>
      </c>
      <c r="Z132" s="158"/>
      <c r="AA132" s="158" t="str">
        <f>IF(GCP[[#This Row],[Column14]]="-","", "v")</f>
        <v>v</v>
      </c>
      <c r="AB132" s="158" t="str">
        <f>IF(GCP[[#This Row],[Column8]]="x","1",(IF(OR(GCP[[#This Row],[Column25]]=2,GCP[[#This Row],[Column26]]=2,GCP[[#This Row],[Column27]]=2),"1",(IF(GCP[[#This Row],[Column9]]="x","2",(IF(GCP[[#This Row],[Column10]]="x","3","")))))))</f>
        <v>2</v>
      </c>
      <c r="AC132" s="454" t="str">
        <f>IF(GCP[[#This Row],[Column14]] = "-", GCP[[#This Row],[Column14]], LEFT(GCP[[#This Row],[Column14]], SEARCH(" ", GCP[[#This Row],[Column14]] &amp; " ") - 1))</f>
        <v>2.9</v>
      </c>
    </row>
    <row r="133" spans="1:29" ht="409.5">
      <c r="A13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3" s="137" t="str">
        <f>GCP[[#This Row],[Column30]]</f>
        <v>2.10</v>
      </c>
      <c r="C133" s="137">
        <v>8.5</v>
      </c>
      <c r="D133" s="138" t="s">
        <v>390</v>
      </c>
      <c r="E133" s="162" t="s">
        <v>155</v>
      </c>
      <c r="F133" s="138" t="s">
        <v>556</v>
      </c>
      <c r="G133" s="138" t="s">
        <v>557</v>
      </c>
      <c r="H133" s="204"/>
      <c r="I133" s="164" t="s">
        <v>185</v>
      </c>
      <c r="J133" s="200" t="s">
        <v>185</v>
      </c>
      <c r="K133" s="176" t="s">
        <v>185</v>
      </c>
      <c r="L133" s="176" t="s">
        <v>185</v>
      </c>
      <c r="M133" s="176" t="s">
        <v>185</v>
      </c>
      <c r="N133" s="222" t="s">
        <v>1359</v>
      </c>
      <c r="O133" s="212">
        <v>2</v>
      </c>
      <c r="P133" s="214" t="s">
        <v>1360</v>
      </c>
      <c r="Q133" s="214" t="s">
        <v>1361</v>
      </c>
      <c r="R133" s="451" t="s">
        <v>1362</v>
      </c>
      <c r="S133" s="214" t="s">
        <v>1363</v>
      </c>
      <c r="T133" s="214" t="s">
        <v>1364</v>
      </c>
      <c r="U133" s="258" t="s">
        <v>162</v>
      </c>
      <c r="V133" s="168" t="s">
        <v>1565</v>
      </c>
      <c r="W133" s="158" t="s">
        <v>967</v>
      </c>
      <c r="X133" s="158" t="s">
        <v>185</v>
      </c>
      <c r="Y133" s="158" t="s">
        <v>185</v>
      </c>
      <c r="Z133" s="158"/>
      <c r="AA133" s="158" t="str">
        <f>IF(GCP[[#This Row],[Column14]]="-","", "v")</f>
        <v>v</v>
      </c>
      <c r="AB133" s="158" t="str">
        <f>IF(GCP[[#This Row],[Column8]]="x","1",(IF(OR(GCP[[#This Row],[Column25]]=2,GCP[[#This Row],[Column26]]=2,GCP[[#This Row],[Column27]]=2),"1",(IF(GCP[[#This Row],[Column9]]="x","2",(IF(GCP[[#This Row],[Column10]]="x","3","")))))))</f>
        <v>2</v>
      </c>
      <c r="AC133" s="454" t="str">
        <f>IF(GCP[[#This Row],[Column14]] = "-", GCP[[#This Row],[Column14]], LEFT(GCP[[#This Row],[Column14]], SEARCH(" ", GCP[[#This Row],[Column14]] &amp; " ") - 1))</f>
        <v>2.10</v>
      </c>
    </row>
    <row r="134" spans="1:29" ht="409.5">
      <c r="A13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4" s="137" t="str">
        <f>GCP[[#This Row],[Column30]]</f>
        <v>2.11</v>
      </c>
      <c r="C134" s="137">
        <v>8.5</v>
      </c>
      <c r="D134" s="138" t="s">
        <v>390</v>
      </c>
      <c r="E134" s="162" t="s">
        <v>155</v>
      </c>
      <c r="F134" s="138" t="s">
        <v>556</v>
      </c>
      <c r="G134" s="138" t="s">
        <v>557</v>
      </c>
      <c r="H134" s="204"/>
      <c r="I134" s="164" t="s">
        <v>185</v>
      </c>
      <c r="J134" s="200" t="s">
        <v>185</v>
      </c>
      <c r="K134" s="176" t="s">
        <v>185</v>
      </c>
      <c r="L134" s="176" t="s">
        <v>185</v>
      </c>
      <c r="M134" s="176" t="s">
        <v>185</v>
      </c>
      <c r="N134" s="222" t="s">
        <v>1365</v>
      </c>
      <c r="O134" s="212">
        <v>2</v>
      </c>
      <c r="P134" s="214" t="s">
        <v>1394</v>
      </c>
      <c r="Q134" s="214" t="s">
        <v>1367</v>
      </c>
      <c r="R134" s="451" t="s">
        <v>1395</v>
      </c>
      <c r="S134" s="214" t="s">
        <v>1369</v>
      </c>
      <c r="T134" s="214" t="s">
        <v>1370</v>
      </c>
      <c r="U134" s="258" t="s">
        <v>162</v>
      </c>
      <c r="V134" s="168" t="s">
        <v>1565</v>
      </c>
      <c r="W134" s="158" t="s">
        <v>967</v>
      </c>
      <c r="X134" s="158" t="s">
        <v>185</v>
      </c>
      <c r="Y134" s="158" t="s">
        <v>185</v>
      </c>
      <c r="Z134" s="158"/>
      <c r="AA134" s="158" t="str">
        <f>IF(GCP[[#This Row],[Column14]]="-","", "v")</f>
        <v>v</v>
      </c>
      <c r="AB134" s="158" t="str">
        <f>IF(GCP[[#This Row],[Column8]]="x","1",(IF(OR(GCP[[#This Row],[Column25]]=2,GCP[[#This Row],[Column26]]=2,GCP[[#This Row],[Column27]]=2),"1",(IF(GCP[[#This Row],[Column9]]="x","2",(IF(GCP[[#This Row],[Column10]]="x","3","")))))))</f>
        <v>2</v>
      </c>
      <c r="AC134" s="454" t="str">
        <f>IF(GCP[[#This Row],[Column14]] = "-", GCP[[#This Row],[Column14]], LEFT(GCP[[#This Row],[Column14]], SEARCH(" ", GCP[[#This Row],[Column14]] &amp; " ") - 1))</f>
        <v>2.11</v>
      </c>
    </row>
    <row r="135" spans="1:29" ht="409.5">
      <c r="A13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5" s="137" t="str">
        <f>GCP[[#This Row],[Column30]]</f>
        <v>2.14</v>
      </c>
      <c r="C135" s="137">
        <v>8.5</v>
      </c>
      <c r="D135" s="138" t="s">
        <v>390</v>
      </c>
      <c r="E135" s="162" t="s">
        <v>155</v>
      </c>
      <c r="F135" s="138" t="s">
        <v>556</v>
      </c>
      <c r="G135" s="138" t="s">
        <v>557</v>
      </c>
      <c r="H135" s="204"/>
      <c r="I135" s="164" t="s">
        <v>185</v>
      </c>
      <c r="J135" s="200" t="s">
        <v>185</v>
      </c>
      <c r="K135" s="176" t="s">
        <v>185</v>
      </c>
      <c r="L135" s="176" t="s">
        <v>185</v>
      </c>
      <c r="M135" s="176" t="s">
        <v>185</v>
      </c>
      <c r="N135" s="222" t="s">
        <v>1377</v>
      </c>
      <c r="O135" s="212">
        <v>2</v>
      </c>
      <c r="P135" s="214" t="s">
        <v>1378</v>
      </c>
      <c r="Q135" s="214" t="s">
        <v>1379</v>
      </c>
      <c r="R135" s="451" t="s">
        <v>1380</v>
      </c>
      <c r="S135" s="214" t="s">
        <v>1381</v>
      </c>
      <c r="T135" s="214" t="s">
        <v>1382</v>
      </c>
      <c r="U135" s="258" t="s">
        <v>162</v>
      </c>
      <c r="V135" s="168" t="s">
        <v>1566</v>
      </c>
      <c r="W135" s="158" t="s">
        <v>967</v>
      </c>
      <c r="X135" s="158" t="s">
        <v>185</v>
      </c>
      <c r="Y135" s="158" t="s">
        <v>185</v>
      </c>
      <c r="Z135" s="158"/>
      <c r="AA135" s="158" t="str">
        <f>IF(GCP[[#This Row],[Column14]]="-","", "v")</f>
        <v>v</v>
      </c>
      <c r="AB135" s="158" t="str">
        <f>IF(GCP[[#This Row],[Column8]]="x","1",(IF(OR(GCP[[#This Row],[Column25]]=2,GCP[[#This Row],[Column26]]=2,GCP[[#This Row],[Column27]]=2),"1",(IF(GCP[[#This Row],[Column9]]="x","2",(IF(GCP[[#This Row],[Column10]]="x","3","")))))))</f>
        <v>2</v>
      </c>
      <c r="AC135" s="454" t="str">
        <f>IF(GCP[[#This Row],[Column14]] = "-", GCP[[#This Row],[Column14]], LEFT(GCP[[#This Row],[Column14]], SEARCH(" ", GCP[[#This Row],[Column14]] &amp; " ") - 1))</f>
        <v>2.14</v>
      </c>
    </row>
    <row r="136" spans="1:29" ht="409.5">
      <c r="A13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6" s="137" t="str">
        <f>GCP[[#This Row],[Column30]]</f>
        <v>6.2.1</v>
      </c>
      <c r="C136" s="137">
        <v>8.5</v>
      </c>
      <c r="D136" s="138" t="s">
        <v>390</v>
      </c>
      <c r="E136" s="162" t="s">
        <v>155</v>
      </c>
      <c r="F136" s="138" t="s">
        <v>556</v>
      </c>
      <c r="G136" s="138" t="s">
        <v>557</v>
      </c>
      <c r="H136" s="204"/>
      <c r="I136" s="164" t="s">
        <v>185</v>
      </c>
      <c r="J136" s="200" t="s">
        <v>185</v>
      </c>
      <c r="K136" s="176" t="s">
        <v>185</v>
      </c>
      <c r="L136" s="176" t="s">
        <v>185</v>
      </c>
      <c r="M136" s="176" t="s">
        <v>185</v>
      </c>
      <c r="N136" s="222" t="s">
        <v>1396</v>
      </c>
      <c r="O136" s="212">
        <v>2</v>
      </c>
      <c r="P136" s="214" t="s">
        <v>1397</v>
      </c>
      <c r="Q136" s="214" t="s">
        <v>1398</v>
      </c>
      <c r="R136" s="451" t="s">
        <v>1399</v>
      </c>
      <c r="S136" s="214" t="s">
        <v>1400</v>
      </c>
      <c r="T136" s="214" t="s">
        <v>1401</v>
      </c>
      <c r="U136" s="258" t="s">
        <v>162</v>
      </c>
      <c r="V136" s="168" t="s">
        <v>1569</v>
      </c>
      <c r="W136" s="158" t="s">
        <v>967</v>
      </c>
      <c r="X136" s="158" t="s">
        <v>185</v>
      </c>
      <c r="Y136" s="158" t="s">
        <v>185</v>
      </c>
      <c r="Z136" s="158"/>
      <c r="AA136" s="158" t="str">
        <f>IF(GCP[[#This Row],[Column14]]="-","", "v")</f>
        <v>v</v>
      </c>
      <c r="AB136" s="158" t="str">
        <f>IF(GCP[[#This Row],[Column8]]="x","1",(IF(OR(GCP[[#This Row],[Column25]]=2,GCP[[#This Row],[Column26]]=2,GCP[[#This Row],[Column27]]=2),"1",(IF(GCP[[#This Row],[Column9]]="x","2",(IF(GCP[[#This Row],[Column10]]="x","3","")))))))</f>
        <v>2</v>
      </c>
      <c r="AC136" s="454" t="str">
        <f>IF(GCP[[#This Row],[Column14]] = "-", GCP[[#This Row],[Column14]], LEFT(GCP[[#This Row],[Column14]], SEARCH(" ", GCP[[#This Row],[Column14]] &amp; " ") - 1))</f>
        <v>6.2.1</v>
      </c>
    </row>
    <row r="137" spans="1:29" ht="409.5">
      <c r="A13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7" s="137" t="str">
        <f>GCP[[#This Row],[Column30]]</f>
        <v>6.2.2</v>
      </c>
      <c r="C137" s="137">
        <v>8.5</v>
      </c>
      <c r="D137" s="138" t="s">
        <v>390</v>
      </c>
      <c r="E137" s="162" t="s">
        <v>155</v>
      </c>
      <c r="F137" s="138" t="s">
        <v>556</v>
      </c>
      <c r="G137" s="138" t="s">
        <v>557</v>
      </c>
      <c r="H137" s="204"/>
      <c r="I137" s="164" t="s">
        <v>185</v>
      </c>
      <c r="J137" s="200" t="s">
        <v>185</v>
      </c>
      <c r="K137" s="176" t="s">
        <v>185</v>
      </c>
      <c r="L137" s="176" t="s">
        <v>185</v>
      </c>
      <c r="M137" s="176" t="s">
        <v>185</v>
      </c>
      <c r="N137" s="222" t="s">
        <v>1402</v>
      </c>
      <c r="O137" s="212">
        <v>1</v>
      </c>
      <c r="P137" s="214" t="s">
        <v>1403</v>
      </c>
      <c r="Q137" s="214" t="s">
        <v>1404</v>
      </c>
      <c r="R137" s="451" t="s">
        <v>1405</v>
      </c>
      <c r="S137" s="214" t="s">
        <v>1406</v>
      </c>
      <c r="T137" s="214" t="s">
        <v>1407</v>
      </c>
      <c r="U137" s="258" t="s">
        <v>162</v>
      </c>
      <c r="V137" s="168" t="s">
        <v>1569</v>
      </c>
      <c r="W137" s="158" t="s">
        <v>967</v>
      </c>
      <c r="X137" s="158" t="s">
        <v>185</v>
      </c>
      <c r="Y137" s="158" t="s">
        <v>185</v>
      </c>
      <c r="Z137" s="158"/>
      <c r="AA137" s="158" t="str">
        <f>IF(GCP[[#This Row],[Column14]]="-","", "v")</f>
        <v>v</v>
      </c>
      <c r="AB137" s="158" t="str">
        <f>IF(GCP[[#This Row],[Column8]]="x","1",(IF(OR(GCP[[#This Row],[Column25]]=2,GCP[[#This Row],[Column26]]=2,GCP[[#This Row],[Column27]]=2),"1",(IF(GCP[[#This Row],[Column9]]="x","2",(IF(GCP[[#This Row],[Column10]]="x","3","")))))))</f>
        <v>2</v>
      </c>
      <c r="AC137" s="454" t="str">
        <f>IF(GCP[[#This Row],[Column14]] = "-", GCP[[#This Row],[Column14]], LEFT(GCP[[#This Row],[Column14]], SEARCH(" ", GCP[[#This Row],[Column14]] &amp; " ") - 1))</f>
        <v>6.2.2</v>
      </c>
    </row>
    <row r="138" spans="1:29" ht="409.5">
      <c r="A13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8" s="137" t="str">
        <f>GCP[[#This Row],[Column30]]</f>
        <v>6.2.3</v>
      </c>
      <c r="C138" s="137">
        <v>8.5</v>
      </c>
      <c r="D138" s="138" t="s">
        <v>390</v>
      </c>
      <c r="E138" s="162" t="s">
        <v>155</v>
      </c>
      <c r="F138" s="138" t="s">
        <v>556</v>
      </c>
      <c r="G138" s="138" t="s">
        <v>557</v>
      </c>
      <c r="H138" s="204"/>
      <c r="I138" s="164" t="s">
        <v>185</v>
      </c>
      <c r="J138" s="200" t="s">
        <v>185</v>
      </c>
      <c r="K138" s="176" t="s">
        <v>185</v>
      </c>
      <c r="L138" s="176" t="s">
        <v>185</v>
      </c>
      <c r="M138" s="176" t="s">
        <v>185</v>
      </c>
      <c r="N138" s="222" t="s">
        <v>1408</v>
      </c>
      <c r="O138" s="212">
        <v>1</v>
      </c>
      <c r="P138" s="214" t="s">
        <v>1409</v>
      </c>
      <c r="Q138" s="214" t="s">
        <v>1410</v>
      </c>
      <c r="R138" s="451" t="s">
        <v>1411</v>
      </c>
      <c r="S138" s="214" t="s">
        <v>1412</v>
      </c>
      <c r="T138" s="214" t="s">
        <v>1407</v>
      </c>
      <c r="U138" s="258" t="s">
        <v>162</v>
      </c>
      <c r="V138" s="168" t="s">
        <v>1569</v>
      </c>
      <c r="W138" s="158" t="s">
        <v>967</v>
      </c>
      <c r="X138" s="158" t="s">
        <v>185</v>
      </c>
      <c r="Y138" s="158" t="s">
        <v>185</v>
      </c>
      <c r="Z138" s="158"/>
      <c r="AA138" s="158" t="str">
        <f>IF(GCP[[#This Row],[Column14]]="-","", "v")</f>
        <v>v</v>
      </c>
      <c r="AB138" s="158" t="str">
        <f>IF(GCP[[#This Row],[Column8]]="x","1",(IF(OR(GCP[[#This Row],[Column25]]=2,GCP[[#This Row],[Column26]]=2,GCP[[#This Row],[Column27]]=2),"1",(IF(GCP[[#This Row],[Column9]]="x","2",(IF(GCP[[#This Row],[Column10]]="x","3","")))))))</f>
        <v>2</v>
      </c>
      <c r="AC138" s="454" t="str">
        <f>IF(GCP[[#This Row],[Column14]] = "-", GCP[[#This Row],[Column14]], LEFT(GCP[[#This Row],[Column14]], SEARCH(" ", GCP[[#This Row],[Column14]] &amp; " ") - 1))</f>
        <v>6.2.3</v>
      </c>
    </row>
    <row r="139" spans="1:29" ht="409.5">
      <c r="A13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39" s="137" t="str">
        <f>GCP[[#This Row],[Column30]]</f>
        <v>6.2.4</v>
      </c>
      <c r="C139" s="137">
        <v>8.5</v>
      </c>
      <c r="D139" s="138" t="s">
        <v>390</v>
      </c>
      <c r="E139" s="162" t="s">
        <v>155</v>
      </c>
      <c r="F139" s="138" t="s">
        <v>556</v>
      </c>
      <c r="G139" s="138" t="s">
        <v>557</v>
      </c>
      <c r="H139" s="204"/>
      <c r="I139" s="164" t="s">
        <v>185</v>
      </c>
      <c r="J139" s="200" t="s">
        <v>185</v>
      </c>
      <c r="K139" s="176" t="s">
        <v>185</v>
      </c>
      <c r="L139" s="176" t="s">
        <v>185</v>
      </c>
      <c r="M139" s="176" t="s">
        <v>185</v>
      </c>
      <c r="N139" s="222" t="s">
        <v>1413</v>
      </c>
      <c r="O139" s="212">
        <v>2</v>
      </c>
      <c r="P139" s="214" t="s">
        <v>1414</v>
      </c>
      <c r="Q139" s="214" t="s">
        <v>1415</v>
      </c>
      <c r="R139" s="451" t="s">
        <v>1416</v>
      </c>
      <c r="S139" s="214" t="s">
        <v>1417</v>
      </c>
      <c r="T139" s="214" t="s">
        <v>1401</v>
      </c>
      <c r="U139" s="258" t="s">
        <v>162</v>
      </c>
      <c r="V139" s="168" t="s">
        <v>1569</v>
      </c>
      <c r="W139" s="158" t="s">
        <v>967</v>
      </c>
      <c r="X139" s="158" t="s">
        <v>185</v>
      </c>
      <c r="Y139" s="158" t="s">
        <v>185</v>
      </c>
      <c r="Z139" s="158"/>
      <c r="AA139" s="158" t="str">
        <f>IF(GCP[[#This Row],[Column14]]="-","", "v")</f>
        <v>v</v>
      </c>
      <c r="AB139" s="158" t="str">
        <f>IF(GCP[[#This Row],[Column8]]="x","1",(IF(OR(GCP[[#This Row],[Column25]]=2,GCP[[#This Row],[Column26]]=2,GCP[[#This Row],[Column27]]=2),"1",(IF(GCP[[#This Row],[Column9]]="x","2",(IF(GCP[[#This Row],[Column10]]="x","3","")))))))</f>
        <v>2</v>
      </c>
      <c r="AC139" s="454" t="str">
        <f>IF(GCP[[#This Row],[Column14]] = "-", GCP[[#This Row],[Column14]], LEFT(GCP[[#This Row],[Column14]], SEARCH(" ", GCP[[#This Row],[Column14]] &amp; " ") - 1))</f>
        <v>6.2.4</v>
      </c>
    </row>
    <row r="140" spans="1:29" ht="409.5">
      <c r="A14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0" s="137" t="str">
        <f>GCP[[#This Row],[Column30]]</f>
        <v>6.2.5</v>
      </c>
      <c r="C140" s="137">
        <v>8.5</v>
      </c>
      <c r="D140" s="138" t="s">
        <v>390</v>
      </c>
      <c r="E140" s="162" t="s">
        <v>155</v>
      </c>
      <c r="F140" s="138" t="s">
        <v>556</v>
      </c>
      <c r="G140" s="138" t="s">
        <v>557</v>
      </c>
      <c r="H140" s="204"/>
      <c r="I140" s="164" t="s">
        <v>185</v>
      </c>
      <c r="J140" s="200" t="s">
        <v>185</v>
      </c>
      <c r="K140" s="176" t="s">
        <v>185</v>
      </c>
      <c r="L140" s="176" t="s">
        <v>185</v>
      </c>
      <c r="M140" s="176" t="s">
        <v>185</v>
      </c>
      <c r="N140" s="222" t="s">
        <v>1418</v>
      </c>
      <c r="O140" s="212">
        <v>1</v>
      </c>
      <c r="P140" s="214" t="s">
        <v>1419</v>
      </c>
      <c r="Q140" s="214" t="s">
        <v>1420</v>
      </c>
      <c r="R140" s="451" t="s">
        <v>1421</v>
      </c>
      <c r="S140" s="214" t="s">
        <v>1422</v>
      </c>
      <c r="T140" s="214" t="s">
        <v>1423</v>
      </c>
      <c r="U140" s="258" t="s">
        <v>162</v>
      </c>
      <c r="V140" s="168" t="s">
        <v>1569</v>
      </c>
      <c r="W140" s="158" t="s">
        <v>967</v>
      </c>
      <c r="X140" s="158" t="s">
        <v>185</v>
      </c>
      <c r="Y140" s="158" t="s">
        <v>185</v>
      </c>
      <c r="Z140" s="158"/>
      <c r="AA140" s="158" t="str">
        <f>IF(GCP[[#This Row],[Column14]]="-","", "v")</f>
        <v>v</v>
      </c>
      <c r="AB140" s="158" t="str">
        <f>IF(GCP[[#This Row],[Column8]]="x","1",(IF(OR(GCP[[#This Row],[Column25]]=2,GCP[[#This Row],[Column26]]=2,GCP[[#This Row],[Column27]]=2),"1",(IF(GCP[[#This Row],[Column9]]="x","2",(IF(GCP[[#This Row],[Column10]]="x","3","")))))))</f>
        <v>2</v>
      </c>
      <c r="AC140" s="454" t="str">
        <f>IF(GCP[[#This Row],[Column14]] = "-", GCP[[#This Row],[Column14]], LEFT(GCP[[#This Row],[Column14]], SEARCH(" ", GCP[[#This Row],[Column14]] &amp; " ") - 1))</f>
        <v>6.2.5</v>
      </c>
    </row>
    <row r="141" spans="1:29" ht="409.5">
      <c r="A14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1" s="137" t="str">
        <f>GCP[[#This Row],[Column30]]</f>
        <v>6.2.6</v>
      </c>
      <c r="C141" s="137">
        <v>8.5</v>
      </c>
      <c r="D141" s="138" t="s">
        <v>390</v>
      </c>
      <c r="E141" s="162" t="s">
        <v>155</v>
      </c>
      <c r="F141" s="138" t="s">
        <v>556</v>
      </c>
      <c r="G141" s="138" t="s">
        <v>557</v>
      </c>
      <c r="H141" s="204"/>
      <c r="I141" s="164" t="s">
        <v>185</v>
      </c>
      <c r="J141" s="200" t="s">
        <v>185</v>
      </c>
      <c r="K141" s="176" t="s">
        <v>185</v>
      </c>
      <c r="L141" s="176" t="s">
        <v>185</v>
      </c>
      <c r="M141" s="176" t="s">
        <v>185</v>
      </c>
      <c r="N141" s="222" t="s">
        <v>1424</v>
      </c>
      <c r="O141" s="212">
        <v>1</v>
      </c>
      <c r="P141" s="214" t="s">
        <v>1425</v>
      </c>
      <c r="Q141" s="214" t="s">
        <v>1426</v>
      </c>
      <c r="R141" s="451" t="s">
        <v>1427</v>
      </c>
      <c r="S141" s="214" t="s">
        <v>1428</v>
      </c>
      <c r="T141" s="214" t="s">
        <v>1423</v>
      </c>
      <c r="U141" s="258" t="s">
        <v>162</v>
      </c>
      <c r="V141" s="168" t="s">
        <v>1569</v>
      </c>
      <c r="W141" s="158" t="s">
        <v>967</v>
      </c>
      <c r="X141" s="158" t="s">
        <v>185</v>
      </c>
      <c r="Y141" s="158" t="s">
        <v>185</v>
      </c>
      <c r="Z141" s="158"/>
      <c r="AA141" s="158" t="str">
        <f>IF(GCP[[#This Row],[Column14]]="-","", "v")</f>
        <v>v</v>
      </c>
      <c r="AB141" s="158" t="str">
        <f>IF(GCP[[#This Row],[Column8]]="x","1",(IF(OR(GCP[[#This Row],[Column25]]=2,GCP[[#This Row],[Column26]]=2,GCP[[#This Row],[Column27]]=2),"1",(IF(GCP[[#This Row],[Column9]]="x","2",(IF(GCP[[#This Row],[Column10]]="x","3","")))))))</f>
        <v>2</v>
      </c>
      <c r="AC141" s="454" t="str">
        <f>IF(GCP[[#This Row],[Column14]] = "-", GCP[[#This Row],[Column14]], LEFT(GCP[[#This Row],[Column14]], SEARCH(" ", GCP[[#This Row],[Column14]] &amp; " ") - 1))</f>
        <v>6.2.6</v>
      </c>
    </row>
    <row r="142" spans="1:29" ht="409.5">
      <c r="A14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2" s="137" t="str">
        <f>GCP[[#This Row],[Column30]]</f>
        <v>6.2.7</v>
      </c>
      <c r="C142" s="137">
        <v>8.5</v>
      </c>
      <c r="D142" s="138" t="s">
        <v>390</v>
      </c>
      <c r="E142" s="162" t="s">
        <v>155</v>
      </c>
      <c r="F142" s="138" t="s">
        <v>556</v>
      </c>
      <c r="G142" s="138" t="s">
        <v>557</v>
      </c>
      <c r="H142" s="204"/>
      <c r="I142" s="164" t="s">
        <v>185</v>
      </c>
      <c r="J142" s="200" t="s">
        <v>185</v>
      </c>
      <c r="K142" s="176" t="s">
        <v>185</v>
      </c>
      <c r="L142" s="176" t="s">
        <v>185</v>
      </c>
      <c r="M142" s="176" t="s">
        <v>185</v>
      </c>
      <c r="N142" s="222" t="s">
        <v>1429</v>
      </c>
      <c r="O142" s="212">
        <v>1</v>
      </c>
      <c r="P142" s="214" t="s">
        <v>1430</v>
      </c>
      <c r="Q142" s="214" t="s">
        <v>1431</v>
      </c>
      <c r="R142" s="451" t="s">
        <v>1432</v>
      </c>
      <c r="S142" s="214" t="s">
        <v>1433</v>
      </c>
      <c r="T142" s="214" t="s">
        <v>1401</v>
      </c>
      <c r="U142" s="258" t="s">
        <v>162</v>
      </c>
      <c r="V142" s="168" t="s">
        <v>1569</v>
      </c>
      <c r="W142" s="158" t="s">
        <v>967</v>
      </c>
      <c r="X142" s="158" t="s">
        <v>185</v>
      </c>
      <c r="Y142" s="158" t="s">
        <v>185</v>
      </c>
      <c r="Z142" s="158"/>
      <c r="AA142" s="158" t="str">
        <f>IF(GCP[[#This Row],[Column14]]="-","", "v")</f>
        <v>v</v>
      </c>
      <c r="AB142" s="158" t="str">
        <f>IF(GCP[[#This Row],[Column8]]="x","1",(IF(OR(GCP[[#This Row],[Column25]]=2,GCP[[#This Row],[Column26]]=2,GCP[[#This Row],[Column27]]=2),"1",(IF(GCP[[#This Row],[Column9]]="x","2",(IF(GCP[[#This Row],[Column10]]="x","3","")))))))</f>
        <v>2</v>
      </c>
      <c r="AC142" s="454" t="str">
        <f>IF(GCP[[#This Row],[Column14]] = "-", GCP[[#This Row],[Column14]], LEFT(GCP[[#This Row],[Column14]], SEARCH(" ", GCP[[#This Row],[Column14]] &amp; " ") - 1))</f>
        <v>6.2.7</v>
      </c>
    </row>
    <row r="143" spans="1:29" ht="409.5">
      <c r="A14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3" s="137" t="str">
        <f>GCP[[#This Row],[Column30]]</f>
        <v>6.2.8</v>
      </c>
      <c r="C143" s="137">
        <v>8.5</v>
      </c>
      <c r="D143" s="138" t="s">
        <v>390</v>
      </c>
      <c r="E143" s="162" t="s">
        <v>155</v>
      </c>
      <c r="F143" s="138" t="s">
        <v>556</v>
      </c>
      <c r="G143" s="138" t="s">
        <v>557</v>
      </c>
      <c r="H143" s="204"/>
      <c r="I143" s="164" t="s">
        <v>185</v>
      </c>
      <c r="J143" s="200" t="s">
        <v>185</v>
      </c>
      <c r="K143" s="176" t="s">
        <v>185</v>
      </c>
      <c r="L143" s="176" t="s">
        <v>185</v>
      </c>
      <c r="M143" s="176" t="s">
        <v>185</v>
      </c>
      <c r="N143" s="222" t="s">
        <v>1434</v>
      </c>
      <c r="O143" s="212">
        <v>1</v>
      </c>
      <c r="P143" s="214" t="s">
        <v>1435</v>
      </c>
      <c r="Q143" s="214" t="s">
        <v>1436</v>
      </c>
      <c r="R143" s="451" t="s">
        <v>1437</v>
      </c>
      <c r="S143" s="214" t="s">
        <v>1438</v>
      </c>
      <c r="T143" s="214" t="s">
        <v>1439</v>
      </c>
      <c r="U143" s="258" t="s">
        <v>162</v>
      </c>
      <c r="V143" s="168" t="s">
        <v>1569</v>
      </c>
      <c r="W143" s="158" t="s">
        <v>967</v>
      </c>
      <c r="X143" s="158" t="s">
        <v>185</v>
      </c>
      <c r="Y143" s="158" t="s">
        <v>185</v>
      </c>
      <c r="Z143" s="158"/>
      <c r="AA143" s="158" t="str">
        <f>IF(GCP[[#This Row],[Column14]]="-","", "v")</f>
        <v>v</v>
      </c>
      <c r="AB143" s="158" t="str">
        <f>IF(GCP[[#This Row],[Column8]]="x","1",(IF(OR(GCP[[#This Row],[Column25]]=2,GCP[[#This Row],[Column26]]=2,GCP[[#This Row],[Column27]]=2),"1",(IF(GCP[[#This Row],[Column9]]="x","2",(IF(GCP[[#This Row],[Column10]]="x","3","")))))))</f>
        <v>2</v>
      </c>
      <c r="AC143" s="454" t="str">
        <f>IF(GCP[[#This Row],[Column14]] = "-", GCP[[#This Row],[Column14]], LEFT(GCP[[#This Row],[Column14]], SEARCH(" ", GCP[[#This Row],[Column14]] &amp; " ") - 1))</f>
        <v>6.2.8</v>
      </c>
    </row>
    <row r="144" spans="1:29" ht="409.5">
      <c r="A14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4" s="137" t="str">
        <f>GCP[[#This Row],[Column30]]</f>
        <v>2.12</v>
      </c>
      <c r="C144" s="137">
        <v>8.6</v>
      </c>
      <c r="D144" s="138" t="s">
        <v>390</v>
      </c>
      <c r="E144" s="162" t="s">
        <v>155</v>
      </c>
      <c r="F144" s="138" t="s">
        <v>581</v>
      </c>
      <c r="G144" s="138" t="s">
        <v>582</v>
      </c>
      <c r="H144" s="137"/>
      <c r="I144" s="164" t="s">
        <v>185</v>
      </c>
      <c r="J144" s="200" t="s">
        <v>185</v>
      </c>
      <c r="K144" s="158" t="s">
        <v>185</v>
      </c>
      <c r="L144" s="158" t="s">
        <v>185</v>
      </c>
      <c r="M144" s="158"/>
      <c r="N144" s="222" t="s">
        <v>1371</v>
      </c>
      <c r="O144" s="212">
        <v>1</v>
      </c>
      <c r="P144" s="214" t="s">
        <v>1372</v>
      </c>
      <c r="Q144" s="214" t="s">
        <v>1373</v>
      </c>
      <c r="R144" s="451" t="s">
        <v>1440</v>
      </c>
      <c r="S144" s="214" t="s">
        <v>1375</v>
      </c>
      <c r="T144" s="214" t="s">
        <v>1376</v>
      </c>
      <c r="U144" s="158" t="s">
        <v>162</v>
      </c>
      <c r="V144" s="168" t="s">
        <v>1530</v>
      </c>
      <c r="W144" s="158" t="s">
        <v>967</v>
      </c>
      <c r="X144" s="158" t="s">
        <v>185</v>
      </c>
      <c r="Y144" s="158" t="s">
        <v>185</v>
      </c>
      <c r="Z144" s="158"/>
      <c r="AA144" s="158" t="str">
        <f>IF(GCP[[#This Row],[Column14]]="-","", "v")</f>
        <v>v</v>
      </c>
      <c r="AB144" s="158" t="str">
        <f>IF(GCP[[#This Row],[Column8]]="x","1",(IF(OR(GCP[[#This Row],[Column25]]=2,GCP[[#This Row],[Column26]]=2,GCP[[#This Row],[Column27]]=2),"1",(IF(GCP[[#This Row],[Column9]]="x","2",(IF(GCP[[#This Row],[Column10]]="x","3","")))))))</f>
        <v>2</v>
      </c>
      <c r="AC144" s="454" t="str">
        <f>IF(GCP[[#This Row],[Column14]] = "-", GCP[[#This Row],[Column14]], LEFT(GCP[[#This Row],[Column14]], SEARCH(" ", GCP[[#This Row],[Column14]] &amp; " ") - 1))</f>
        <v>2.12</v>
      </c>
    </row>
    <row r="145" spans="1:29" ht="30">
      <c r="A14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5" s="137" t="str">
        <f>GCP[[#This Row],[Column30]]</f>
        <v>-</v>
      </c>
      <c r="C145" s="137">
        <v>8.6999999999999993</v>
      </c>
      <c r="D145" s="138" t="s">
        <v>390</v>
      </c>
      <c r="E145" s="162" t="s">
        <v>155</v>
      </c>
      <c r="F145" s="138" t="s">
        <v>583</v>
      </c>
      <c r="G145" s="138" t="s">
        <v>584</v>
      </c>
      <c r="H145" s="137"/>
      <c r="I145" s="164" t="s">
        <v>185</v>
      </c>
      <c r="J145" s="200" t="s">
        <v>185</v>
      </c>
      <c r="K145" s="158" t="s">
        <v>185</v>
      </c>
      <c r="L145" s="158" t="s">
        <v>185</v>
      </c>
      <c r="M145" s="158"/>
      <c r="N145" s="222" t="s">
        <v>162</v>
      </c>
      <c r="O145" s="222" t="s">
        <v>162</v>
      </c>
      <c r="P145" s="222" t="s">
        <v>162</v>
      </c>
      <c r="Q145" s="222" t="s">
        <v>162</v>
      </c>
      <c r="R145" s="451"/>
      <c r="S145" s="222" t="s">
        <v>162</v>
      </c>
      <c r="T145" s="222" t="s">
        <v>162</v>
      </c>
      <c r="U145" s="258" t="s">
        <v>162</v>
      </c>
      <c r="V145" s="168"/>
      <c r="W145" s="158" t="s">
        <v>966</v>
      </c>
      <c r="X145" s="158" t="s">
        <v>185</v>
      </c>
      <c r="Y145" s="158" t="s">
        <v>185</v>
      </c>
      <c r="Z145" s="158"/>
      <c r="AA145" s="158" t="str">
        <f>IF(GCP[[#This Row],[Column14]]="-","", "v")</f>
        <v/>
      </c>
      <c r="AB145" s="158" t="str">
        <f>IF(GCP[[#This Row],[Column8]]="x","1",(IF(OR(GCP[[#This Row],[Column25]]=2,GCP[[#This Row],[Column26]]=2,GCP[[#This Row],[Column27]]=2),"1",(IF(GCP[[#This Row],[Column9]]="x","2",(IF(GCP[[#This Row],[Column10]]="x","3","")))))))</f>
        <v>2</v>
      </c>
      <c r="AC145" s="454" t="str">
        <f>IF(GCP[[#This Row],[Column14]] = "-", GCP[[#This Row],[Column14]], LEFT(GCP[[#This Row],[Column14]], SEARCH(" ", GCP[[#This Row],[Column14]] &amp; " ") - 1))</f>
        <v>-</v>
      </c>
    </row>
    <row r="146" spans="1:29" ht="33">
      <c r="A14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6" s="137" t="str">
        <f>GCP[[#This Row],[Column30]]</f>
        <v>-</v>
      </c>
      <c r="C146" s="137">
        <v>8.8000000000000007</v>
      </c>
      <c r="D146" s="138" t="s">
        <v>352</v>
      </c>
      <c r="E146" s="162" t="s">
        <v>155</v>
      </c>
      <c r="F146" s="138" t="s">
        <v>585</v>
      </c>
      <c r="G146" s="139" t="s">
        <v>586</v>
      </c>
      <c r="H146" s="137"/>
      <c r="I146" s="164" t="s">
        <v>185</v>
      </c>
      <c r="J146" s="200" t="s">
        <v>185</v>
      </c>
      <c r="K146" s="158" t="s">
        <v>185</v>
      </c>
      <c r="L146" s="158" t="s">
        <v>185</v>
      </c>
      <c r="M146" s="158"/>
      <c r="N146" s="222" t="s">
        <v>162</v>
      </c>
      <c r="O146" s="222" t="s">
        <v>162</v>
      </c>
      <c r="P146" s="222" t="s">
        <v>162</v>
      </c>
      <c r="Q146" s="222" t="s">
        <v>162</v>
      </c>
      <c r="R146" s="451"/>
      <c r="S146" s="222" t="s">
        <v>162</v>
      </c>
      <c r="T146" s="222" t="s">
        <v>162</v>
      </c>
      <c r="U146" s="258" t="s">
        <v>162</v>
      </c>
      <c r="V146" s="168"/>
      <c r="W146" s="158" t="s">
        <v>966</v>
      </c>
      <c r="X146" s="158" t="s">
        <v>185</v>
      </c>
      <c r="Y146" s="158" t="s">
        <v>185</v>
      </c>
      <c r="Z146" s="158"/>
      <c r="AA146" s="158" t="str">
        <f>IF(GCP[[#This Row],[Column14]]="-","", "v")</f>
        <v/>
      </c>
      <c r="AB146" s="158" t="str">
        <f>IF(GCP[[#This Row],[Column8]]="x","1",(IF(OR(GCP[[#This Row],[Column25]]=2,GCP[[#This Row],[Column26]]=2,GCP[[#This Row],[Column27]]=2),"1",(IF(GCP[[#This Row],[Column9]]="x","2",(IF(GCP[[#This Row],[Column10]]="x","3","")))))))</f>
        <v>2</v>
      </c>
      <c r="AC146" s="454" t="str">
        <f>IF(GCP[[#This Row],[Column14]] = "-", GCP[[#This Row],[Column14]], LEFT(GCP[[#This Row],[Column14]], SEARCH(" ", GCP[[#This Row],[Column14]] &amp; " ") - 1))</f>
        <v>-</v>
      </c>
    </row>
    <row r="147" spans="1:29" ht="409.5">
      <c r="A14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7" s="137" t="str">
        <f>GCP[[#This Row],[Column30]]</f>
        <v>6.2.8</v>
      </c>
      <c r="C147" s="137">
        <v>8.9</v>
      </c>
      <c r="D147" s="138" t="s">
        <v>390</v>
      </c>
      <c r="E147" s="162" t="s">
        <v>155</v>
      </c>
      <c r="F147" s="138" t="s">
        <v>587</v>
      </c>
      <c r="G147" s="139" t="s">
        <v>588</v>
      </c>
      <c r="H147" s="137"/>
      <c r="I147" s="164" t="s">
        <v>185</v>
      </c>
      <c r="J147" s="200" t="s">
        <v>185</v>
      </c>
      <c r="K147" s="176" t="s">
        <v>185</v>
      </c>
      <c r="L147" s="176" t="s">
        <v>185</v>
      </c>
      <c r="M147" s="176" t="s">
        <v>185</v>
      </c>
      <c r="N147" s="222" t="s">
        <v>1434</v>
      </c>
      <c r="O147" s="212">
        <v>1</v>
      </c>
      <c r="P147" s="214" t="s">
        <v>1435</v>
      </c>
      <c r="Q147" s="214" t="s">
        <v>1436</v>
      </c>
      <c r="R147" s="451" t="s">
        <v>1437</v>
      </c>
      <c r="S147" s="214" t="s">
        <v>1438</v>
      </c>
      <c r="T147" s="214" t="s">
        <v>1439</v>
      </c>
      <c r="U147" s="158" t="s">
        <v>162</v>
      </c>
      <c r="V147" s="168" t="s">
        <v>1569</v>
      </c>
      <c r="W147" s="158" t="s">
        <v>967</v>
      </c>
      <c r="X147" s="158" t="s">
        <v>185</v>
      </c>
      <c r="Y147" s="158" t="s">
        <v>185</v>
      </c>
      <c r="Z147" s="158"/>
      <c r="AA147" s="158" t="str">
        <f>IF(GCP[[#This Row],[Column14]]="-","", "v")</f>
        <v>v</v>
      </c>
      <c r="AB147" s="158" t="str">
        <f>IF(GCP[[#This Row],[Column8]]="x","1",(IF(OR(GCP[[#This Row],[Column25]]=2,GCP[[#This Row],[Column26]]=2,GCP[[#This Row],[Column27]]=2),"1",(IF(GCP[[#This Row],[Column9]]="x","2",(IF(GCP[[#This Row],[Column10]]="x","3","")))))))</f>
        <v>2</v>
      </c>
      <c r="AC147" s="454" t="str">
        <f>IF(GCP[[#This Row],[Column14]] = "-", GCP[[#This Row],[Column14]], LEFT(GCP[[#This Row],[Column14]], SEARCH(" ", GCP[[#This Row],[Column14]] &amp; " ") - 1))</f>
        <v>6.2.8</v>
      </c>
    </row>
    <row r="148" spans="1:29" ht="15.75">
      <c r="A14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8" s="137" t="str">
        <f>GCP[[#This Row],[Column30]]</f>
        <v>-</v>
      </c>
      <c r="C148" s="140">
        <v>8.1</v>
      </c>
      <c r="D148" s="138" t="s">
        <v>390</v>
      </c>
      <c r="E148" s="162" t="s">
        <v>156</v>
      </c>
      <c r="F148" s="138" t="s">
        <v>589</v>
      </c>
      <c r="G148" s="138" t="s">
        <v>590</v>
      </c>
      <c r="H148" s="137"/>
      <c r="I148" s="164" t="s">
        <v>185</v>
      </c>
      <c r="J148" s="200" t="s">
        <v>185</v>
      </c>
      <c r="K148" s="176" t="s">
        <v>185</v>
      </c>
      <c r="L148" s="176" t="s">
        <v>185</v>
      </c>
      <c r="M148" s="176" t="s">
        <v>185</v>
      </c>
      <c r="N148" s="222" t="s">
        <v>162</v>
      </c>
      <c r="O148" s="222" t="s">
        <v>162</v>
      </c>
      <c r="P148" s="222" t="s">
        <v>162</v>
      </c>
      <c r="Q148" s="222" t="s">
        <v>162</v>
      </c>
      <c r="R148" s="451"/>
      <c r="S148" s="222" t="s">
        <v>162</v>
      </c>
      <c r="T148" s="222" t="s">
        <v>162</v>
      </c>
      <c r="U148" s="258" t="s">
        <v>162</v>
      </c>
      <c r="V148" s="168"/>
      <c r="W148" s="158" t="s">
        <v>966</v>
      </c>
      <c r="X148" s="158" t="s">
        <v>185</v>
      </c>
      <c r="Y148" s="158" t="s">
        <v>185</v>
      </c>
      <c r="Z148" s="158"/>
      <c r="AA148" s="158" t="str">
        <f>IF(GCP[[#This Row],[Column14]]="-","", "v")</f>
        <v/>
      </c>
      <c r="AB148" s="158" t="str">
        <f>IF(GCP[[#This Row],[Column8]]="x","1",(IF(OR(GCP[[#This Row],[Column25]]=2,GCP[[#This Row],[Column26]]=2,GCP[[#This Row],[Column27]]=2),"1",(IF(GCP[[#This Row],[Column9]]="x","2",(IF(GCP[[#This Row],[Column10]]="x","3","")))))))</f>
        <v>2</v>
      </c>
      <c r="AC148" s="454" t="str">
        <f>IF(GCP[[#This Row],[Column14]] = "-", GCP[[#This Row],[Column14]], LEFT(GCP[[#This Row],[Column14]], SEARCH(" ", GCP[[#This Row],[Column14]] &amp; " ") - 1))</f>
        <v>-</v>
      </c>
    </row>
    <row r="149" spans="1:29" ht="409.5">
      <c r="A14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NOT(ISBLANK(K149)),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NOT(ISBLANK(L149)),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NOT(ISBLANK(M149)),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49" s="137" t="str">
        <f>GCP[[#This Row],[Column30]]</f>
        <v>2.1</v>
      </c>
      <c r="C149" s="137">
        <v>8.11</v>
      </c>
      <c r="D149" s="138" t="s">
        <v>390</v>
      </c>
      <c r="E149" s="162" t="s">
        <v>155</v>
      </c>
      <c r="F149" s="138" t="s">
        <v>591</v>
      </c>
      <c r="G149" s="138" t="s">
        <v>592</v>
      </c>
      <c r="H149" s="137"/>
      <c r="I149" s="164" t="s">
        <v>185</v>
      </c>
      <c r="J149" s="200" t="s">
        <v>185</v>
      </c>
      <c r="K149" s="176" t="s">
        <v>185</v>
      </c>
      <c r="L149" s="176" t="s">
        <v>185</v>
      </c>
      <c r="M149" s="176" t="s">
        <v>185</v>
      </c>
      <c r="N149" s="222" t="s">
        <v>1311</v>
      </c>
      <c r="O149" s="212">
        <v>1</v>
      </c>
      <c r="P149" s="214" t="s">
        <v>1312</v>
      </c>
      <c r="Q149" s="214" t="s">
        <v>1313</v>
      </c>
      <c r="R149" s="451" t="s">
        <v>1314</v>
      </c>
      <c r="S149" s="214" t="s">
        <v>1315</v>
      </c>
      <c r="T149" s="214" t="s">
        <v>1316</v>
      </c>
      <c r="U149" s="158" t="s">
        <v>975</v>
      </c>
      <c r="V149" s="168" t="s">
        <v>1555</v>
      </c>
      <c r="W149" s="158" t="s">
        <v>966</v>
      </c>
      <c r="X149" s="158" t="s">
        <v>185</v>
      </c>
      <c r="Y149" s="158" t="s">
        <v>185</v>
      </c>
      <c r="Z149" s="158"/>
      <c r="AA149" s="158" t="str">
        <f>IF(GCP[[#This Row],[Column14]]="-","", "v")</f>
        <v>v</v>
      </c>
      <c r="AB149" s="158" t="str">
        <f>IF(GCP[[#This Row],[Column8]]="x","1",(IF(OR(GCP[[#This Row],[Column25]]=2,GCP[[#This Row],[Column26]]=2,GCP[[#This Row],[Column27]]=2),"1",(IF(GCP[[#This Row],[Column9]]="x","2",(IF(GCP[[#This Row],[Column10]]="x","3","")))))))</f>
        <v>2</v>
      </c>
      <c r="AC149" s="454" t="str">
        <f>IF(GCP[[#This Row],[Column14]] = "-", GCP[[#This Row],[Column14]], LEFT(GCP[[#This Row],[Column14]], SEARCH(" ", GCP[[#This Row],[Column14]] &amp; " ") - 1))</f>
        <v>2.1</v>
      </c>
    </row>
    <row r="150" spans="1:29" ht="409.5">
      <c r="A15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0" s="137" t="str">
        <f>GCP[[#This Row],[Column30]]</f>
        <v>2.12</v>
      </c>
      <c r="C150" s="137">
        <v>8.11</v>
      </c>
      <c r="D150" s="138" t="s">
        <v>390</v>
      </c>
      <c r="E150" s="162" t="s">
        <v>155</v>
      </c>
      <c r="F150" s="138" t="s">
        <v>591</v>
      </c>
      <c r="G150" s="138" t="s">
        <v>592</v>
      </c>
      <c r="H150" s="137"/>
      <c r="I150" s="164" t="s">
        <v>185</v>
      </c>
      <c r="J150" s="200" t="s">
        <v>185</v>
      </c>
      <c r="K150" s="176" t="s">
        <v>185</v>
      </c>
      <c r="L150" s="176" t="s">
        <v>185</v>
      </c>
      <c r="M150" s="176" t="s">
        <v>185</v>
      </c>
      <c r="N150" s="222" t="s">
        <v>1371</v>
      </c>
      <c r="O150" s="212">
        <v>1</v>
      </c>
      <c r="P150" s="214" t="s">
        <v>1372</v>
      </c>
      <c r="Q150" s="214" t="s">
        <v>1373</v>
      </c>
      <c r="R150" s="451" t="s">
        <v>1374</v>
      </c>
      <c r="S150" s="214" t="s">
        <v>1375</v>
      </c>
      <c r="T150" s="214" t="s">
        <v>1376</v>
      </c>
      <c r="U150" s="258" t="s">
        <v>162</v>
      </c>
      <c r="V150" s="168" t="s">
        <v>1530</v>
      </c>
      <c r="W150" s="168" t="s">
        <v>967</v>
      </c>
      <c r="X150" s="158" t="s">
        <v>185</v>
      </c>
      <c r="Y150" s="158" t="s">
        <v>185</v>
      </c>
      <c r="Z150" s="158"/>
      <c r="AA150" s="158" t="str">
        <f>IF(GCP[[#This Row],[Column14]]="-","", "v")</f>
        <v>v</v>
      </c>
      <c r="AB150" s="158" t="str">
        <f>IF(GCP[[#This Row],[Column8]]="x","1",(IF(OR(GCP[[#This Row],[Column25]]=2,GCP[[#This Row],[Column26]]=2,GCP[[#This Row],[Column27]]=2),"1",(IF(GCP[[#This Row],[Column9]]="x","2",(IF(GCP[[#This Row],[Column10]]="x","3","")))))))</f>
        <v>2</v>
      </c>
      <c r="AC150" s="454" t="str">
        <f>IF(GCP[[#This Row],[Column14]] = "-", GCP[[#This Row],[Column14]], LEFT(GCP[[#This Row],[Column14]], SEARCH(" ", GCP[[#This Row],[Column14]] &amp; " ") - 1))</f>
        <v>2.12</v>
      </c>
    </row>
    <row r="151" spans="1:29" ht="45">
      <c r="A15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151" s="137" t="str">
        <f>GCP[[#This Row],[Column30]]</f>
        <v>-</v>
      </c>
      <c r="C151" s="137">
        <v>8.1199999999999992</v>
      </c>
      <c r="D151" s="138" t="s">
        <v>182</v>
      </c>
      <c r="E151" s="162" t="s">
        <v>155</v>
      </c>
      <c r="F151" s="138" t="s">
        <v>334</v>
      </c>
      <c r="G151" s="139" t="s">
        <v>335</v>
      </c>
      <c r="H151" s="204"/>
      <c r="I151" s="204"/>
      <c r="J151" s="200" t="s">
        <v>185</v>
      </c>
      <c r="K151" s="176" t="s">
        <v>185</v>
      </c>
      <c r="L151" s="176" t="s">
        <v>185</v>
      </c>
      <c r="M151" s="176" t="s">
        <v>185</v>
      </c>
      <c r="N151" s="222" t="s">
        <v>162</v>
      </c>
      <c r="O151" s="222" t="s">
        <v>162</v>
      </c>
      <c r="P151" s="222" t="s">
        <v>162</v>
      </c>
      <c r="Q151" s="222" t="s">
        <v>162</v>
      </c>
      <c r="S151" s="222" t="s">
        <v>162</v>
      </c>
      <c r="T151" s="222" t="s">
        <v>162</v>
      </c>
      <c r="U151" s="258" t="s">
        <v>162</v>
      </c>
      <c r="V151" s="168"/>
      <c r="W151" s="158" t="s">
        <v>966</v>
      </c>
      <c r="X151" s="158" t="s">
        <v>185</v>
      </c>
      <c r="Y151" s="158" t="s">
        <v>185</v>
      </c>
      <c r="Z151" s="158"/>
      <c r="AA151" s="158" t="str">
        <f>IF(GCP[[#This Row],[Column14]]="-","", "v")</f>
        <v/>
      </c>
      <c r="AB151" s="158" t="str">
        <f>IF(GCP[[#This Row],[Column8]]="x","1",(IF(OR(GCP[[#This Row],[Column25]]=2,GCP[[#This Row],[Column26]]=2,GCP[[#This Row],[Column27]]=2),"1",(IF(GCP[[#This Row],[Column9]]="x","2",(IF(GCP[[#This Row],[Column10]]="x","3","")))))))</f>
        <v>3</v>
      </c>
      <c r="AC151" s="454" t="str">
        <f>IF(GCP[[#This Row],[Column14]] = "-", GCP[[#This Row],[Column14]], LEFT(GCP[[#This Row],[Column14]], SEARCH(" ", GCP[[#This Row],[Column14]] &amp; " ") - 1))</f>
        <v>-</v>
      </c>
    </row>
    <row r="152" spans="1:29" ht="45" hidden="1">
      <c r="A152" s="221" t="s">
        <v>942</v>
      </c>
      <c r="B152" s="217" t="s">
        <v>162</v>
      </c>
      <c r="C152" s="217" t="s">
        <v>162</v>
      </c>
      <c r="D152" s="217" t="s">
        <v>162</v>
      </c>
      <c r="E152" s="217" t="s">
        <v>162</v>
      </c>
      <c r="F152" s="219" t="s">
        <v>693</v>
      </c>
      <c r="G152" s="220" t="s">
        <v>694</v>
      </c>
      <c r="H152" s="217" t="s">
        <v>162</v>
      </c>
      <c r="I152" s="217" t="s">
        <v>162</v>
      </c>
      <c r="J152" s="217" t="s">
        <v>162</v>
      </c>
      <c r="K152" s="217" t="s">
        <v>162</v>
      </c>
      <c r="L152" s="217" t="s">
        <v>162</v>
      </c>
      <c r="M152" s="217" t="s">
        <v>162</v>
      </c>
      <c r="N152" s="257" t="s">
        <v>162</v>
      </c>
      <c r="O152" s="217" t="s">
        <v>162</v>
      </c>
      <c r="P152" s="217" t="s">
        <v>162</v>
      </c>
      <c r="Q152" s="217" t="s">
        <v>162</v>
      </c>
      <c r="R152" s="167"/>
      <c r="S152" s="217" t="s">
        <v>162</v>
      </c>
      <c r="T152" s="217" t="s">
        <v>162</v>
      </c>
      <c r="U152" s="217" t="s">
        <v>162</v>
      </c>
      <c r="V152" s="217" t="s">
        <v>162</v>
      </c>
      <c r="W152" s="217" t="s">
        <v>162</v>
      </c>
      <c r="X152" s="217" t="s">
        <v>162</v>
      </c>
      <c r="Y152" s="217" t="s">
        <v>162</v>
      </c>
      <c r="Z152" s="217" t="s">
        <v>162</v>
      </c>
      <c r="AA152" s="217" t="s">
        <v>162</v>
      </c>
      <c r="AB152" s="217" t="s">
        <v>162</v>
      </c>
      <c r="AC152" s="454" t="str">
        <f>IF(GCP[[#This Row],[Column14]] = "-", GCP[[#This Row],[Column14]], LEFT(GCP[[#This Row],[Column14]], SEARCH(" ", GCP[[#This Row],[Column14]] &amp; " ") - 1))</f>
        <v>-</v>
      </c>
    </row>
    <row r="153" spans="1:29" ht="45">
      <c r="A15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3" s="137" t="str">
        <f>GCP[[#This Row],[Column30]]</f>
        <v>-</v>
      </c>
      <c r="C153" s="137">
        <v>9.1</v>
      </c>
      <c r="D153" s="138" t="s">
        <v>371</v>
      </c>
      <c r="E153" s="162" t="s">
        <v>156</v>
      </c>
      <c r="F153" s="138" t="s">
        <v>695</v>
      </c>
      <c r="G153" s="138" t="s">
        <v>696</v>
      </c>
      <c r="H153" s="163" t="s">
        <v>185</v>
      </c>
      <c r="I153" s="164" t="s">
        <v>185</v>
      </c>
      <c r="J153" s="200" t="s">
        <v>185</v>
      </c>
      <c r="K153" s="176" t="s">
        <v>185</v>
      </c>
      <c r="L153" s="176" t="s">
        <v>185</v>
      </c>
      <c r="M153" s="176" t="s">
        <v>185</v>
      </c>
      <c r="N153" s="222" t="s">
        <v>162</v>
      </c>
      <c r="O153" s="222" t="s">
        <v>162</v>
      </c>
      <c r="P153" s="222" t="s">
        <v>162</v>
      </c>
      <c r="Q153" s="222" t="s">
        <v>162</v>
      </c>
      <c r="S153" s="222" t="s">
        <v>162</v>
      </c>
      <c r="T153" s="222" t="s">
        <v>162</v>
      </c>
      <c r="U153" s="258" t="s">
        <v>162</v>
      </c>
      <c r="V153" s="168"/>
      <c r="W153" s="158" t="s">
        <v>966</v>
      </c>
      <c r="X153" s="158" t="s">
        <v>185</v>
      </c>
      <c r="Y153" s="158"/>
      <c r="Z153" s="158" t="s">
        <v>185</v>
      </c>
      <c r="AA153" s="158" t="str">
        <f>IF(GCP[[#This Row],[Column14]]="-","", "v")</f>
        <v/>
      </c>
      <c r="AB153" s="158" t="str">
        <f>IF(GCP[[#This Row],[Column8]]="x","1",(IF(OR(GCP[[#This Row],[Column25]]=2,GCP[[#This Row],[Column26]]=2,GCP[[#This Row],[Column27]]=2),"1",(IF(GCP[[#This Row],[Column9]]="x","2",(IF(GCP[[#This Row],[Column10]]="x","3","")))))))</f>
        <v>1</v>
      </c>
      <c r="AC153" s="454" t="str">
        <f>IF(GCP[[#This Row],[Column14]] = "-", GCP[[#This Row],[Column14]], LEFT(GCP[[#This Row],[Column14]], SEARCH(" ", GCP[[#This Row],[Column14]] &amp; " ") - 1))</f>
        <v>-</v>
      </c>
    </row>
    <row r="154" spans="1:29" ht="30">
      <c r="A15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4" s="137" t="str">
        <f>GCP[[#This Row],[Column30]]</f>
        <v>-</v>
      </c>
      <c r="C154" s="137">
        <v>9.1999999999999993</v>
      </c>
      <c r="D154" s="138" t="s">
        <v>390</v>
      </c>
      <c r="E154" s="162" t="s">
        <v>156</v>
      </c>
      <c r="F154" s="138" t="s">
        <v>697</v>
      </c>
      <c r="G154" s="138" t="s">
        <v>698</v>
      </c>
      <c r="H154" s="163" t="s">
        <v>185</v>
      </c>
      <c r="I154" s="164" t="s">
        <v>185</v>
      </c>
      <c r="J154" s="200" t="s">
        <v>185</v>
      </c>
      <c r="K154" s="176" t="s">
        <v>185</v>
      </c>
      <c r="L154" s="176" t="s">
        <v>185</v>
      </c>
      <c r="M154" s="176"/>
      <c r="N154" s="222" t="s">
        <v>162</v>
      </c>
      <c r="O154" s="222" t="s">
        <v>162</v>
      </c>
      <c r="P154" s="222" t="s">
        <v>162</v>
      </c>
      <c r="Q154" s="222" t="s">
        <v>162</v>
      </c>
      <c r="S154" s="222" t="s">
        <v>162</v>
      </c>
      <c r="T154" s="222" t="s">
        <v>162</v>
      </c>
      <c r="U154" s="258" t="s">
        <v>162</v>
      </c>
      <c r="V154" s="168"/>
      <c r="W154" s="158" t="s">
        <v>966</v>
      </c>
      <c r="X154" s="158" t="s">
        <v>185</v>
      </c>
      <c r="Y154" s="158"/>
      <c r="Z154" s="158" t="s">
        <v>185</v>
      </c>
      <c r="AA154" s="158" t="str">
        <f>IF(GCP[[#This Row],[Column14]]="-","", "v")</f>
        <v/>
      </c>
      <c r="AB154" s="158" t="str">
        <f>IF(GCP[[#This Row],[Column8]]="x","1",(IF(OR(GCP[[#This Row],[Column25]]=2,GCP[[#This Row],[Column26]]=2,GCP[[#This Row],[Column27]]=2),"1",(IF(GCP[[#This Row],[Column9]]="x","2",(IF(GCP[[#This Row],[Column10]]="x","3","")))))))</f>
        <v>1</v>
      </c>
      <c r="AC154" s="454" t="str">
        <f>IF(GCP[[#This Row],[Column14]] = "-", GCP[[#This Row],[Column14]], LEFT(GCP[[#This Row],[Column14]], SEARCH(" ", GCP[[#This Row],[Column14]] &amp; " ") - 1))</f>
        <v>-</v>
      </c>
    </row>
    <row r="155" spans="1:29" ht="60">
      <c r="A15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5" s="137" t="str">
        <f>GCP[[#This Row],[Column30]]</f>
        <v>-</v>
      </c>
      <c r="C155" s="137">
        <v>9.3000000000000007</v>
      </c>
      <c r="D155" s="138" t="s">
        <v>390</v>
      </c>
      <c r="E155" s="162" t="s">
        <v>156</v>
      </c>
      <c r="F155" s="138" t="s">
        <v>699</v>
      </c>
      <c r="G155" s="138" t="s">
        <v>700</v>
      </c>
      <c r="H155" s="204"/>
      <c r="I155" s="164" t="s">
        <v>185</v>
      </c>
      <c r="J155" s="200" t="s">
        <v>185</v>
      </c>
      <c r="K155" s="176" t="s">
        <v>185</v>
      </c>
      <c r="L155" s="176" t="s">
        <v>185</v>
      </c>
      <c r="M155" s="176"/>
      <c r="N155" s="222" t="s">
        <v>162</v>
      </c>
      <c r="O155" s="222" t="s">
        <v>162</v>
      </c>
      <c r="P155" s="222" t="s">
        <v>162</v>
      </c>
      <c r="Q155" s="222" t="s">
        <v>162</v>
      </c>
      <c r="S155" s="222" t="s">
        <v>162</v>
      </c>
      <c r="T155" s="222" t="s">
        <v>162</v>
      </c>
      <c r="U155" s="258" t="s">
        <v>162</v>
      </c>
      <c r="V155" s="168"/>
      <c r="W155" s="158" t="s">
        <v>966</v>
      </c>
      <c r="X155" s="158" t="s">
        <v>185</v>
      </c>
      <c r="Y155" s="158"/>
      <c r="Z155" s="158" t="s">
        <v>185</v>
      </c>
      <c r="AA155" s="158" t="str">
        <f>IF(GCP[[#This Row],[Column14]]="-","", "v")</f>
        <v/>
      </c>
      <c r="AB155" s="158" t="str">
        <f>IF(GCP[[#This Row],[Column8]]="x","1",(IF(OR(GCP[[#This Row],[Column25]]=2,GCP[[#This Row],[Column26]]=2,GCP[[#This Row],[Column27]]=2),"1",(IF(GCP[[#This Row],[Column9]]="x","2",(IF(GCP[[#This Row],[Column10]]="x","3","")))))))</f>
        <v>2</v>
      </c>
      <c r="AC155" s="454" t="str">
        <f>IF(GCP[[#This Row],[Column14]] = "-", GCP[[#This Row],[Column14]], LEFT(GCP[[#This Row],[Column14]], SEARCH(" ", GCP[[#This Row],[Column14]] &amp; " ") - 1))</f>
        <v>-</v>
      </c>
    </row>
    <row r="156" spans="1:29" ht="45">
      <c r="A15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6" s="137" t="str">
        <f>GCP[[#This Row],[Column30]]</f>
        <v>-</v>
      </c>
      <c r="C156" s="137">
        <v>9.4</v>
      </c>
      <c r="D156" s="138" t="s">
        <v>371</v>
      </c>
      <c r="E156" s="162" t="s">
        <v>156</v>
      </c>
      <c r="F156" s="138" t="s">
        <v>701</v>
      </c>
      <c r="G156" s="138" t="s">
        <v>702</v>
      </c>
      <c r="H156" s="137"/>
      <c r="I156" s="164" t="s">
        <v>185</v>
      </c>
      <c r="J156" s="200" t="s">
        <v>185</v>
      </c>
      <c r="K156" s="176" t="s">
        <v>185</v>
      </c>
      <c r="L156" s="176" t="s">
        <v>185</v>
      </c>
      <c r="M156" s="176" t="s">
        <v>185</v>
      </c>
      <c r="N156" s="222" t="s">
        <v>162</v>
      </c>
      <c r="O156" s="222" t="s">
        <v>162</v>
      </c>
      <c r="P156" s="222" t="s">
        <v>162</v>
      </c>
      <c r="Q156" s="222" t="s">
        <v>162</v>
      </c>
      <c r="S156" s="222" t="s">
        <v>162</v>
      </c>
      <c r="T156" s="222" t="s">
        <v>162</v>
      </c>
      <c r="U156" s="258" t="s">
        <v>162</v>
      </c>
      <c r="V156" s="168"/>
      <c r="W156" s="158" t="s">
        <v>966</v>
      </c>
      <c r="X156" s="158" t="s">
        <v>185</v>
      </c>
      <c r="Y156" s="158"/>
      <c r="Z156" s="158" t="s">
        <v>185</v>
      </c>
      <c r="AA156" s="158" t="str">
        <f>IF(GCP[[#This Row],[Column14]]="-","", "v")</f>
        <v/>
      </c>
      <c r="AB156" s="158" t="str">
        <f>IF(GCP[[#This Row],[Column8]]="x","1",(IF(OR(GCP[[#This Row],[Column25]]=2,GCP[[#This Row],[Column26]]=2,GCP[[#This Row],[Column27]]=2),"1",(IF(GCP[[#This Row],[Column9]]="x","2",(IF(GCP[[#This Row],[Column10]]="x","3","")))))))</f>
        <v>2</v>
      </c>
      <c r="AC156" s="454" t="str">
        <f>IF(GCP[[#This Row],[Column14]] = "-", GCP[[#This Row],[Column14]], LEFT(GCP[[#This Row],[Column14]], SEARCH(" ", GCP[[#This Row],[Column14]] &amp; " ") - 1))</f>
        <v>-</v>
      </c>
    </row>
    <row r="157" spans="1:29" ht="45">
      <c r="A15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7" s="137" t="str">
        <f>GCP[[#This Row],[Column30]]</f>
        <v>-</v>
      </c>
      <c r="C157" s="137">
        <v>9.5</v>
      </c>
      <c r="D157" s="138" t="s">
        <v>390</v>
      </c>
      <c r="E157" s="162" t="s">
        <v>156</v>
      </c>
      <c r="F157" s="138" t="s">
        <v>703</v>
      </c>
      <c r="G157" s="138" t="s">
        <v>704</v>
      </c>
      <c r="H157" s="137"/>
      <c r="I157" s="164" t="s">
        <v>185</v>
      </c>
      <c r="J157" s="200" t="s">
        <v>185</v>
      </c>
      <c r="K157" s="176" t="s">
        <v>185</v>
      </c>
      <c r="L157" s="176" t="s">
        <v>185</v>
      </c>
      <c r="M157" s="176" t="s">
        <v>185</v>
      </c>
      <c r="N157" s="222" t="s">
        <v>162</v>
      </c>
      <c r="O157" s="222" t="s">
        <v>162</v>
      </c>
      <c r="P157" s="222" t="s">
        <v>162</v>
      </c>
      <c r="Q157" s="222" t="s">
        <v>162</v>
      </c>
      <c r="S157" s="222" t="s">
        <v>162</v>
      </c>
      <c r="T157" s="222" t="s">
        <v>162</v>
      </c>
      <c r="U157" s="258" t="s">
        <v>162</v>
      </c>
      <c r="V157" s="168"/>
      <c r="W157" s="158" t="s">
        <v>966</v>
      </c>
      <c r="X157" s="158" t="s">
        <v>185</v>
      </c>
      <c r="Y157" s="158"/>
      <c r="Z157" s="158" t="s">
        <v>185</v>
      </c>
      <c r="AA157" s="158" t="str">
        <f>IF(GCP[[#This Row],[Column14]]="-","", "v")</f>
        <v/>
      </c>
      <c r="AB157" s="158" t="str">
        <f>IF(GCP[[#This Row],[Column8]]="x","1",(IF(OR(GCP[[#This Row],[Column25]]=2,GCP[[#This Row],[Column26]]=2,GCP[[#This Row],[Column27]]=2),"1",(IF(GCP[[#This Row],[Column9]]="x","2",(IF(GCP[[#This Row],[Column10]]="x","3","")))))))</f>
        <v>2</v>
      </c>
      <c r="AC157" s="454" t="str">
        <f>IF(GCP[[#This Row],[Column14]] = "-", GCP[[#This Row],[Column14]], LEFT(GCP[[#This Row],[Column14]], SEARCH(" ", GCP[[#This Row],[Column14]] &amp; " ") - 1))</f>
        <v>-</v>
      </c>
    </row>
    <row r="158" spans="1:29" ht="30">
      <c r="A15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8" s="137" t="str">
        <f>GCP[[#This Row],[Column30]]</f>
        <v>-</v>
      </c>
      <c r="C158" s="137">
        <v>9.6</v>
      </c>
      <c r="D158" s="138" t="s">
        <v>390</v>
      </c>
      <c r="E158" s="162" t="s">
        <v>156</v>
      </c>
      <c r="F158" s="138" t="s">
        <v>705</v>
      </c>
      <c r="G158" s="138" t="s">
        <v>706</v>
      </c>
      <c r="H158" s="137"/>
      <c r="I158" s="164" t="s">
        <v>185</v>
      </c>
      <c r="J158" s="200" t="s">
        <v>185</v>
      </c>
      <c r="K158" s="176" t="s">
        <v>185</v>
      </c>
      <c r="L158" s="176" t="s">
        <v>185</v>
      </c>
      <c r="M158" s="176" t="s">
        <v>185</v>
      </c>
      <c r="N158" s="222" t="s">
        <v>162</v>
      </c>
      <c r="O158" s="222" t="s">
        <v>162</v>
      </c>
      <c r="P158" s="222" t="s">
        <v>162</v>
      </c>
      <c r="Q158" s="222" t="s">
        <v>162</v>
      </c>
      <c r="S158" s="222" t="s">
        <v>162</v>
      </c>
      <c r="T158" s="222" t="s">
        <v>162</v>
      </c>
      <c r="U158" s="258" t="s">
        <v>162</v>
      </c>
      <c r="V158" s="168"/>
      <c r="W158" s="158" t="s">
        <v>966</v>
      </c>
      <c r="X158" s="158" t="s">
        <v>185</v>
      </c>
      <c r="Y158" s="158"/>
      <c r="Z158" s="158" t="s">
        <v>185</v>
      </c>
      <c r="AA158" s="158" t="str">
        <f>IF(GCP[[#This Row],[Column14]]="-","", "v")</f>
        <v/>
      </c>
      <c r="AB158" s="158" t="str">
        <f>IF(GCP[[#This Row],[Column8]]="x","1",(IF(OR(GCP[[#This Row],[Column25]]=2,GCP[[#This Row],[Column26]]=2,GCP[[#This Row],[Column27]]=2),"1",(IF(GCP[[#This Row],[Column9]]="x","2",(IF(GCP[[#This Row],[Column10]]="x","3","")))))))</f>
        <v>2</v>
      </c>
      <c r="AC158" s="454" t="str">
        <f>IF(GCP[[#This Row],[Column14]] = "-", GCP[[#This Row],[Column14]], LEFT(GCP[[#This Row],[Column14]], SEARCH(" ", GCP[[#This Row],[Column14]] &amp; " ") - 1))</f>
        <v>-</v>
      </c>
    </row>
    <row r="159" spans="1:29" ht="45">
      <c r="A15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NOT(ISBLANK(K159)),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NOT(ISBLANK(L159)),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NOT(ISBLANK(M159)),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59" s="137" t="str">
        <f>GCP[[#This Row],[Column30]]</f>
        <v>-</v>
      </c>
      <c r="C159" s="137">
        <v>9.6999999999999993</v>
      </c>
      <c r="D159" s="138" t="s">
        <v>390</v>
      </c>
      <c r="E159" s="162" t="s">
        <v>156</v>
      </c>
      <c r="F159" s="138" t="s">
        <v>707</v>
      </c>
      <c r="G159" s="138" t="s">
        <v>708</v>
      </c>
      <c r="H159" s="137"/>
      <c r="I159" s="137"/>
      <c r="J159" s="200" t="s">
        <v>185</v>
      </c>
      <c r="K159" s="176" t="s">
        <v>185</v>
      </c>
      <c r="L159" s="176" t="s">
        <v>185</v>
      </c>
      <c r="M159" s="176" t="s">
        <v>185</v>
      </c>
      <c r="N159" s="222" t="s">
        <v>162</v>
      </c>
      <c r="O159" s="222" t="s">
        <v>162</v>
      </c>
      <c r="P159" s="222" t="s">
        <v>162</v>
      </c>
      <c r="Q159" s="222" t="s">
        <v>162</v>
      </c>
      <c r="S159" s="222" t="s">
        <v>162</v>
      </c>
      <c r="T159" s="222" t="s">
        <v>162</v>
      </c>
      <c r="U159" s="258" t="s">
        <v>162</v>
      </c>
      <c r="V159" s="168"/>
      <c r="W159" s="158" t="s">
        <v>966</v>
      </c>
      <c r="X159" s="158" t="s">
        <v>185</v>
      </c>
      <c r="Y159" s="158"/>
      <c r="Z159" s="158" t="s">
        <v>185</v>
      </c>
      <c r="AA159" s="158" t="str">
        <f>IF(GCP[[#This Row],[Column14]]="-","", "v")</f>
        <v/>
      </c>
      <c r="AB159" s="158" t="str">
        <f>IF(GCP[[#This Row],[Column8]]="x","1",(IF(OR(GCP[[#This Row],[Column25]]=2,GCP[[#This Row],[Column26]]=2,GCP[[#This Row],[Column27]]=2),"1",(IF(GCP[[#This Row],[Column9]]="x","2",(IF(GCP[[#This Row],[Column10]]="x","3","")))))))</f>
        <v>3</v>
      </c>
      <c r="AC159" s="454" t="str">
        <f>IF(GCP[[#This Row],[Column14]] = "-", GCP[[#This Row],[Column14]], LEFT(GCP[[#This Row],[Column14]], SEARCH(" ", GCP[[#This Row],[Column14]] &amp; " ") - 1))</f>
        <v>-</v>
      </c>
    </row>
    <row r="160" spans="1:29" ht="30" hidden="1">
      <c r="A160" s="221" t="s">
        <v>942</v>
      </c>
      <c r="B160" s="217" t="s">
        <v>162</v>
      </c>
      <c r="C160" s="217" t="s">
        <v>162</v>
      </c>
      <c r="D160" s="217" t="s">
        <v>162</v>
      </c>
      <c r="E160" s="217" t="s">
        <v>162</v>
      </c>
      <c r="F160" s="219" t="s">
        <v>709</v>
      </c>
      <c r="G160" s="220" t="s">
        <v>710</v>
      </c>
      <c r="H160" s="217" t="s">
        <v>162</v>
      </c>
      <c r="I160" s="217" t="s">
        <v>162</v>
      </c>
      <c r="J160" s="217" t="s">
        <v>162</v>
      </c>
      <c r="K160" s="217" t="s">
        <v>162</v>
      </c>
      <c r="L160" s="217" t="s">
        <v>162</v>
      </c>
      <c r="M160" s="217" t="s">
        <v>162</v>
      </c>
      <c r="N160" s="257" t="s">
        <v>162</v>
      </c>
      <c r="O160" s="217" t="s">
        <v>162</v>
      </c>
      <c r="P160" s="217" t="s">
        <v>162</v>
      </c>
      <c r="Q160" s="217" t="s">
        <v>162</v>
      </c>
      <c r="R160" s="167"/>
      <c r="S160" s="217" t="s">
        <v>162</v>
      </c>
      <c r="T160" s="217" t="s">
        <v>162</v>
      </c>
      <c r="U160" s="217" t="s">
        <v>162</v>
      </c>
      <c r="V160" s="217" t="s">
        <v>162</v>
      </c>
      <c r="W160" s="217" t="s">
        <v>162</v>
      </c>
      <c r="X160" s="217" t="s">
        <v>162</v>
      </c>
      <c r="Y160" s="217" t="s">
        <v>162</v>
      </c>
      <c r="Z160" s="217" t="s">
        <v>162</v>
      </c>
      <c r="AA160" s="217" t="s">
        <v>162</v>
      </c>
      <c r="AB160" s="217" t="s">
        <v>162</v>
      </c>
      <c r="AC160" s="454" t="str">
        <f>IF(GCP[[#This Row],[Column14]] = "-", GCP[[#This Row],[Column14]], LEFT(GCP[[#This Row],[Column14]], SEARCH(" ", GCP[[#This Row],[Column14]] &amp; " ") - 1))</f>
        <v>-</v>
      </c>
    </row>
    <row r="161" spans="1:29" ht="30">
      <c r="A16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1" s="137" t="str">
        <f>GCP[[#This Row],[Column30]]</f>
        <v>-</v>
      </c>
      <c r="C161" s="137">
        <v>10.1</v>
      </c>
      <c r="D161" s="138" t="s">
        <v>352</v>
      </c>
      <c r="E161" s="162" t="s">
        <v>156</v>
      </c>
      <c r="F161" s="138" t="s">
        <v>711</v>
      </c>
      <c r="G161" s="138" t="s">
        <v>712</v>
      </c>
      <c r="H161" s="163" t="s">
        <v>185</v>
      </c>
      <c r="I161" s="164" t="s">
        <v>185</v>
      </c>
      <c r="J161" s="200" t="s">
        <v>185</v>
      </c>
      <c r="K161" s="176" t="s">
        <v>185</v>
      </c>
      <c r="L161" s="176" t="s">
        <v>185</v>
      </c>
      <c r="M161" s="158"/>
      <c r="N161" s="222" t="s">
        <v>162</v>
      </c>
      <c r="O161" s="222" t="s">
        <v>162</v>
      </c>
      <c r="P161" s="222" t="s">
        <v>162</v>
      </c>
      <c r="Q161" s="222" t="s">
        <v>162</v>
      </c>
      <c r="S161" s="222" t="s">
        <v>162</v>
      </c>
      <c r="T161" s="222" t="s">
        <v>162</v>
      </c>
      <c r="U161" s="258" t="s">
        <v>162</v>
      </c>
      <c r="V161" s="168"/>
      <c r="W161" s="158" t="s">
        <v>966</v>
      </c>
      <c r="X161" s="158" t="s">
        <v>185</v>
      </c>
      <c r="Y161" s="158" t="s">
        <v>185</v>
      </c>
      <c r="Z161" s="158" t="s">
        <v>185</v>
      </c>
      <c r="AA161" s="158" t="str">
        <f>IF(GCP[[#This Row],[Column14]]="-","", "v")</f>
        <v/>
      </c>
      <c r="AB161" s="158" t="str">
        <f>IF(GCP[[#This Row],[Column8]]="x","1",(IF(OR(GCP[[#This Row],[Column25]]=2,GCP[[#This Row],[Column26]]=2,GCP[[#This Row],[Column27]]=2),"1",(IF(GCP[[#This Row],[Column9]]="x","2",(IF(GCP[[#This Row],[Column10]]="x","3","")))))))</f>
        <v>1</v>
      </c>
      <c r="AC161" s="454" t="str">
        <f>IF(GCP[[#This Row],[Column14]] = "-", GCP[[#This Row],[Column14]], LEFT(GCP[[#This Row],[Column14]], SEARCH(" ", GCP[[#This Row],[Column14]] &amp; " ") - 1))</f>
        <v>-</v>
      </c>
    </row>
    <row r="162" spans="1:29" ht="30">
      <c r="A16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2" s="137" t="str">
        <f>GCP[[#This Row],[Column30]]</f>
        <v>-</v>
      </c>
      <c r="C162" s="137">
        <v>10.199999999999999</v>
      </c>
      <c r="D162" s="138" t="s">
        <v>352</v>
      </c>
      <c r="E162" s="162" t="s">
        <v>156</v>
      </c>
      <c r="F162" s="138" t="s">
        <v>713</v>
      </c>
      <c r="G162" s="138" t="s">
        <v>714</v>
      </c>
      <c r="H162" s="163" t="s">
        <v>185</v>
      </c>
      <c r="I162" s="164" t="s">
        <v>185</v>
      </c>
      <c r="J162" s="200" t="s">
        <v>185</v>
      </c>
      <c r="K162" s="176" t="s">
        <v>185</v>
      </c>
      <c r="L162" s="176" t="s">
        <v>185</v>
      </c>
      <c r="M162" s="158"/>
      <c r="N162" s="222" t="s">
        <v>162</v>
      </c>
      <c r="O162" s="222" t="s">
        <v>162</v>
      </c>
      <c r="P162" s="222" t="s">
        <v>162</v>
      </c>
      <c r="Q162" s="222" t="s">
        <v>162</v>
      </c>
      <c r="S162" s="222" t="s">
        <v>162</v>
      </c>
      <c r="T162" s="222" t="s">
        <v>162</v>
      </c>
      <c r="U162" s="258" t="s">
        <v>162</v>
      </c>
      <c r="V162" s="168"/>
      <c r="W162" s="158" t="s">
        <v>966</v>
      </c>
      <c r="X162" s="158" t="s">
        <v>185</v>
      </c>
      <c r="Y162" s="158" t="s">
        <v>185</v>
      </c>
      <c r="Z162" s="158" t="s">
        <v>185</v>
      </c>
      <c r="AA162" s="158" t="str">
        <f>IF(GCP[[#This Row],[Column14]]="-","", "v")</f>
        <v/>
      </c>
      <c r="AB162" s="158" t="str">
        <f>IF(GCP[[#This Row],[Column8]]="x","1",(IF(OR(GCP[[#This Row],[Column25]]=2,GCP[[#This Row],[Column26]]=2,GCP[[#This Row],[Column27]]=2),"1",(IF(GCP[[#This Row],[Column9]]="x","2",(IF(GCP[[#This Row],[Column10]]="x","3","")))))))</f>
        <v>1</v>
      </c>
      <c r="AC162" s="454" t="str">
        <f>IF(GCP[[#This Row],[Column14]] = "-", GCP[[#This Row],[Column14]], LEFT(GCP[[#This Row],[Column14]], SEARCH(" ", GCP[[#This Row],[Column14]] &amp; " ") - 1))</f>
        <v>-</v>
      </c>
    </row>
    <row r="163" spans="1:29" ht="45">
      <c r="A16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3" s="137" t="str">
        <f>GCP[[#This Row],[Column30]]</f>
        <v>-</v>
      </c>
      <c r="C163" s="137">
        <v>10.3</v>
      </c>
      <c r="D163" s="138" t="s">
        <v>352</v>
      </c>
      <c r="E163" s="162" t="s">
        <v>156</v>
      </c>
      <c r="F163" s="138" t="s">
        <v>715</v>
      </c>
      <c r="G163" s="138" t="s">
        <v>716</v>
      </c>
      <c r="H163" s="163" t="s">
        <v>185</v>
      </c>
      <c r="I163" s="164" t="s">
        <v>185</v>
      </c>
      <c r="J163" s="200" t="s">
        <v>185</v>
      </c>
      <c r="K163" s="176" t="s">
        <v>185</v>
      </c>
      <c r="L163" s="176"/>
      <c r="M163" s="158"/>
      <c r="N163" s="222" t="s">
        <v>162</v>
      </c>
      <c r="O163" s="222" t="s">
        <v>162</v>
      </c>
      <c r="P163" s="222" t="s">
        <v>162</v>
      </c>
      <c r="Q163" s="222" t="s">
        <v>162</v>
      </c>
      <c r="S163" s="222" t="s">
        <v>162</v>
      </c>
      <c r="T163" s="222" t="s">
        <v>162</v>
      </c>
      <c r="U163" s="258" t="s">
        <v>162</v>
      </c>
      <c r="V163" s="168"/>
      <c r="W163" s="158" t="s">
        <v>966</v>
      </c>
      <c r="X163" s="158" t="s">
        <v>185</v>
      </c>
      <c r="Y163" s="158" t="s">
        <v>185</v>
      </c>
      <c r="Z163" s="158" t="s">
        <v>185</v>
      </c>
      <c r="AA163" s="158" t="str">
        <f>IF(GCP[[#This Row],[Column14]]="-","", "v")</f>
        <v/>
      </c>
      <c r="AB163" s="158" t="str">
        <f>IF(GCP[[#This Row],[Column8]]="x","1",(IF(OR(GCP[[#This Row],[Column25]]=2,GCP[[#This Row],[Column26]]=2,GCP[[#This Row],[Column27]]=2),"1",(IF(GCP[[#This Row],[Column9]]="x","2",(IF(GCP[[#This Row],[Column10]]="x","3","")))))))</f>
        <v>1</v>
      </c>
      <c r="AC163" s="454" t="str">
        <f>IF(GCP[[#This Row],[Column14]] = "-", GCP[[#This Row],[Column14]], LEFT(GCP[[#This Row],[Column14]], SEARCH(" ", GCP[[#This Row],[Column14]] &amp; " ") - 1))</f>
        <v>-</v>
      </c>
    </row>
    <row r="164" spans="1:29" ht="45">
      <c r="A16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4" s="137" t="str">
        <f>GCP[[#This Row],[Column30]]</f>
        <v>-</v>
      </c>
      <c r="C164" s="137">
        <v>10.4</v>
      </c>
      <c r="D164" s="138" t="s">
        <v>352</v>
      </c>
      <c r="E164" s="162" t="s">
        <v>155</v>
      </c>
      <c r="F164" s="138" t="s">
        <v>717</v>
      </c>
      <c r="G164" s="138" t="s">
        <v>718</v>
      </c>
      <c r="H164" s="204"/>
      <c r="I164" s="164" t="s">
        <v>185</v>
      </c>
      <c r="J164" s="200" t="s">
        <v>185</v>
      </c>
      <c r="K164" s="176" t="s">
        <v>185</v>
      </c>
      <c r="L164" s="176"/>
      <c r="M164" s="158"/>
      <c r="N164" s="222" t="s">
        <v>162</v>
      </c>
      <c r="O164" s="222" t="s">
        <v>162</v>
      </c>
      <c r="P164" s="222" t="s">
        <v>162</v>
      </c>
      <c r="Q164" s="222" t="s">
        <v>162</v>
      </c>
      <c r="S164" s="222" t="s">
        <v>162</v>
      </c>
      <c r="T164" s="222" t="s">
        <v>162</v>
      </c>
      <c r="U164" s="258" t="s">
        <v>162</v>
      </c>
      <c r="V164" s="168"/>
      <c r="W164" s="158" t="s">
        <v>966</v>
      </c>
      <c r="X164" s="158" t="s">
        <v>185</v>
      </c>
      <c r="Y164" s="158" t="s">
        <v>185</v>
      </c>
      <c r="Z164" s="158" t="s">
        <v>185</v>
      </c>
      <c r="AA164" s="158" t="str">
        <f>IF(GCP[[#This Row],[Column14]]="-","", "v")</f>
        <v/>
      </c>
      <c r="AB164" s="158" t="str">
        <f>IF(GCP[[#This Row],[Column8]]="x","1",(IF(OR(GCP[[#This Row],[Column25]]=2,GCP[[#This Row],[Column26]]=2,GCP[[#This Row],[Column27]]=2),"1",(IF(GCP[[#This Row],[Column9]]="x","2",(IF(GCP[[#This Row],[Column10]]="x","3","")))))))</f>
        <v>2</v>
      </c>
      <c r="AC164" s="454" t="str">
        <f>IF(GCP[[#This Row],[Column14]] = "-", GCP[[#This Row],[Column14]], LEFT(GCP[[#This Row],[Column14]], SEARCH(" ", GCP[[#This Row],[Column14]] &amp; " ") - 1))</f>
        <v>-</v>
      </c>
    </row>
    <row r="165" spans="1:29" ht="60">
      <c r="A16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5" s="137" t="str">
        <f>GCP[[#This Row],[Column30]]</f>
        <v>-</v>
      </c>
      <c r="C165" s="137">
        <v>10.5</v>
      </c>
      <c r="D165" s="138" t="s">
        <v>352</v>
      </c>
      <c r="E165" s="162" t="s">
        <v>156</v>
      </c>
      <c r="F165" s="138" t="s">
        <v>719</v>
      </c>
      <c r="G165" s="139" t="s">
        <v>720</v>
      </c>
      <c r="H165" s="204"/>
      <c r="I165" s="164" t="s">
        <v>185</v>
      </c>
      <c r="J165" s="200" t="s">
        <v>185</v>
      </c>
      <c r="K165" s="176" t="s">
        <v>185</v>
      </c>
      <c r="L165" s="176" t="s">
        <v>185</v>
      </c>
      <c r="M165" s="158"/>
      <c r="N165" s="222" t="s">
        <v>162</v>
      </c>
      <c r="O165" s="222" t="s">
        <v>162</v>
      </c>
      <c r="P165" s="222" t="s">
        <v>162</v>
      </c>
      <c r="Q165" s="222" t="s">
        <v>162</v>
      </c>
      <c r="S165" s="222" t="s">
        <v>162</v>
      </c>
      <c r="T165" s="222" t="s">
        <v>162</v>
      </c>
      <c r="U165" s="258" t="s">
        <v>162</v>
      </c>
      <c r="V165" s="168"/>
      <c r="W165" s="158" t="s">
        <v>966</v>
      </c>
      <c r="X165" s="158" t="s">
        <v>185</v>
      </c>
      <c r="Y165" s="158" t="s">
        <v>185</v>
      </c>
      <c r="Z165" s="158" t="s">
        <v>185</v>
      </c>
      <c r="AA165" s="158" t="str">
        <f>IF(GCP[[#This Row],[Column14]]="-","", "v")</f>
        <v/>
      </c>
      <c r="AB165" s="158" t="str">
        <f>IF(GCP[[#This Row],[Column8]]="x","1",(IF(OR(GCP[[#This Row],[Column25]]=2,GCP[[#This Row],[Column26]]=2,GCP[[#This Row],[Column27]]=2),"1",(IF(GCP[[#This Row],[Column9]]="x","2",(IF(GCP[[#This Row],[Column10]]="x","3","")))))))</f>
        <v>2</v>
      </c>
      <c r="AC165" s="454" t="str">
        <f>IF(GCP[[#This Row],[Column14]] = "-", GCP[[#This Row],[Column14]], LEFT(GCP[[#This Row],[Column14]], SEARCH(" ", GCP[[#This Row],[Column14]] &amp; " ") - 1))</f>
        <v>-</v>
      </c>
    </row>
    <row r="166" spans="1:29" ht="30">
      <c r="A16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6" s="137" t="str">
        <f>GCP[[#This Row],[Column30]]</f>
        <v>-</v>
      </c>
      <c r="C166" s="137">
        <v>10.6</v>
      </c>
      <c r="D166" s="138" t="s">
        <v>352</v>
      </c>
      <c r="E166" s="162" t="s">
        <v>156</v>
      </c>
      <c r="F166" s="138" t="s">
        <v>721</v>
      </c>
      <c r="G166" s="138" t="s">
        <v>722</v>
      </c>
      <c r="H166" s="137"/>
      <c r="I166" s="164" t="s">
        <v>185</v>
      </c>
      <c r="J166" s="200" t="s">
        <v>185</v>
      </c>
      <c r="K166" s="176" t="s">
        <v>185</v>
      </c>
      <c r="L166" s="176" t="s">
        <v>185</v>
      </c>
      <c r="M166" s="158"/>
      <c r="N166" s="222" t="s">
        <v>162</v>
      </c>
      <c r="O166" s="222" t="s">
        <v>162</v>
      </c>
      <c r="P166" s="222" t="s">
        <v>162</v>
      </c>
      <c r="Q166" s="222" t="s">
        <v>162</v>
      </c>
      <c r="S166" s="222" t="s">
        <v>162</v>
      </c>
      <c r="T166" s="222" t="s">
        <v>162</v>
      </c>
      <c r="U166" s="258" t="s">
        <v>162</v>
      </c>
      <c r="V166" s="168"/>
      <c r="W166" s="158" t="s">
        <v>966</v>
      </c>
      <c r="X166" s="158" t="s">
        <v>185</v>
      </c>
      <c r="Y166" s="158" t="s">
        <v>185</v>
      </c>
      <c r="Z166" s="158" t="s">
        <v>185</v>
      </c>
      <c r="AA166" s="158" t="str">
        <f>IF(GCP[[#This Row],[Column14]]="-","", "v")</f>
        <v/>
      </c>
      <c r="AB166" s="158" t="str">
        <f>IF(GCP[[#This Row],[Column8]]="x","1",(IF(OR(GCP[[#This Row],[Column25]]=2,GCP[[#This Row],[Column26]]=2,GCP[[#This Row],[Column27]]=2),"1",(IF(GCP[[#This Row],[Column9]]="x","2",(IF(GCP[[#This Row],[Column10]]="x","3","")))))))</f>
        <v>2</v>
      </c>
      <c r="AC166" s="454" t="str">
        <f>IF(GCP[[#This Row],[Column14]] = "-", GCP[[#This Row],[Column14]], LEFT(GCP[[#This Row],[Column14]], SEARCH(" ", GCP[[#This Row],[Column14]] &amp; " ") - 1))</f>
        <v>-</v>
      </c>
    </row>
    <row r="167" spans="1:29" ht="30">
      <c r="A16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7" s="137" t="str">
        <f>GCP[[#This Row],[Column30]]</f>
        <v>-</v>
      </c>
      <c r="C167" s="137">
        <v>10.7</v>
      </c>
      <c r="D167" s="138" t="s">
        <v>352</v>
      </c>
      <c r="E167" s="162" t="s">
        <v>155</v>
      </c>
      <c r="F167" s="138" t="s">
        <v>723</v>
      </c>
      <c r="G167" s="138" t="s">
        <v>724</v>
      </c>
      <c r="H167" s="137"/>
      <c r="I167" s="164" t="s">
        <v>185</v>
      </c>
      <c r="J167" s="200" t="s">
        <v>185</v>
      </c>
      <c r="K167" s="176" t="s">
        <v>185</v>
      </c>
      <c r="L167" s="176" t="s">
        <v>185</v>
      </c>
      <c r="M167" s="158"/>
      <c r="N167" s="222" t="s">
        <v>162</v>
      </c>
      <c r="O167" s="222" t="s">
        <v>162</v>
      </c>
      <c r="P167" s="222" t="s">
        <v>162</v>
      </c>
      <c r="Q167" s="222" t="s">
        <v>162</v>
      </c>
      <c r="S167" s="222" t="s">
        <v>162</v>
      </c>
      <c r="T167" s="222" t="s">
        <v>162</v>
      </c>
      <c r="U167" s="258" t="s">
        <v>162</v>
      </c>
      <c r="V167" s="168"/>
      <c r="W167" s="158" t="s">
        <v>966</v>
      </c>
      <c r="X167" s="158" t="s">
        <v>185</v>
      </c>
      <c r="Y167" s="158" t="s">
        <v>185</v>
      </c>
      <c r="Z167" s="158" t="s">
        <v>185</v>
      </c>
      <c r="AA167" s="158" t="str">
        <f>IF(GCP[[#This Row],[Column14]]="-","", "v")</f>
        <v/>
      </c>
      <c r="AB167" s="158" t="str">
        <f>IF(GCP[[#This Row],[Column8]]="x","1",(IF(OR(GCP[[#This Row],[Column25]]=2,GCP[[#This Row],[Column26]]=2,GCP[[#This Row],[Column27]]=2),"1",(IF(GCP[[#This Row],[Column9]]="x","2",(IF(GCP[[#This Row],[Column10]]="x","3","")))))))</f>
        <v>2</v>
      </c>
      <c r="AC167" s="454" t="str">
        <f>IF(GCP[[#This Row],[Column14]] = "-", GCP[[#This Row],[Column14]], LEFT(GCP[[#This Row],[Column14]], SEARCH(" ", GCP[[#This Row],[Column14]] &amp; " ") - 1))</f>
        <v>-</v>
      </c>
    </row>
    <row r="168" spans="1:29" ht="30" hidden="1">
      <c r="A168" s="221" t="s">
        <v>942</v>
      </c>
      <c r="B168" s="217" t="s">
        <v>162</v>
      </c>
      <c r="C168" s="217" t="s">
        <v>162</v>
      </c>
      <c r="D168" s="217" t="s">
        <v>162</v>
      </c>
      <c r="E168" s="217" t="s">
        <v>162</v>
      </c>
      <c r="F168" s="219" t="s">
        <v>725</v>
      </c>
      <c r="G168" s="220" t="s">
        <v>726</v>
      </c>
      <c r="H168" s="217" t="s">
        <v>162</v>
      </c>
      <c r="I168" s="217" t="s">
        <v>162</v>
      </c>
      <c r="J168" s="217" t="s">
        <v>162</v>
      </c>
      <c r="K168" s="217" t="s">
        <v>162</v>
      </c>
      <c r="L168" s="217" t="s">
        <v>162</v>
      </c>
      <c r="M168" s="217" t="s">
        <v>162</v>
      </c>
      <c r="N168" s="257" t="s">
        <v>162</v>
      </c>
      <c r="O168" s="217" t="s">
        <v>162</v>
      </c>
      <c r="P168" s="217" t="s">
        <v>162</v>
      </c>
      <c r="Q168" s="217" t="s">
        <v>162</v>
      </c>
      <c r="R168" s="167"/>
      <c r="S168" s="217" t="s">
        <v>162</v>
      </c>
      <c r="T168" s="217" t="s">
        <v>162</v>
      </c>
      <c r="U168" s="217" t="s">
        <v>162</v>
      </c>
      <c r="V168" s="217" t="s">
        <v>162</v>
      </c>
      <c r="W168" s="217" t="s">
        <v>162</v>
      </c>
      <c r="X168" s="217" t="s">
        <v>162</v>
      </c>
      <c r="Y168" s="217" t="s">
        <v>162</v>
      </c>
      <c r="Z168" s="217" t="s">
        <v>162</v>
      </c>
      <c r="AA168" s="217" t="s">
        <v>162</v>
      </c>
      <c r="AB168" s="217" t="s">
        <v>162</v>
      </c>
      <c r="AC168" s="454" t="str">
        <f>IF(GCP[[#This Row],[Column14]] = "-", GCP[[#This Row],[Column14]], LEFT(GCP[[#This Row],[Column14]], SEARCH(" ", GCP[[#This Row],[Column14]] &amp; " ") - 1))</f>
        <v>-</v>
      </c>
    </row>
    <row r="169" spans="1:29" ht="60">
      <c r="A16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NOT(ISBLANK(K169)),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NOT(ISBLANK(L169)),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NOT(ISBLANK(M169)),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69" s="137" t="str">
        <f>GCP[[#This Row],[Column30]]</f>
        <v>-</v>
      </c>
      <c r="C169" s="137">
        <v>11.1</v>
      </c>
      <c r="D169" s="138" t="s">
        <v>182</v>
      </c>
      <c r="E169" s="169" t="s">
        <v>158</v>
      </c>
      <c r="F169" s="138" t="s">
        <v>336</v>
      </c>
      <c r="G169" s="138" t="s">
        <v>337</v>
      </c>
      <c r="H169" s="163" t="s">
        <v>185</v>
      </c>
      <c r="I169" s="164" t="s">
        <v>185</v>
      </c>
      <c r="J169" s="200" t="s">
        <v>185</v>
      </c>
      <c r="K169" s="176" t="s">
        <v>185</v>
      </c>
      <c r="L169" s="176" t="s">
        <v>185</v>
      </c>
      <c r="M169" s="176" t="s">
        <v>185</v>
      </c>
      <c r="N169" s="222" t="s">
        <v>162</v>
      </c>
      <c r="O169" s="222" t="s">
        <v>162</v>
      </c>
      <c r="P169" s="222" t="s">
        <v>162</v>
      </c>
      <c r="Q169" s="222" t="s">
        <v>162</v>
      </c>
      <c r="R169" s="451"/>
      <c r="S169" s="222" t="s">
        <v>162</v>
      </c>
      <c r="T169" s="222" t="s">
        <v>162</v>
      </c>
      <c r="U169" s="258" t="s">
        <v>162</v>
      </c>
      <c r="V169" s="168"/>
      <c r="W169" s="158" t="s">
        <v>966</v>
      </c>
      <c r="X169" s="158"/>
      <c r="Y169" s="158"/>
      <c r="Z169" s="158" t="s">
        <v>185</v>
      </c>
      <c r="AA169" s="158" t="str">
        <f>IF(GCP[[#This Row],[Column14]]="-","", "v")</f>
        <v/>
      </c>
      <c r="AB169" s="158" t="str">
        <f>IF(GCP[[#This Row],[Column8]]="x","1",(IF(OR(GCP[[#This Row],[Column25]]=2,GCP[[#This Row],[Column26]]=2,GCP[[#This Row],[Column27]]=2),"1",(IF(GCP[[#This Row],[Column9]]="x","2",(IF(GCP[[#This Row],[Column10]]="x","3","")))))))</f>
        <v>1</v>
      </c>
      <c r="AC169" s="454" t="str">
        <f>IF(GCP[[#This Row],[Column14]] = "-", GCP[[#This Row],[Column14]], LEFT(GCP[[#This Row],[Column14]], SEARCH(" ", GCP[[#This Row],[Column14]] &amp; " ") - 1))</f>
        <v>-</v>
      </c>
    </row>
    <row r="170" spans="1:29" ht="409.5">
      <c r="A17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0" s="137" t="str">
        <f>GCP[[#This Row],[Column30]]</f>
        <v>6.7</v>
      </c>
      <c r="C170" s="137">
        <v>11.2</v>
      </c>
      <c r="D170" s="138" t="s">
        <v>182</v>
      </c>
      <c r="E170" s="169" t="s">
        <v>158</v>
      </c>
      <c r="F170" s="138" t="s">
        <v>338</v>
      </c>
      <c r="G170" s="138" t="s">
        <v>339</v>
      </c>
      <c r="H170" s="163" t="s">
        <v>185</v>
      </c>
      <c r="I170" s="164" t="s">
        <v>185</v>
      </c>
      <c r="J170" s="200" t="s">
        <v>185</v>
      </c>
      <c r="K170" s="176" t="s">
        <v>185</v>
      </c>
      <c r="L170" s="176" t="s">
        <v>185</v>
      </c>
      <c r="M170" s="176" t="s">
        <v>185</v>
      </c>
      <c r="N170" s="222" t="s">
        <v>1441</v>
      </c>
      <c r="O170" s="212">
        <v>1</v>
      </c>
      <c r="P170" s="214" t="s">
        <v>1442</v>
      </c>
      <c r="Q170" s="214" t="s">
        <v>1443</v>
      </c>
      <c r="R170" s="451" t="s">
        <v>1444</v>
      </c>
      <c r="S170" s="214" t="s">
        <v>1445</v>
      </c>
      <c r="T170" s="214" t="s">
        <v>1446</v>
      </c>
      <c r="U170" s="158" t="s">
        <v>162</v>
      </c>
      <c r="V170" s="168" t="s">
        <v>1569</v>
      </c>
      <c r="W170" s="158" t="s">
        <v>967</v>
      </c>
      <c r="X170" s="158"/>
      <c r="Y170" s="158"/>
      <c r="Z170" s="158" t="s">
        <v>185</v>
      </c>
      <c r="AA170" s="158" t="str">
        <f>IF(GCP[[#This Row],[Column14]]="-","", "v")</f>
        <v>v</v>
      </c>
      <c r="AB170" s="158" t="str">
        <f>IF(GCP[[#This Row],[Column8]]="x","1",(IF(OR(GCP[[#This Row],[Column25]]=2,GCP[[#This Row],[Column26]]=2,GCP[[#This Row],[Column27]]=2),"1",(IF(GCP[[#This Row],[Column9]]="x","2",(IF(GCP[[#This Row],[Column10]]="x","3","")))))))</f>
        <v>1</v>
      </c>
      <c r="AC170" s="454" t="str">
        <f>IF(GCP[[#This Row],[Column14]] = "-", GCP[[#This Row],[Column14]], LEFT(GCP[[#This Row],[Column14]], SEARCH(" ", GCP[[#This Row],[Column14]] &amp; " ") - 1))</f>
        <v>6.7</v>
      </c>
    </row>
    <row r="171" spans="1:29" ht="30">
      <c r="A17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1" s="137" t="str">
        <f>GCP[[#This Row],[Column30]]</f>
        <v>-</v>
      </c>
      <c r="C171" s="137">
        <v>11.3</v>
      </c>
      <c r="D171" s="138" t="s">
        <v>182</v>
      </c>
      <c r="E171" s="162" t="s">
        <v>156</v>
      </c>
      <c r="F171" s="138" t="s">
        <v>340</v>
      </c>
      <c r="G171" s="138" t="s">
        <v>341</v>
      </c>
      <c r="H171" s="163" t="s">
        <v>185</v>
      </c>
      <c r="I171" s="164" t="s">
        <v>185</v>
      </c>
      <c r="J171" s="200" t="s">
        <v>185</v>
      </c>
      <c r="K171" s="176" t="s">
        <v>185</v>
      </c>
      <c r="L171" s="176" t="s">
        <v>185</v>
      </c>
      <c r="M171" s="176" t="s">
        <v>185</v>
      </c>
      <c r="N171" s="222" t="s">
        <v>162</v>
      </c>
      <c r="O171" s="222" t="s">
        <v>162</v>
      </c>
      <c r="P171" s="222" t="s">
        <v>162</v>
      </c>
      <c r="Q171" s="222" t="s">
        <v>162</v>
      </c>
      <c r="R171" s="451"/>
      <c r="S171" s="222" t="s">
        <v>162</v>
      </c>
      <c r="T171" s="222" t="s">
        <v>162</v>
      </c>
      <c r="U171" s="258" t="s">
        <v>162</v>
      </c>
      <c r="V171" s="168"/>
      <c r="W171" s="158" t="s">
        <v>966</v>
      </c>
      <c r="X171" s="158"/>
      <c r="Y171" s="158"/>
      <c r="Z171" s="158" t="s">
        <v>185</v>
      </c>
      <c r="AA171" s="158" t="str">
        <f>IF(GCP[[#This Row],[Column14]]="-","", "v")</f>
        <v/>
      </c>
      <c r="AB171" s="158" t="str">
        <f>IF(GCP[[#This Row],[Column8]]="x","1",(IF(OR(GCP[[#This Row],[Column25]]=2,GCP[[#This Row],[Column26]]=2,GCP[[#This Row],[Column27]]=2),"1",(IF(GCP[[#This Row],[Column9]]="x","2",(IF(GCP[[#This Row],[Column10]]="x","3","")))))))</f>
        <v>1</v>
      </c>
      <c r="AC171" s="454" t="str">
        <f>IF(GCP[[#This Row],[Column14]] = "-", GCP[[#This Row],[Column14]], LEFT(GCP[[#This Row],[Column14]], SEARCH(" ", GCP[[#This Row],[Column14]] &amp; " ") - 1))</f>
        <v>-</v>
      </c>
    </row>
    <row r="172" spans="1:29" ht="45">
      <c r="A17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2" s="137" t="str">
        <f>GCP[[#This Row],[Column30]]</f>
        <v>-</v>
      </c>
      <c r="C172" s="137">
        <v>11.4</v>
      </c>
      <c r="D172" s="138" t="s">
        <v>182</v>
      </c>
      <c r="E172" s="169" t="s">
        <v>158</v>
      </c>
      <c r="F172" s="138" t="s">
        <v>342</v>
      </c>
      <c r="G172" s="139" t="s">
        <v>343</v>
      </c>
      <c r="H172" s="163" t="s">
        <v>185</v>
      </c>
      <c r="I172" s="164" t="s">
        <v>185</v>
      </c>
      <c r="J172" s="200" t="s">
        <v>185</v>
      </c>
      <c r="K172" s="176" t="s">
        <v>185</v>
      </c>
      <c r="L172" s="176" t="s">
        <v>185</v>
      </c>
      <c r="M172" s="176" t="s">
        <v>185</v>
      </c>
      <c r="N172" s="222" t="s">
        <v>162</v>
      </c>
      <c r="O172" s="222" t="s">
        <v>162</v>
      </c>
      <c r="P172" s="222" t="s">
        <v>162</v>
      </c>
      <c r="Q172" s="222" t="s">
        <v>162</v>
      </c>
      <c r="R172" s="451"/>
      <c r="S172" s="222" t="s">
        <v>162</v>
      </c>
      <c r="T172" s="222" t="s">
        <v>162</v>
      </c>
      <c r="U172" s="258" t="s">
        <v>162</v>
      </c>
      <c r="V172" s="168"/>
      <c r="W172" s="158" t="s">
        <v>966</v>
      </c>
      <c r="X172" s="158"/>
      <c r="Y172" s="158"/>
      <c r="Z172" s="158" t="s">
        <v>185</v>
      </c>
      <c r="AA172" s="158" t="str">
        <f>IF(GCP[[#This Row],[Column14]]="-","", "v")</f>
        <v/>
      </c>
      <c r="AB172" s="158" t="str">
        <f>IF(GCP[[#This Row],[Column8]]="x","1",(IF(OR(GCP[[#This Row],[Column25]]=2,GCP[[#This Row],[Column26]]=2,GCP[[#This Row],[Column27]]=2),"1",(IF(GCP[[#This Row],[Column9]]="x","2",(IF(GCP[[#This Row],[Column10]]="x","3","")))))))</f>
        <v>1</v>
      </c>
      <c r="AC172" s="454" t="str">
        <f>IF(GCP[[#This Row],[Column14]] = "-", GCP[[#This Row],[Column14]], LEFT(GCP[[#This Row],[Column14]], SEARCH(" ", GCP[[#This Row],[Column14]] &amp; " ") - 1))</f>
        <v>-</v>
      </c>
    </row>
    <row r="173" spans="1:29" ht="30">
      <c r="A17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3" s="137" t="str">
        <f>GCP[[#This Row],[Column30]]</f>
        <v>-</v>
      </c>
      <c r="C173" s="137">
        <v>11.5</v>
      </c>
      <c r="D173" s="138" t="s">
        <v>182</v>
      </c>
      <c r="E173" s="169" t="s">
        <v>158</v>
      </c>
      <c r="F173" s="138" t="s">
        <v>344</v>
      </c>
      <c r="G173" s="138" t="s">
        <v>345</v>
      </c>
      <c r="H173" s="204"/>
      <c r="I173" s="164" t="s">
        <v>185</v>
      </c>
      <c r="J173" s="200" t="s">
        <v>185</v>
      </c>
      <c r="K173" s="176" t="s">
        <v>185</v>
      </c>
      <c r="L173" s="176" t="s">
        <v>185</v>
      </c>
      <c r="M173" s="176" t="s">
        <v>185</v>
      </c>
      <c r="N173" s="222" t="s">
        <v>162</v>
      </c>
      <c r="O173" s="222" t="s">
        <v>162</v>
      </c>
      <c r="P173" s="222" t="s">
        <v>162</v>
      </c>
      <c r="Q173" s="222" t="s">
        <v>162</v>
      </c>
      <c r="R173" s="451"/>
      <c r="S173" s="222" t="s">
        <v>162</v>
      </c>
      <c r="T173" s="222" t="s">
        <v>162</v>
      </c>
      <c r="U173" s="258" t="s">
        <v>162</v>
      </c>
      <c r="V173" s="168"/>
      <c r="W173" s="158" t="s">
        <v>966</v>
      </c>
      <c r="X173" s="158"/>
      <c r="Y173" s="158"/>
      <c r="Z173" s="158" t="s">
        <v>185</v>
      </c>
      <c r="AA173" s="158" t="str">
        <f>IF(GCP[[#This Row],[Column14]]="-","", "v")</f>
        <v/>
      </c>
      <c r="AB173" s="158" t="str">
        <f>IF(GCP[[#This Row],[Column8]]="x","1",(IF(OR(GCP[[#This Row],[Column25]]=2,GCP[[#This Row],[Column26]]=2,GCP[[#This Row],[Column27]]=2),"1",(IF(GCP[[#This Row],[Column9]]="x","2",(IF(GCP[[#This Row],[Column10]]="x","3","")))))))</f>
        <v>2</v>
      </c>
      <c r="AC173" s="454" t="str">
        <f>IF(GCP[[#This Row],[Column14]] = "-", GCP[[#This Row],[Column14]], LEFT(GCP[[#This Row],[Column14]], SEARCH(" ", GCP[[#This Row],[Column14]] &amp; " ") - 1))</f>
        <v>-</v>
      </c>
    </row>
    <row r="174" spans="1:29" ht="45" hidden="1">
      <c r="A174" s="221" t="s">
        <v>942</v>
      </c>
      <c r="B174" s="217" t="s">
        <v>162</v>
      </c>
      <c r="C174" s="217" t="s">
        <v>162</v>
      </c>
      <c r="D174" s="217" t="s">
        <v>162</v>
      </c>
      <c r="E174" s="217" t="s">
        <v>162</v>
      </c>
      <c r="F174" s="219" t="s">
        <v>727</v>
      </c>
      <c r="G174" s="220" t="s">
        <v>728</v>
      </c>
      <c r="H174" s="217" t="s">
        <v>162</v>
      </c>
      <c r="I174" s="217" t="s">
        <v>162</v>
      </c>
      <c r="J174" s="217" t="s">
        <v>162</v>
      </c>
      <c r="K174" s="217" t="s">
        <v>162</v>
      </c>
      <c r="L174" s="217" t="s">
        <v>162</v>
      </c>
      <c r="M174" s="217" t="s">
        <v>162</v>
      </c>
      <c r="N174" s="257" t="s">
        <v>162</v>
      </c>
      <c r="O174" s="217" t="s">
        <v>162</v>
      </c>
      <c r="P174" s="217" t="s">
        <v>162</v>
      </c>
      <c r="Q174" s="217" t="s">
        <v>162</v>
      </c>
      <c r="R174" s="167"/>
      <c r="S174" s="217" t="s">
        <v>162</v>
      </c>
      <c r="T174" s="217" t="s">
        <v>162</v>
      </c>
      <c r="U174" s="217" t="s">
        <v>162</v>
      </c>
      <c r="V174" s="217" t="s">
        <v>162</v>
      </c>
      <c r="W174" s="217" t="s">
        <v>162</v>
      </c>
      <c r="X174" s="217" t="s">
        <v>162</v>
      </c>
      <c r="Y174" s="217" t="s">
        <v>162</v>
      </c>
      <c r="Z174" s="217" t="s">
        <v>162</v>
      </c>
      <c r="AA174" s="217" t="s">
        <v>162</v>
      </c>
      <c r="AB174" s="217" t="s">
        <v>162</v>
      </c>
      <c r="AC174" s="454" t="str">
        <f>IF(GCP[[#This Row],[Column14]] = "-", GCP[[#This Row],[Column14]], LEFT(GCP[[#This Row],[Column14]], SEARCH(" ", GCP[[#This Row],[Column14]] &amp; " ") - 1))</f>
        <v>-</v>
      </c>
    </row>
    <row r="175" spans="1:29" ht="60">
      <c r="A17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5" s="137" t="str">
        <f>GCP[[#This Row],[Column30]]</f>
        <v>-</v>
      </c>
      <c r="C175" s="137">
        <v>12.1</v>
      </c>
      <c r="D175" s="138" t="s">
        <v>390</v>
      </c>
      <c r="E175" s="162" t="s">
        <v>156</v>
      </c>
      <c r="F175" s="138" t="s">
        <v>729</v>
      </c>
      <c r="G175" s="138" t="s">
        <v>730</v>
      </c>
      <c r="H175" s="163" t="s">
        <v>185</v>
      </c>
      <c r="I175" s="164" t="s">
        <v>185</v>
      </c>
      <c r="J175" s="200" t="s">
        <v>185</v>
      </c>
      <c r="K175" s="176" t="s">
        <v>185</v>
      </c>
      <c r="L175" s="176"/>
      <c r="M175" s="176"/>
      <c r="N175" s="222" t="s">
        <v>162</v>
      </c>
      <c r="O175" s="222" t="s">
        <v>162</v>
      </c>
      <c r="P175" s="222" t="s">
        <v>162</v>
      </c>
      <c r="Q175" s="222" t="s">
        <v>162</v>
      </c>
      <c r="S175" s="222" t="s">
        <v>162</v>
      </c>
      <c r="T175" s="222" t="s">
        <v>162</v>
      </c>
      <c r="U175" s="258" t="s">
        <v>162</v>
      </c>
      <c r="V175" s="168"/>
      <c r="W175" s="158" t="s">
        <v>966</v>
      </c>
      <c r="X175" s="158" t="s">
        <v>185</v>
      </c>
      <c r="Y175" s="158"/>
      <c r="Z175" s="158" t="s">
        <v>185</v>
      </c>
      <c r="AA175" s="158" t="str">
        <f>IF(GCP[[#This Row],[Column14]]="-","", "v")</f>
        <v/>
      </c>
      <c r="AB175" s="158" t="str">
        <f>IF(GCP[[#This Row],[Column8]]="x","1",(IF(OR(GCP[[#This Row],[Column25]]=2,GCP[[#This Row],[Column26]]=2,GCP[[#This Row],[Column27]]=2),"1",(IF(GCP[[#This Row],[Column9]]="x","2",(IF(GCP[[#This Row],[Column10]]="x","3","")))))))</f>
        <v>1</v>
      </c>
      <c r="AC175" s="454" t="str">
        <f>IF(GCP[[#This Row],[Column14]] = "-", GCP[[#This Row],[Column14]], LEFT(GCP[[#This Row],[Column14]], SEARCH(" ", GCP[[#This Row],[Column14]] &amp; " ") - 1))</f>
        <v>-</v>
      </c>
    </row>
    <row r="176" spans="1:29" ht="45">
      <c r="A17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6" s="137" t="str">
        <f>GCP[[#This Row],[Column30]]</f>
        <v>-</v>
      </c>
      <c r="C176" s="137">
        <v>12.2</v>
      </c>
      <c r="D176" s="138" t="s">
        <v>390</v>
      </c>
      <c r="E176" s="162" t="s">
        <v>156</v>
      </c>
      <c r="F176" s="138" t="s">
        <v>731</v>
      </c>
      <c r="G176" s="138" t="s">
        <v>732</v>
      </c>
      <c r="H176" s="204"/>
      <c r="I176" s="164" t="s">
        <v>185</v>
      </c>
      <c r="J176" s="200" t="s">
        <v>185</v>
      </c>
      <c r="K176" s="176" t="s">
        <v>185</v>
      </c>
      <c r="L176" s="176" t="s">
        <v>185</v>
      </c>
      <c r="M176" s="176" t="s">
        <v>185</v>
      </c>
      <c r="N176" s="222" t="s">
        <v>162</v>
      </c>
      <c r="O176" s="222" t="s">
        <v>162</v>
      </c>
      <c r="P176" s="222" t="s">
        <v>162</v>
      </c>
      <c r="Q176" s="222" t="s">
        <v>162</v>
      </c>
      <c r="S176" s="222" t="s">
        <v>162</v>
      </c>
      <c r="T176" s="222" t="s">
        <v>162</v>
      </c>
      <c r="U176" s="258" t="s">
        <v>162</v>
      </c>
      <c r="V176" s="168"/>
      <c r="W176" s="158" t="s">
        <v>966</v>
      </c>
      <c r="X176" s="158" t="s">
        <v>185</v>
      </c>
      <c r="Y176" s="158"/>
      <c r="Z176" s="158" t="s">
        <v>185</v>
      </c>
      <c r="AA176" s="158" t="str">
        <f>IF(GCP[[#This Row],[Column14]]="-","", "v")</f>
        <v/>
      </c>
      <c r="AB176" s="158" t="str">
        <f>IF(GCP[[#This Row],[Column8]]="x","1",(IF(OR(GCP[[#This Row],[Column25]]=2,GCP[[#This Row],[Column26]]=2,GCP[[#This Row],[Column27]]=2),"1",(IF(GCP[[#This Row],[Column9]]="x","2",(IF(GCP[[#This Row],[Column10]]="x","3","")))))))</f>
        <v>2</v>
      </c>
      <c r="AC176" s="454" t="str">
        <f>IF(GCP[[#This Row],[Column14]] = "-", GCP[[#This Row],[Column14]], LEFT(GCP[[#This Row],[Column14]], SEARCH(" ", GCP[[#This Row],[Column14]] &amp; " ") - 1))</f>
        <v>-</v>
      </c>
    </row>
    <row r="177" spans="1:29" ht="45">
      <c r="A17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7" s="137" t="str">
        <f>GCP[[#This Row],[Column30]]</f>
        <v>-</v>
      </c>
      <c r="C177" s="137">
        <v>12.3</v>
      </c>
      <c r="D177" s="138" t="s">
        <v>390</v>
      </c>
      <c r="E177" s="162" t="s">
        <v>156</v>
      </c>
      <c r="F177" s="138" t="s">
        <v>733</v>
      </c>
      <c r="G177" s="138" t="s">
        <v>734</v>
      </c>
      <c r="H177" s="204"/>
      <c r="I177" s="164" t="s">
        <v>185</v>
      </c>
      <c r="J177" s="200" t="s">
        <v>185</v>
      </c>
      <c r="K177" s="176" t="s">
        <v>185</v>
      </c>
      <c r="L177" s="176" t="s">
        <v>185</v>
      </c>
      <c r="M177" s="176" t="s">
        <v>185</v>
      </c>
      <c r="N177" s="222" t="s">
        <v>162</v>
      </c>
      <c r="O177" s="222" t="s">
        <v>162</v>
      </c>
      <c r="P177" s="222" t="s">
        <v>162</v>
      </c>
      <c r="Q177" s="222" t="s">
        <v>162</v>
      </c>
      <c r="S177" s="222" t="s">
        <v>162</v>
      </c>
      <c r="T177" s="222" t="s">
        <v>162</v>
      </c>
      <c r="U177" s="258" t="s">
        <v>162</v>
      </c>
      <c r="V177" s="168"/>
      <c r="W177" s="158" t="s">
        <v>966</v>
      </c>
      <c r="X177" s="158" t="s">
        <v>185</v>
      </c>
      <c r="Y177" s="158"/>
      <c r="Z177" s="158" t="s">
        <v>185</v>
      </c>
      <c r="AA177" s="158" t="str">
        <f>IF(GCP[[#This Row],[Column14]]="-","", "v")</f>
        <v/>
      </c>
      <c r="AB177" s="158" t="str">
        <f>IF(GCP[[#This Row],[Column8]]="x","1",(IF(OR(GCP[[#This Row],[Column25]]=2,GCP[[#This Row],[Column26]]=2,GCP[[#This Row],[Column27]]=2),"1",(IF(GCP[[#This Row],[Column9]]="x","2",(IF(GCP[[#This Row],[Column10]]="x","3","")))))))</f>
        <v>2</v>
      </c>
      <c r="AC177" s="454" t="str">
        <f>IF(GCP[[#This Row],[Column14]] = "-", GCP[[#This Row],[Column14]], LEFT(GCP[[#This Row],[Column14]], SEARCH(" ", GCP[[#This Row],[Column14]] &amp; " ") - 1))</f>
        <v>-</v>
      </c>
    </row>
    <row r="178" spans="1:29" ht="45">
      <c r="A17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8" s="137" t="str">
        <f>GCP[[#This Row],[Column30]]</f>
        <v>-</v>
      </c>
      <c r="C178" s="137">
        <v>12.4</v>
      </c>
      <c r="D178" s="138" t="s">
        <v>390</v>
      </c>
      <c r="E178" s="162" t="s">
        <v>154</v>
      </c>
      <c r="F178" s="138" t="s">
        <v>735</v>
      </c>
      <c r="G178" s="138" t="s">
        <v>736</v>
      </c>
      <c r="H178" s="204"/>
      <c r="I178" s="164" t="s">
        <v>185</v>
      </c>
      <c r="J178" s="200" t="s">
        <v>185</v>
      </c>
      <c r="K178" s="176" t="s">
        <v>185</v>
      </c>
      <c r="L178" s="176" t="s">
        <v>185</v>
      </c>
      <c r="M178" s="176" t="s">
        <v>185</v>
      </c>
      <c r="N178" s="222" t="s">
        <v>162</v>
      </c>
      <c r="O178" s="222" t="s">
        <v>162</v>
      </c>
      <c r="P178" s="222" t="s">
        <v>162</v>
      </c>
      <c r="Q178" s="222" t="s">
        <v>162</v>
      </c>
      <c r="S178" s="222" t="s">
        <v>162</v>
      </c>
      <c r="T178" s="222" t="s">
        <v>162</v>
      </c>
      <c r="U178" s="258" t="s">
        <v>162</v>
      </c>
      <c r="V178" s="168"/>
      <c r="W178" s="158" t="s">
        <v>966</v>
      </c>
      <c r="X178" s="158" t="s">
        <v>185</v>
      </c>
      <c r="Y178" s="158"/>
      <c r="Z178" s="158" t="s">
        <v>185</v>
      </c>
      <c r="AA178" s="158" t="str">
        <f>IF(GCP[[#This Row],[Column14]]="-","", "v")</f>
        <v/>
      </c>
      <c r="AB178" s="158" t="str">
        <f>IF(GCP[[#This Row],[Column8]]="x","1",(IF(OR(GCP[[#This Row],[Column25]]=2,GCP[[#This Row],[Column26]]=2,GCP[[#This Row],[Column27]]=2),"1",(IF(GCP[[#This Row],[Column9]]="x","2",(IF(GCP[[#This Row],[Column10]]="x","3","")))))))</f>
        <v>2</v>
      </c>
      <c r="AC178" s="454" t="str">
        <f>IF(GCP[[#This Row],[Column14]] = "-", GCP[[#This Row],[Column14]], LEFT(GCP[[#This Row],[Column14]], SEARCH(" ", GCP[[#This Row],[Column14]] &amp; " ") - 1))</f>
        <v>-</v>
      </c>
    </row>
    <row r="179" spans="1:29" ht="60">
      <c r="A17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NOT(ISBLANK(K179)),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NOT(ISBLANK(L179)),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NOT(ISBLANK(M179)),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79" s="137" t="str">
        <f>GCP[[#This Row],[Column30]]</f>
        <v>-</v>
      </c>
      <c r="C179" s="137">
        <v>12.5</v>
      </c>
      <c r="D179" s="138" t="s">
        <v>390</v>
      </c>
      <c r="E179" s="162" t="s">
        <v>156</v>
      </c>
      <c r="F179" s="138" t="s">
        <v>737</v>
      </c>
      <c r="G179" s="138" t="s">
        <v>738</v>
      </c>
      <c r="H179" s="204"/>
      <c r="I179" s="164" t="s">
        <v>185</v>
      </c>
      <c r="J179" s="200" t="s">
        <v>185</v>
      </c>
      <c r="K179" s="176" t="s">
        <v>185</v>
      </c>
      <c r="L179" s="176"/>
      <c r="M179" s="176"/>
      <c r="N179" s="222" t="s">
        <v>162</v>
      </c>
      <c r="O179" s="222" t="s">
        <v>162</v>
      </c>
      <c r="P179" s="222" t="s">
        <v>162</v>
      </c>
      <c r="Q179" s="222" t="s">
        <v>162</v>
      </c>
      <c r="S179" s="222" t="s">
        <v>162</v>
      </c>
      <c r="T179" s="222" t="s">
        <v>162</v>
      </c>
      <c r="U179" s="258" t="s">
        <v>162</v>
      </c>
      <c r="V179" s="168"/>
      <c r="W179" s="158" t="s">
        <v>966</v>
      </c>
      <c r="X179" s="158" t="s">
        <v>185</v>
      </c>
      <c r="Y179" s="158"/>
      <c r="Z179" s="158" t="s">
        <v>185</v>
      </c>
      <c r="AA179" s="158" t="str">
        <f>IF(GCP[[#This Row],[Column14]]="-","", "v")</f>
        <v/>
      </c>
      <c r="AB179" s="158" t="str">
        <f>IF(GCP[[#This Row],[Column8]]="x","1",(IF(OR(GCP[[#This Row],[Column25]]=2,GCP[[#This Row],[Column26]]=2,GCP[[#This Row],[Column27]]=2),"1",(IF(GCP[[#This Row],[Column9]]="x","2",(IF(GCP[[#This Row],[Column10]]="x","3","")))))))</f>
        <v>2</v>
      </c>
      <c r="AC179" s="454" t="str">
        <f>IF(GCP[[#This Row],[Column14]] = "-", GCP[[#This Row],[Column14]], LEFT(GCP[[#This Row],[Column14]], SEARCH(" ", GCP[[#This Row],[Column14]] &amp; " ") - 1))</f>
        <v>-</v>
      </c>
    </row>
    <row r="180" spans="1:29" ht="45">
      <c r="A18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0" s="137" t="str">
        <f>GCP[[#This Row],[Column30]]</f>
        <v>-</v>
      </c>
      <c r="C180" s="137">
        <v>12.6</v>
      </c>
      <c r="D180" s="138" t="s">
        <v>390</v>
      </c>
      <c r="E180" s="162" t="s">
        <v>156</v>
      </c>
      <c r="F180" s="138" t="s">
        <v>739</v>
      </c>
      <c r="G180" s="139" t="s">
        <v>740</v>
      </c>
      <c r="H180" s="204"/>
      <c r="I180" s="164" t="s">
        <v>185</v>
      </c>
      <c r="J180" s="200" t="s">
        <v>185</v>
      </c>
      <c r="K180" s="176" t="s">
        <v>185</v>
      </c>
      <c r="L180" s="176"/>
      <c r="M180" s="176"/>
      <c r="N180" s="222" t="s">
        <v>162</v>
      </c>
      <c r="O180" s="222" t="s">
        <v>162</v>
      </c>
      <c r="P180" s="222" t="s">
        <v>162</v>
      </c>
      <c r="Q180" s="222" t="s">
        <v>162</v>
      </c>
      <c r="S180" s="222" t="s">
        <v>162</v>
      </c>
      <c r="T180" s="222" t="s">
        <v>162</v>
      </c>
      <c r="U180" s="258" t="s">
        <v>162</v>
      </c>
      <c r="V180" s="168"/>
      <c r="W180" s="158" t="s">
        <v>966</v>
      </c>
      <c r="X180" s="158" t="s">
        <v>185</v>
      </c>
      <c r="Y180" s="158"/>
      <c r="Z180" s="158" t="s">
        <v>185</v>
      </c>
      <c r="AA180" s="158" t="str">
        <f>IF(GCP[[#This Row],[Column14]]="-","", "v")</f>
        <v/>
      </c>
      <c r="AB180" s="158" t="str">
        <f>IF(GCP[[#This Row],[Column8]]="x","1",(IF(OR(GCP[[#This Row],[Column25]]=2,GCP[[#This Row],[Column26]]=2,GCP[[#This Row],[Column27]]=2),"1",(IF(GCP[[#This Row],[Column9]]="x","2",(IF(GCP[[#This Row],[Column10]]="x","3","")))))))</f>
        <v>2</v>
      </c>
      <c r="AC180" s="454" t="str">
        <f>IF(GCP[[#This Row],[Column14]] = "-", GCP[[#This Row],[Column14]], LEFT(GCP[[#This Row],[Column14]], SEARCH(" ", GCP[[#This Row],[Column14]] &amp; " ") - 1))</f>
        <v>-</v>
      </c>
    </row>
    <row r="181" spans="1:29" ht="75">
      <c r="A18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1" s="137" t="str">
        <f>GCP[[#This Row],[Column30]]</f>
        <v>-</v>
      </c>
      <c r="C181" s="137">
        <v>12.7</v>
      </c>
      <c r="D181" s="138" t="s">
        <v>352</v>
      </c>
      <c r="E181" s="162" t="s">
        <v>156</v>
      </c>
      <c r="F181" s="139" t="s">
        <v>741</v>
      </c>
      <c r="G181" s="139" t="s">
        <v>742</v>
      </c>
      <c r="H181" s="204"/>
      <c r="I181" s="164" t="s">
        <v>185</v>
      </c>
      <c r="J181" s="200" t="s">
        <v>185</v>
      </c>
      <c r="K181" s="176" t="s">
        <v>185</v>
      </c>
      <c r="L181" s="176"/>
      <c r="M181" s="176"/>
      <c r="N181" s="222" t="s">
        <v>162</v>
      </c>
      <c r="O181" s="222" t="s">
        <v>162</v>
      </c>
      <c r="P181" s="222" t="s">
        <v>162</v>
      </c>
      <c r="Q181" s="222" t="s">
        <v>162</v>
      </c>
      <c r="S181" s="222" t="s">
        <v>162</v>
      </c>
      <c r="T181" s="222" t="s">
        <v>162</v>
      </c>
      <c r="U181" s="258" t="s">
        <v>162</v>
      </c>
      <c r="V181" s="168"/>
      <c r="W181" s="158" t="s">
        <v>966</v>
      </c>
      <c r="X181" s="158" t="s">
        <v>185</v>
      </c>
      <c r="Y181" s="158"/>
      <c r="Z181" s="158" t="s">
        <v>185</v>
      </c>
      <c r="AA181" s="158" t="str">
        <f>IF(GCP[[#This Row],[Column14]]="-","", "v")</f>
        <v/>
      </c>
      <c r="AB181" s="158" t="str">
        <f>IF(GCP[[#This Row],[Column8]]="x","1",(IF(OR(GCP[[#This Row],[Column25]]=2,GCP[[#This Row],[Column26]]=2,GCP[[#This Row],[Column27]]=2),"1",(IF(GCP[[#This Row],[Column9]]="x","2",(IF(GCP[[#This Row],[Column10]]="x","3","")))))))</f>
        <v>2</v>
      </c>
      <c r="AC181" s="454" t="str">
        <f>IF(GCP[[#This Row],[Column14]] = "-", GCP[[#This Row],[Column14]], LEFT(GCP[[#This Row],[Column14]], SEARCH(" ", GCP[[#This Row],[Column14]] &amp; " ") - 1))</f>
        <v>-</v>
      </c>
    </row>
    <row r="182" spans="1:29" ht="60">
      <c r="A18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2" s="137" t="str">
        <f>GCP[[#This Row],[Column30]]</f>
        <v>-</v>
      </c>
      <c r="C182" s="137">
        <v>12.8</v>
      </c>
      <c r="D182" s="138" t="s">
        <v>352</v>
      </c>
      <c r="E182" s="162" t="s">
        <v>156</v>
      </c>
      <c r="F182" s="139" t="s">
        <v>743</v>
      </c>
      <c r="G182" s="138" t="s">
        <v>744</v>
      </c>
      <c r="H182" s="137"/>
      <c r="I182" s="137"/>
      <c r="J182" s="200" t="s">
        <v>185</v>
      </c>
      <c r="K182" s="176" t="s">
        <v>185</v>
      </c>
      <c r="L182" s="176"/>
      <c r="M182" s="176"/>
      <c r="N182" s="222" t="s">
        <v>162</v>
      </c>
      <c r="O182" s="222" t="s">
        <v>162</v>
      </c>
      <c r="P182" s="222" t="s">
        <v>162</v>
      </c>
      <c r="Q182" s="222" t="s">
        <v>162</v>
      </c>
      <c r="S182" s="222" t="s">
        <v>162</v>
      </c>
      <c r="T182" s="222" t="s">
        <v>162</v>
      </c>
      <c r="U182" s="258" t="s">
        <v>162</v>
      </c>
      <c r="V182" s="168"/>
      <c r="W182" s="158" t="s">
        <v>966</v>
      </c>
      <c r="X182" s="158" t="s">
        <v>185</v>
      </c>
      <c r="Y182" s="158"/>
      <c r="Z182" s="158" t="s">
        <v>185</v>
      </c>
      <c r="AA182" s="158" t="str">
        <f>IF(GCP[[#This Row],[Column14]]="-","", "v")</f>
        <v/>
      </c>
      <c r="AB182" s="158" t="str">
        <f>IF(GCP[[#This Row],[Column8]]="x","1",(IF(OR(GCP[[#This Row],[Column25]]=2,GCP[[#This Row],[Column26]]=2,GCP[[#This Row],[Column27]]=2),"1",(IF(GCP[[#This Row],[Column9]]="x","2",(IF(GCP[[#This Row],[Column10]]="x","3","")))))))</f>
        <v>3</v>
      </c>
      <c r="AC182" s="454" t="str">
        <f>IF(GCP[[#This Row],[Column14]] = "-", GCP[[#This Row],[Column14]], LEFT(GCP[[#This Row],[Column14]], SEARCH(" ", GCP[[#This Row],[Column14]] &amp; " ") - 1))</f>
        <v>-</v>
      </c>
    </row>
    <row r="183" spans="1:29" ht="45" hidden="1">
      <c r="A183" s="221" t="s">
        <v>942</v>
      </c>
      <c r="B183" s="217" t="s">
        <v>162</v>
      </c>
      <c r="C183" s="217" t="s">
        <v>162</v>
      </c>
      <c r="D183" s="217" t="s">
        <v>162</v>
      </c>
      <c r="E183" s="217" t="s">
        <v>162</v>
      </c>
      <c r="F183" s="219" t="s">
        <v>745</v>
      </c>
      <c r="G183" s="220" t="s">
        <v>746</v>
      </c>
      <c r="H183" s="217" t="s">
        <v>162</v>
      </c>
      <c r="I183" s="217" t="s">
        <v>162</v>
      </c>
      <c r="J183" s="217" t="s">
        <v>162</v>
      </c>
      <c r="K183" s="217" t="s">
        <v>162</v>
      </c>
      <c r="L183" s="217" t="s">
        <v>162</v>
      </c>
      <c r="M183" s="217" t="s">
        <v>162</v>
      </c>
      <c r="N183" s="257" t="s">
        <v>162</v>
      </c>
      <c r="O183" s="217" t="s">
        <v>162</v>
      </c>
      <c r="P183" s="217" t="s">
        <v>162</v>
      </c>
      <c r="Q183" s="217" t="s">
        <v>162</v>
      </c>
      <c r="R183" s="167"/>
      <c r="S183" s="217" t="s">
        <v>162</v>
      </c>
      <c r="T183" s="217" t="s">
        <v>162</v>
      </c>
      <c r="U183" s="217" t="s">
        <v>162</v>
      </c>
      <c r="V183" s="217" t="s">
        <v>162</v>
      </c>
      <c r="W183" s="217" t="s">
        <v>162</v>
      </c>
      <c r="X183" s="217" t="s">
        <v>162</v>
      </c>
      <c r="Y183" s="217" t="s">
        <v>162</v>
      </c>
      <c r="Z183" s="217" t="s">
        <v>162</v>
      </c>
      <c r="AA183" s="217" t="s">
        <v>162</v>
      </c>
      <c r="AB183" s="217" t="s">
        <v>162</v>
      </c>
      <c r="AC183" s="454" t="str">
        <f>IF(GCP[[#This Row],[Column14]] = "-", GCP[[#This Row],[Column14]], LEFT(GCP[[#This Row],[Column14]], SEARCH(" ", GCP[[#This Row],[Column14]] &amp; " ") - 1))</f>
        <v>-</v>
      </c>
    </row>
    <row r="184" spans="1:29" ht="60">
      <c r="A18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4" s="137" t="str">
        <f>GCP[[#This Row],[Column30]]</f>
        <v>-</v>
      </c>
      <c r="C184" s="137">
        <v>13.1</v>
      </c>
      <c r="D184" s="138" t="s">
        <v>390</v>
      </c>
      <c r="E184" s="162" t="s">
        <v>155</v>
      </c>
      <c r="F184" s="138" t="s">
        <v>747</v>
      </c>
      <c r="G184" s="139" t="s">
        <v>748</v>
      </c>
      <c r="H184" s="137"/>
      <c r="I184" s="164" t="s">
        <v>185</v>
      </c>
      <c r="J184" s="200" t="s">
        <v>185</v>
      </c>
      <c r="K184" s="176" t="s">
        <v>185</v>
      </c>
      <c r="L184" s="176" t="s">
        <v>185</v>
      </c>
      <c r="M184" s="176" t="s">
        <v>185</v>
      </c>
      <c r="N184" s="222" t="s">
        <v>162</v>
      </c>
      <c r="O184" s="222" t="s">
        <v>162</v>
      </c>
      <c r="P184" s="222" t="s">
        <v>162</v>
      </c>
      <c r="Q184" s="222" t="s">
        <v>162</v>
      </c>
      <c r="R184" s="451"/>
      <c r="S184" s="222" t="s">
        <v>162</v>
      </c>
      <c r="T184" s="222" t="s">
        <v>162</v>
      </c>
      <c r="U184" s="258" t="s">
        <v>162</v>
      </c>
      <c r="V184" s="168"/>
      <c r="W184" s="158" t="s">
        <v>966</v>
      </c>
      <c r="X184" s="158" t="s">
        <v>185</v>
      </c>
      <c r="Y184" s="158"/>
      <c r="Z184" s="158" t="s">
        <v>185</v>
      </c>
      <c r="AA184" s="158" t="str">
        <f>IF(GCP[[#This Row],[Column14]]="-","", "v")</f>
        <v/>
      </c>
      <c r="AB184" s="158" t="str">
        <f>IF(GCP[[#This Row],[Column8]]="x","1",(IF(OR(GCP[[#This Row],[Column25]]=2,GCP[[#This Row],[Column26]]=2,GCP[[#This Row],[Column27]]=2),"1",(IF(GCP[[#This Row],[Column9]]="x","2",(IF(GCP[[#This Row],[Column10]]="x","3","")))))))</f>
        <v>2</v>
      </c>
      <c r="AC184" s="454" t="str">
        <f>IF(GCP[[#This Row],[Column14]] = "-", GCP[[#This Row],[Column14]], LEFT(GCP[[#This Row],[Column14]], SEARCH(" ", GCP[[#This Row],[Column14]] &amp; " ") - 1))</f>
        <v>-</v>
      </c>
    </row>
    <row r="185" spans="1:29" ht="30">
      <c r="A18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5" s="137" t="str">
        <f>GCP[[#This Row],[Column30]]</f>
        <v>-</v>
      </c>
      <c r="C185" s="137">
        <v>13.2</v>
      </c>
      <c r="D185" s="138" t="s">
        <v>352</v>
      </c>
      <c r="E185" s="162" t="s">
        <v>155</v>
      </c>
      <c r="F185" s="138" t="s">
        <v>749</v>
      </c>
      <c r="G185" s="138" t="s">
        <v>750</v>
      </c>
      <c r="H185" s="137"/>
      <c r="I185" s="164" t="s">
        <v>185</v>
      </c>
      <c r="J185" s="200" t="s">
        <v>185</v>
      </c>
      <c r="K185" s="176" t="s">
        <v>185</v>
      </c>
      <c r="L185" s="176"/>
      <c r="M185" s="176"/>
      <c r="N185" s="222" t="s">
        <v>162</v>
      </c>
      <c r="O185" s="222" t="s">
        <v>162</v>
      </c>
      <c r="P185" s="222" t="s">
        <v>162</v>
      </c>
      <c r="Q185" s="222" t="s">
        <v>162</v>
      </c>
      <c r="R185" s="451"/>
      <c r="S185" s="222" t="s">
        <v>162</v>
      </c>
      <c r="T185" s="222" t="s">
        <v>162</v>
      </c>
      <c r="U185" s="258" t="s">
        <v>162</v>
      </c>
      <c r="V185" s="168"/>
      <c r="W185" s="158" t="s">
        <v>966</v>
      </c>
      <c r="X185" s="158" t="s">
        <v>185</v>
      </c>
      <c r="Y185" s="158"/>
      <c r="Z185" s="158" t="s">
        <v>185</v>
      </c>
      <c r="AA185" s="158" t="str">
        <f>IF(GCP[[#This Row],[Column14]]="-","", "v")</f>
        <v/>
      </c>
      <c r="AB185" s="158" t="str">
        <f>IF(GCP[[#This Row],[Column8]]="x","1",(IF(OR(GCP[[#This Row],[Column25]]=2,GCP[[#This Row],[Column26]]=2,GCP[[#This Row],[Column27]]=2),"1",(IF(GCP[[#This Row],[Column9]]="x","2",(IF(GCP[[#This Row],[Column10]]="x","3","")))))))</f>
        <v>2</v>
      </c>
      <c r="AC185" s="454" t="str">
        <f>IF(GCP[[#This Row],[Column14]] = "-", GCP[[#This Row],[Column14]], LEFT(GCP[[#This Row],[Column14]], SEARCH(" ", GCP[[#This Row],[Column14]] &amp; " ") - 1))</f>
        <v>-</v>
      </c>
    </row>
    <row r="186" spans="1:29" ht="45">
      <c r="A18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6" s="137" t="str">
        <f>GCP[[#This Row],[Column30]]</f>
        <v>-</v>
      </c>
      <c r="C186" s="137">
        <v>13.3</v>
      </c>
      <c r="D186" s="138" t="s">
        <v>390</v>
      </c>
      <c r="E186" s="162" t="s">
        <v>155</v>
      </c>
      <c r="F186" s="138" t="s">
        <v>751</v>
      </c>
      <c r="G186" s="139" t="s">
        <v>752</v>
      </c>
      <c r="H186" s="137"/>
      <c r="I186" s="164" t="s">
        <v>185</v>
      </c>
      <c r="J186" s="200" t="s">
        <v>185</v>
      </c>
      <c r="K186" s="176" t="s">
        <v>185</v>
      </c>
      <c r="L186" s="176"/>
      <c r="M186" s="176"/>
      <c r="N186" s="222" t="s">
        <v>162</v>
      </c>
      <c r="O186" s="222" t="s">
        <v>162</v>
      </c>
      <c r="P186" s="222" t="s">
        <v>162</v>
      </c>
      <c r="Q186" s="222" t="s">
        <v>162</v>
      </c>
      <c r="R186" s="451"/>
      <c r="S186" s="222" t="s">
        <v>162</v>
      </c>
      <c r="T186" s="222" t="s">
        <v>162</v>
      </c>
      <c r="U186" s="258" t="s">
        <v>162</v>
      </c>
      <c r="V186" s="168"/>
      <c r="W186" s="158" t="s">
        <v>966</v>
      </c>
      <c r="X186" s="158" t="s">
        <v>185</v>
      </c>
      <c r="Y186" s="158"/>
      <c r="Z186" s="158" t="s">
        <v>185</v>
      </c>
      <c r="AA186" s="158" t="str">
        <f>IF(GCP[[#This Row],[Column14]]="-","", "v")</f>
        <v/>
      </c>
      <c r="AB186" s="158" t="str">
        <f>IF(GCP[[#This Row],[Column8]]="x","1",(IF(OR(GCP[[#This Row],[Column25]]=2,GCP[[#This Row],[Column26]]=2,GCP[[#This Row],[Column27]]=2),"1",(IF(GCP[[#This Row],[Column9]]="x","2",(IF(GCP[[#This Row],[Column10]]="x","3","")))))))</f>
        <v>2</v>
      </c>
      <c r="AC186" s="454" t="str">
        <f>IF(GCP[[#This Row],[Column14]] = "-", GCP[[#This Row],[Column14]], LEFT(GCP[[#This Row],[Column14]], SEARCH(" ", GCP[[#This Row],[Column14]] &amp; " ") - 1))</f>
        <v>-</v>
      </c>
    </row>
    <row r="187" spans="1:29" ht="30">
      <c r="A18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7" s="137" t="str">
        <f>GCP[[#This Row],[Column30]]</f>
        <v>-</v>
      </c>
      <c r="C187" s="137">
        <v>13.4</v>
      </c>
      <c r="D187" s="138" t="s">
        <v>390</v>
      </c>
      <c r="E187" s="162" t="s">
        <v>156</v>
      </c>
      <c r="F187" s="138" t="s">
        <v>753</v>
      </c>
      <c r="G187" s="138" t="s">
        <v>754</v>
      </c>
      <c r="H187" s="137"/>
      <c r="I187" s="164" t="s">
        <v>185</v>
      </c>
      <c r="J187" s="200" t="s">
        <v>185</v>
      </c>
      <c r="K187" s="176" t="s">
        <v>185</v>
      </c>
      <c r="L187" s="176"/>
      <c r="M187" s="176"/>
      <c r="N187" s="222" t="s">
        <v>162</v>
      </c>
      <c r="O187" s="222" t="s">
        <v>162</v>
      </c>
      <c r="P187" s="222" t="s">
        <v>162</v>
      </c>
      <c r="Q187" s="222" t="s">
        <v>162</v>
      </c>
      <c r="R187" s="451"/>
      <c r="S187" s="222" t="s">
        <v>162</v>
      </c>
      <c r="T187" s="222" t="s">
        <v>162</v>
      </c>
      <c r="U187" s="258" t="s">
        <v>162</v>
      </c>
      <c r="V187" s="168"/>
      <c r="W187" s="158" t="s">
        <v>967</v>
      </c>
      <c r="X187" s="158" t="s">
        <v>185</v>
      </c>
      <c r="Y187" s="158"/>
      <c r="Z187" s="158" t="s">
        <v>185</v>
      </c>
      <c r="AA187" s="158" t="str">
        <f>IF(GCP[[#This Row],[Column14]]="-","", "v")</f>
        <v/>
      </c>
      <c r="AB187" s="158" t="str">
        <f>IF(GCP[[#This Row],[Column8]]="x","1",(IF(OR(GCP[[#This Row],[Column25]]=2,GCP[[#This Row],[Column26]]=2,GCP[[#This Row],[Column27]]=2),"1",(IF(GCP[[#This Row],[Column9]]="x","2",(IF(GCP[[#This Row],[Column10]]="x","3","")))))))</f>
        <v>2</v>
      </c>
      <c r="AC187" s="454" t="str">
        <f>IF(GCP[[#This Row],[Column14]] = "-", GCP[[#This Row],[Column14]], LEFT(GCP[[#This Row],[Column14]], SEARCH(" ", GCP[[#This Row],[Column14]] &amp; " ") - 1))</f>
        <v>-</v>
      </c>
    </row>
    <row r="188" spans="1:29" ht="30">
      <c r="A18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8" s="137" t="str">
        <f>GCP[[#This Row],[Column30]]</f>
        <v>-</v>
      </c>
      <c r="C188" s="137">
        <v>13.4</v>
      </c>
      <c r="D188" s="138" t="s">
        <v>390</v>
      </c>
      <c r="E188" s="162" t="s">
        <v>156</v>
      </c>
      <c r="F188" s="138" t="s">
        <v>753</v>
      </c>
      <c r="G188" s="138" t="s">
        <v>754</v>
      </c>
      <c r="H188" s="137"/>
      <c r="I188" s="164" t="s">
        <v>185</v>
      </c>
      <c r="J188" s="200" t="s">
        <v>185</v>
      </c>
      <c r="K188" s="176" t="s">
        <v>185</v>
      </c>
      <c r="L188" s="176"/>
      <c r="M188" s="176"/>
      <c r="N188" s="222" t="s">
        <v>162</v>
      </c>
      <c r="O188" s="222" t="s">
        <v>162</v>
      </c>
      <c r="P188" s="222" t="s">
        <v>162</v>
      </c>
      <c r="Q188" s="222" t="s">
        <v>162</v>
      </c>
      <c r="R188" s="451"/>
      <c r="S188" s="222" t="s">
        <v>162</v>
      </c>
      <c r="T188" s="222" t="s">
        <v>162</v>
      </c>
      <c r="U188" s="258" t="s">
        <v>162</v>
      </c>
      <c r="V188" s="168"/>
      <c r="W188" s="158" t="s">
        <v>967</v>
      </c>
      <c r="X188" s="158" t="s">
        <v>185</v>
      </c>
      <c r="Y188" s="158"/>
      <c r="Z188" s="158" t="s">
        <v>185</v>
      </c>
      <c r="AA188" s="158" t="str">
        <f>IF(GCP[[#This Row],[Column14]]="-","", "v")</f>
        <v/>
      </c>
      <c r="AB188" s="158" t="str">
        <f>IF(GCP[[#This Row],[Column8]]="x","1",(IF(OR(GCP[[#This Row],[Column25]]=2,GCP[[#This Row],[Column26]]=2,GCP[[#This Row],[Column27]]=2),"1",(IF(GCP[[#This Row],[Column9]]="x","2",(IF(GCP[[#This Row],[Column10]]="x","3","")))))))</f>
        <v>2</v>
      </c>
      <c r="AC188" s="454" t="str">
        <f>IF(GCP[[#This Row],[Column14]] = "-", GCP[[#This Row],[Column14]], LEFT(GCP[[#This Row],[Column14]], SEARCH(" ", GCP[[#This Row],[Column14]] &amp; " ") - 1))</f>
        <v>-</v>
      </c>
    </row>
    <row r="189" spans="1:29" ht="30">
      <c r="A18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NOT(ISBLANK(K189)),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NOT(ISBLANK(L189)),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NOT(ISBLANK(M189)),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89" s="137" t="str">
        <f>GCP[[#This Row],[Column30]]</f>
        <v>-</v>
      </c>
      <c r="C189" s="137">
        <v>13.4</v>
      </c>
      <c r="D189" s="138" t="s">
        <v>390</v>
      </c>
      <c r="E189" s="162" t="s">
        <v>156</v>
      </c>
      <c r="F189" s="138" t="s">
        <v>753</v>
      </c>
      <c r="G189" s="138" t="s">
        <v>754</v>
      </c>
      <c r="H189" s="137"/>
      <c r="I189" s="164" t="s">
        <v>185</v>
      </c>
      <c r="J189" s="200" t="s">
        <v>185</v>
      </c>
      <c r="K189" s="176" t="s">
        <v>185</v>
      </c>
      <c r="L189" s="176"/>
      <c r="M189" s="176"/>
      <c r="N189" s="222" t="s">
        <v>162</v>
      </c>
      <c r="O189" s="222" t="s">
        <v>162</v>
      </c>
      <c r="P189" s="222" t="s">
        <v>162</v>
      </c>
      <c r="Q189" s="222" t="s">
        <v>162</v>
      </c>
      <c r="R189" s="451"/>
      <c r="S189" s="222" t="s">
        <v>162</v>
      </c>
      <c r="T189" s="222" t="s">
        <v>162</v>
      </c>
      <c r="U189" s="258" t="s">
        <v>162</v>
      </c>
      <c r="V189" s="168"/>
      <c r="W189" s="158" t="s">
        <v>967</v>
      </c>
      <c r="X189" s="158" t="s">
        <v>185</v>
      </c>
      <c r="Y189" s="158"/>
      <c r="Z189" s="158" t="s">
        <v>185</v>
      </c>
      <c r="AA189" s="158" t="str">
        <f>IF(GCP[[#This Row],[Column14]]="-","", "v")</f>
        <v/>
      </c>
      <c r="AB189" s="158" t="str">
        <f>IF(GCP[[#This Row],[Column8]]="x","1",(IF(OR(GCP[[#This Row],[Column25]]=2,GCP[[#This Row],[Column26]]=2,GCP[[#This Row],[Column27]]=2),"1",(IF(GCP[[#This Row],[Column9]]="x","2",(IF(GCP[[#This Row],[Column10]]="x","3","")))))))</f>
        <v>2</v>
      </c>
      <c r="AC189" s="454" t="str">
        <f>IF(GCP[[#This Row],[Column14]] = "-", GCP[[#This Row],[Column14]], LEFT(GCP[[#This Row],[Column14]], SEARCH(" ", GCP[[#This Row],[Column14]] &amp; " ") - 1))</f>
        <v>-</v>
      </c>
    </row>
    <row r="190" spans="1:29" ht="75">
      <c r="A19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0" s="137" t="str">
        <f>GCP[[#This Row],[Column30]]</f>
        <v>-</v>
      </c>
      <c r="C190" s="137">
        <v>13.5</v>
      </c>
      <c r="D190" s="138" t="s">
        <v>352</v>
      </c>
      <c r="E190" s="162" t="s">
        <v>156</v>
      </c>
      <c r="F190" s="138" t="s">
        <v>765</v>
      </c>
      <c r="G190" s="139" t="s">
        <v>766</v>
      </c>
      <c r="H190" s="137"/>
      <c r="I190" s="164" t="s">
        <v>185</v>
      </c>
      <c r="J190" s="200" t="s">
        <v>185</v>
      </c>
      <c r="K190" s="176" t="s">
        <v>185</v>
      </c>
      <c r="L190" s="176"/>
      <c r="M190" s="176"/>
      <c r="N190" s="222" t="s">
        <v>162</v>
      </c>
      <c r="O190" s="222" t="s">
        <v>162</v>
      </c>
      <c r="P190" s="222" t="s">
        <v>162</v>
      </c>
      <c r="Q190" s="222" t="s">
        <v>162</v>
      </c>
      <c r="R190" s="451"/>
      <c r="S190" s="222" t="s">
        <v>162</v>
      </c>
      <c r="T190" s="222" t="s">
        <v>162</v>
      </c>
      <c r="U190" s="258" t="s">
        <v>162</v>
      </c>
      <c r="V190" s="168"/>
      <c r="W190" s="158" t="s">
        <v>966</v>
      </c>
      <c r="X190" s="158" t="s">
        <v>185</v>
      </c>
      <c r="Y190" s="158"/>
      <c r="Z190" s="158" t="s">
        <v>185</v>
      </c>
      <c r="AA190" s="158" t="str">
        <f>IF(GCP[[#This Row],[Column14]]="-","", "v")</f>
        <v/>
      </c>
      <c r="AB190" s="158" t="str">
        <f>IF(GCP[[#This Row],[Column8]]="x","1",(IF(OR(GCP[[#This Row],[Column25]]=2,GCP[[#This Row],[Column26]]=2,GCP[[#This Row],[Column27]]=2),"1",(IF(GCP[[#This Row],[Column9]]="x","2",(IF(GCP[[#This Row],[Column10]]="x","3","")))))))</f>
        <v>2</v>
      </c>
      <c r="AC190" s="454" t="str">
        <f>IF(GCP[[#This Row],[Column14]] = "-", GCP[[#This Row],[Column14]], LEFT(GCP[[#This Row],[Column14]], SEARCH(" ", GCP[[#This Row],[Column14]] &amp; " ") - 1))</f>
        <v>-</v>
      </c>
    </row>
    <row r="191" spans="1:29" ht="409.5">
      <c r="A19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1" s="137" t="str">
        <f>GCP[[#This Row],[Column30]]</f>
        <v>3.8</v>
      </c>
      <c r="C191" s="137">
        <v>13.6</v>
      </c>
      <c r="D191" s="138" t="s">
        <v>390</v>
      </c>
      <c r="E191" s="162" t="s">
        <v>155</v>
      </c>
      <c r="F191" s="138" t="s">
        <v>767</v>
      </c>
      <c r="G191" s="138" t="s">
        <v>768</v>
      </c>
      <c r="H191" s="137"/>
      <c r="I191" s="164" t="s">
        <v>185</v>
      </c>
      <c r="J191" s="200" t="s">
        <v>185</v>
      </c>
      <c r="K191" s="176" t="s">
        <v>185</v>
      </c>
      <c r="L191" s="176"/>
      <c r="M191" s="176"/>
      <c r="N191" s="222" t="s">
        <v>1388</v>
      </c>
      <c r="O191" s="212">
        <v>2</v>
      </c>
      <c r="P191" s="214" t="s">
        <v>1389</v>
      </c>
      <c r="Q191" s="214" t="s">
        <v>1390</v>
      </c>
      <c r="R191" s="451" t="s">
        <v>1391</v>
      </c>
      <c r="S191" s="214" t="s">
        <v>1392</v>
      </c>
      <c r="T191" s="214" t="s">
        <v>1393</v>
      </c>
      <c r="U191" s="258" t="s">
        <v>162</v>
      </c>
      <c r="V191" s="168" t="s">
        <v>1568</v>
      </c>
      <c r="W191" s="158" t="s">
        <v>967</v>
      </c>
      <c r="X191" s="158" t="s">
        <v>185</v>
      </c>
      <c r="Y191" s="158"/>
      <c r="Z191" s="158" t="s">
        <v>185</v>
      </c>
      <c r="AA191" s="158" t="str">
        <f>IF(GCP[[#This Row],[Column14]]="-","", "v")</f>
        <v>v</v>
      </c>
      <c r="AB191" s="158" t="str">
        <f>IF(GCP[[#This Row],[Column8]]="x","1",(IF(OR(GCP[[#This Row],[Column25]]=2,GCP[[#This Row],[Column26]]=2,GCP[[#This Row],[Column27]]=2),"1",(IF(GCP[[#This Row],[Column9]]="x","2",(IF(GCP[[#This Row],[Column10]]="x","3","")))))))</f>
        <v>2</v>
      </c>
      <c r="AC191" s="454" t="str">
        <f>IF(GCP[[#This Row],[Column14]] = "-", GCP[[#This Row],[Column14]], LEFT(GCP[[#This Row],[Column14]], SEARCH(" ", GCP[[#This Row],[Column14]] &amp; " ") - 1))</f>
        <v>3.8</v>
      </c>
    </row>
    <row r="192" spans="1:29" ht="45">
      <c r="A19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2" s="137" t="str">
        <f>GCP[[#This Row],[Column30]]</f>
        <v>-</v>
      </c>
      <c r="C192" s="137">
        <v>13.7</v>
      </c>
      <c r="D192" s="138" t="s">
        <v>352</v>
      </c>
      <c r="E192" s="162" t="s">
        <v>156</v>
      </c>
      <c r="F192" s="138" t="s">
        <v>769</v>
      </c>
      <c r="G192" s="139" t="s">
        <v>770</v>
      </c>
      <c r="H192" s="137"/>
      <c r="I192" s="137"/>
      <c r="J192" s="200" t="s">
        <v>185</v>
      </c>
      <c r="K192" s="176" t="s">
        <v>185</v>
      </c>
      <c r="L192" s="176"/>
      <c r="M192" s="176"/>
      <c r="N192" s="222" t="s">
        <v>162</v>
      </c>
      <c r="O192" s="222" t="s">
        <v>162</v>
      </c>
      <c r="P192" s="222" t="s">
        <v>162</v>
      </c>
      <c r="Q192" s="222" t="s">
        <v>162</v>
      </c>
      <c r="R192" s="451"/>
      <c r="S192" s="222" t="s">
        <v>162</v>
      </c>
      <c r="T192" s="222" t="s">
        <v>162</v>
      </c>
      <c r="U192" s="258" t="s">
        <v>162</v>
      </c>
      <c r="V192" s="168"/>
      <c r="W192" s="158" t="s">
        <v>966</v>
      </c>
      <c r="X192" s="158" t="s">
        <v>185</v>
      </c>
      <c r="Y192" s="158"/>
      <c r="Z192" s="158" t="s">
        <v>185</v>
      </c>
      <c r="AA192" s="158" t="str">
        <f>IF(GCP[[#This Row],[Column14]]="-","", "v")</f>
        <v/>
      </c>
      <c r="AB192" s="158" t="str">
        <f>IF(GCP[[#This Row],[Column8]]="x","1",(IF(OR(GCP[[#This Row],[Column25]]=2,GCP[[#This Row],[Column26]]=2,GCP[[#This Row],[Column27]]=2),"1",(IF(GCP[[#This Row],[Column9]]="x","2",(IF(GCP[[#This Row],[Column10]]="x","3","")))))))</f>
        <v>3</v>
      </c>
      <c r="AC192" s="454" t="str">
        <f>IF(GCP[[#This Row],[Column14]] = "-", GCP[[#This Row],[Column14]], LEFT(GCP[[#This Row],[Column14]], SEARCH(" ", GCP[[#This Row],[Column14]] &amp; " ") - 1))</f>
        <v>-</v>
      </c>
    </row>
    <row r="193" spans="1:29" ht="45">
      <c r="A19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3" s="137" t="str">
        <f>GCP[[#This Row],[Column30]]</f>
        <v>-</v>
      </c>
      <c r="C193" s="137">
        <v>13.8</v>
      </c>
      <c r="D193" s="138" t="s">
        <v>390</v>
      </c>
      <c r="E193" s="162" t="s">
        <v>156</v>
      </c>
      <c r="F193" s="138" t="s">
        <v>771</v>
      </c>
      <c r="G193" s="138" t="s">
        <v>772</v>
      </c>
      <c r="H193" s="137"/>
      <c r="I193" s="137"/>
      <c r="J193" s="200" t="s">
        <v>185</v>
      </c>
      <c r="K193" s="158" t="s">
        <v>185</v>
      </c>
      <c r="L193" s="158"/>
      <c r="M193" s="158"/>
      <c r="N193" s="222" t="s">
        <v>162</v>
      </c>
      <c r="O193" s="222" t="s">
        <v>162</v>
      </c>
      <c r="P193" s="222" t="s">
        <v>162</v>
      </c>
      <c r="Q193" s="222" t="s">
        <v>162</v>
      </c>
      <c r="R193" s="451"/>
      <c r="S193" s="222" t="s">
        <v>162</v>
      </c>
      <c r="T193" s="222" t="s">
        <v>162</v>
      </c>
      <c r="U193" s="258" t="s">
        <v>162</v>
      </c>
      <c r="V193" s="168"/>
      <c r="W193" s="158" t="s">
        <v>966</v>
      </c>
      <c r="X193" s="158" t="s">
        <v>185</v>
      </c>
      <c r="Y193" s="158"/>
      <c r="Z193" s="158" t="s">
        <v>185</v>
      </c>
      <c r="AA193" s="158" t="str">
        <f>IF(GCP[[#This Row],[Column14]]="-","", "v")</f>
        <v/>
      </c>
      <c r="AB193" s="158" t="str">
        <f>IF(GCP[[#This Row],[Column8]]="x","1",(IF(OR(GCP[[#This Row],[Column25]]=2,GCP[[#This Row],[Column26]]=2,GCP[[#This Row],[Column27]]=2),"1",(IF(GCP[[#This Row],[Column9]]="x","2",(IF(GCP[[#This Row],[Column10]]="x","3","")))))))</f>
        <v>3</v>
      </c>
      <c r="AC193" s="454" t="str">
        <f>IF(GCP[[#This Row],[Column14]] = "-", GCP[[#This Row],[Column14]], LEFT(GCP[[#This Row],[Column14]], SEARCH(" ", GCP[[#This Row],[Column14]] &amp; " ") - 1))</f>
        <v>-</v>
      </c>
    </row>
    <row r="194" spans="1:29" ht="45">
      <c r="A19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4" s="137" t="str">
        <f>GCP[[#This Row],[Column30]]</f>
        <v>-</v>
      </c>
      <c r="C194" s="137">
        <v>13.9</v>
      </c>
      <c r="D194" s="138" t="s">
        <v>352</v>
      </c>
      <c r="E194" s="162" t="s">
        <v>156</v>
      </c>
      <c r="F194" s="138" t="s">
        <v>773</v>
      </c>
      <c r="G194" s="138" t="s">
        <v>774</v>
      </c>
      <c r="H194" s="137"/>
      <c r="I194" s="137"/>
      <c r="J194" s="200" t="s">
        <v>185</v>
      </c>
      <c r="K194" s="176" t="s">
        <v>185</v>
      </c>
      <c r="L194" s="158"/>
      <c r="M194" s="158"/>
      <c r="N194" s="222" t="s">
        <v>162</v>
      </c>
      <c r="O194" s="222" t="s">
        <v>162</v>
      </c>
      <c r="P194" s="222" t="s">
        <v>162</v>
      </c>
      <c r="Q194" s="222" t="s">
        <v>162</v>
      </c>
      <c r="R194" s="451"/>
      <c r="S194" s="222" t="s">
        <v>162</v>
      </c>
      <c r="T194" s="222" t="s">
        <v>162</v>
      </c>
      <c r="U194" s="258" t="s">
        <v>162</v>
      </c>
      <c r="V194" s="168"/>
      <c r="W194" s="158" t="s">
        <v>966</v>
      </c>
      <c r="X194" s="158" t="s">
        <v>185</v>
      </c>
      <c r="Y194" s="158"/>
      <c r="Z194" s="158" t="s">
        <v>185</v>
      </c>
      <c r="AA194" s="158" t="str">
        <f>IF(GCP[[#This Row],[Column14]]="-","", "v")</f>
        <v/>
      </c>
      <c r="AB194" s="158" t="str">
        <f>IF(GCP[[#This Row],[Column8]]="x","1",(IF(OR(GCP[[#This Row],[Column25]]=2,GCP[[#This Row],[Column26]]=2,GCP[[#This Row],[Column27]]=2),"1",(IF(GCP[[#This Row],[Column9]]="x","2",(IF(GCP[[#This Row],[Column10]]="x","3","")))))))</f>
        <v>3</v>
      </c>
      <c r="AC194" s="454" t="str">
        <f>IF(GCP[[#This Row],[Column14]] = "-", GCP[[#This Row],[Column14]], LEFT(GCP[[#This Row],[Column14]], SEARCH(" ", GCP[[#This Row],[Column14]] &amp; " ") - 1))</f>
        <v>-</v>
      </c>
    </row>
    <row r="195" spans="1:29" ht="30">
      <c r="A19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5" s="137" t="str">
        <f>GCP[[#This Row],[Column30]]</f>
        <v>-</v>
      </c>
      <c r="C195" s="142">
        <v>13.1</v>
      </c>
      <c r="D195" s="138" t="s">
        <v>390</v>
      </c>
      <c r="E195" s="162" t="s">
        <v>156</v>
      </c>
      <c r="F195" s="138" t="s">
        <v>775</v>
      </c>
      <c r="G195" s="138" t="s">
        <v>776</v>
      </c>
      <c r="H195" s="137"/>
      <c r="I195" s="137"/>
      <c r="J195" s="200" t="s">
        <v>185</v>
      </c>
      <c r="K195" s="176" t="s">
        <v>185</v>
      </c>
      <c r="L195" s="176"/>
      <c r="M195" s="176"/>
      <c r="N195" s="222" t="s">
        <v>162</v>
      </c>
      <c r="O195" s="222" t="s">
        <v>162</v>
      </c>
      <c r="P195" s="222" t="s">
        <v>162</v>
      </c>
      <c r="Q195" s="222" t="s">
        <v>162</v>
      </c>
      <c r="R195" s="451"/>
      <c r="S195" s="222" t="s">
        <v>162</v>
      </c>
      <c r="T195" s="222" t="s">
        <v>162</v>
      </c>
      <c r="U195" s="258" t="s">
        <v>162</v>
      </c>
      <c r="V195" s="168"/>
      <c r="W195" s="158" t="s">
        <v>966</v>
      </c>
      <c r="X195" s="158" t="s">
        <v>185</v>
      </c>
      <c r="Y195" s="158"/>
      <c r="Z195" s="158" t="s">
        <v>185</v>
      </c>
      <c r="AA195" s="158" t="str">
        <f>IF(GCP[[#This Row],[Column14]]="-","", "v")</f>
        <v/>
      </c>
      <c r="AB195" s="158" t="str">
        <f>IF(GCP[[#This Row],[Column8]]="x","1",(IF(OR(GCP[[#This Row],[Column25]]=2,GCP[[#This Row],[Column26]]=2,GCP[[#This Row],[Column27]]=2),"1",(IF(GCP[[#This Row],[Column9]]="x","2",(IF(GCP[[#This Row],[Column10]]="x","3","")))))))</f>
        <v>3</v>
      </c>
      <c r="AC195" s="454" t="str">
        <f>IF(GCP[[#This Row],[Column14]] = "-", GCP[[#This Row],[Column14]], LEFT(GCP[[#This Row],[Column14]], SEARCH(" ", GCP[[#This Row],[Column14]] &amp; " ") - 1))</f>
        <v>-</v>
      </c>
    </row>
    <row r="196" spans="1:29" ht="30">
      <c r="A19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6" s="137" t="str">
        <f>GCP[[#This Row],[Column30]]</f>
        <v>-</v>
      </c>
      <c r="C196" s="137">
        <v>13.11</v>
      </c>
      <c r="D196" s="138" t="s">
        <v>390</v>
      </c>
      <c r="E196" s="162" t="s">
        <v>155</v>
      </c>
      <c r="F196" s="138" t="s">
        <v>777</v>
      </c>
      <c r="G196" s="138" t="s">
        <v>778</v>
      </c>
      <c r="H196" s="137"/>
      <c r="I196" s="137"/>
      <c r="J196" s="200" t="s">
        <v>185</v>
      </c>
      <c r="K196" s="176" t="s">
        <v>185</v>
      </c>
      <c r="L196" s="176" t="s">
        <v>185</v>
      </c>
      <c r="M196" s="176" t="s">
        <v>185</v>
      </c>
      <c r="N196" s="222" t="s">
        <v>162</v>
      </c>
      <c r="O196" s="222" t="s">
        <v>162</v>
      </c>
      <c r="P196" s="222" t="s">
        <v>162</v>
      </c>
      <c r="Q196" s="222" t="s">
        <v>162</v>
      </c>
      <c r="R196" s="451"/>
      <c r="S196" s="222" t="s">
        <v>162</v>
      </c>
      <c r="T196" s="222" t="s">
        <v>162</v>
      </c>
      <c r="U196" s="258" t="s">
        <v>162</v>
      </c>
      <c r="V196" s="168"/>
      <c r="W196" s="158" t="s">
        <v>966</v>
      </c>
      <c r="X196" s="158" t="s">
        <v>185</v>
      </c>
      <c r="Y196" s="158"/>
      <c r="Z196" s="158" t="s">
        <v>185</v>
      </c>
      <c r="AA196" s="158" t="str">
        <f>IF(GCP[[#This Row],[Column14]]="-","", "v")</f>
        <v/>
      </c>
      <c r="AB196" s="158" t="str">
        <f>IF(GCP[[#This Row],[Column8]]="x","1",(IF(OR(GCP[[#This Row],[Column25]]=2,GCP[[#This Row],[Column26]]=2,GCP[[#This Row],[Column27]]=2),"1",(IF(GCP[[#This Row],[Column9]]="x","2",(IF(GCP[[#This Row],[Column10]]="x","3","")))))))</f>
        <v>3</v>
      </c>
      <c r="AC196" s="454" t="str">
        <f>IF(GCP[[#This Row],[Column14]] = "-", GCP[[#This Row],[Column14]], LEFT(GCP[[#This Row],[Column14]], SEARCH(" ", GCP[[#This Row],[Column14]] &amp; " ") - 1))</f>
        <v>-</v>
      </c>
    </row>
    <row r="197" spans="1:29" ht="45" hidden="1">
      <c r="A197" s="221" t="s">
        <v>942</v>
      </c>
      <c r="B197" s="217" t="s">
        <v>162</v>
      </c>
      <c r="C197" s="217" t="s">
        <v>162</v>
      </c>
      <c r="D197" s="217" t="s">
        <v>162</v>
      </c>
      <c r="E197" s="217" t="s">
        <v>162</v>
      </c>
      <c r="F197" s="219" t="s">
        <v>779</v>
      </c>
      <c r="G197" s="220" t="s">
        <v>780</v>
      </c>
      <c r="H197" s="217" t="s">
        <v>162</v>
      </c>
      <c r="I197" s="217" t="s">
        <v>162</v>
      </c>
      <c r="J197" s="217" t="s">
        <v>162</v>
      </c>
      <c r="K197" s="217" t="s">
        <v>162</v>
      </c>
      <c r="L197" s="217" t="s">
        <v>162</v>
      </c>
      <c r="M197" s="217" t="s">
        <v>162</v>
      </c>
      <c r="N197" s="257" t="s">
        <v>162</v>
      </c>
      <c r="O197" s="217" t="s">
        <v>162</v>
      </c>
      <c r="P197" s="217" t="s">
        <v>162</v>
      </c>
      <c r="Q197" s="217" t="s">
        <v>162</v>
      </c>
      <c r="R197" s="167"/>
      <c r="S197" s="217" t="s">
        <v>162</v>
      </c>
      <c r="T197" s="217" t="s">
        <v>162</v>
      </c>
      <c r="U197" s="217" t="s">
        <v>162</v>
      </c>
      <c r="V197" s="217" t="s">
        <v>162</v>
      </c>
      <c r="W197" s="217" t="s">
        <v>162</v>
      </c>
      <c r="X197" s="217" t="s">
        <v>162</v>
      </c>
      <c r="Y197" s="217" t="s">
        <v>162</v>
      </c>
      <c r="Z197" s="217" t="s">
        <v>162</v>
      </c>
      <c r="AA197" s="217" t="s">
        <v>162</v>
      </c>
      <c r="AB197" s="217" t="s">
        <v>162</v>
      </c>
      <c r="AC197" s="454" t="str">
        <f>IF(GCP[[#This Row],[Column14]] = "-", GCP[[#This Row],[Column14]], LEFT(GCP[[#This Row],[Column14]], SEARCH(" ", GCP[[#This Row],[Column14]] &amp; " ") - 1))</f>
        <v>-</v>
      </c>
    </row>
    <row r="198" spans="1:29" ht="75">
      <c r="A19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8" s="137" t="str">
        <f>GCP[[#This Row],[Column30]]</f>
        <v>-</v>
      </c>
      <c r="C198" s="137">
        <v>14.1</v>
      </c>
      <c r="D198" s="138" t="s">
        <v>781</v>
      </c>
      <c r="E198" s="162" t="s">
        <v>156</v>
      </c>
      <c r="F198" s="138" t="s">
        <v>782</v>
      </c>
      <c r="G198" s="138" t="s">
        <v>783</v>
      </c>
      <c r="H198" s="163" t="s">
        <v>185</v>
      </c>
      <c r="I198" s="164" t="s">
        <v>185</v>
      </c>
      <c r="J198" s="200" t="s">
        <v>185</v>
      </c>
      <c r="K198" s="176" t="s">
        <v>185</v>
      </c>
      <c r="L198" s="176" t="s">
        <v>185</v>
      </c>
      <c r="M198" s="176" t="s">
        <v>185</v>
      </c>
      <c r="N198" s="222" t="s">
        <v>162</v>
      </c>
      <c r="O198" s="222" t="s">
        <v>162</v>
      </c>
      <c r="P198" s="222" t="s">
        <v>162</v>
      </c>
      <c r="Q198" s="222" t="s">
        <v>162</v>
      </c>
      <c r="S198" s="222" t="s">
        <v>162</v>
      </c>
      <c r="T198" s="222" t="s">
        <v>162</v>
      </c>
      <c r="U198" s="258" t="s">
        <v>162</v>
      </c>
      <c r="V198" s="168"/>
      <c r="W198" s="158" t="s">
        <v>966</v>
      </c>
      <c r="X198" s="158" t="s">
        <v>185</v>
      </c>
      <c r="Y198" s="158" t="s">
        <v>185</v>
      </c>
      <c r="Z198" s="158" t="s">
        <v>185</v>
      </c>
      <c r="AA198" s="158" t="str">
        <f>IF(GCP[[#This Row],[Column14]]="-","", "v")</f>
        <v/>
      </c>
      <c r="AB198" s="158" t="str">
        <f>IF(GCP[[#This Row],[Column8]]="x","1",(IF(OR(GCP[[#This Row],[Column25]]=2,GCP[[#This Row],[Column26]]=2,GCP[[#This Row],[Column27]]=2),"1",(IF(GCP[[#This Row],[Column9]]="x","2",(IF(GCP[[#This Row],[Column10]]="x","3","")))))))</f>
        <v>1</v>
      </c>
      <c r="AC198" s="454" t="str">
        <f>IF(GCP[[#This Row],[Column14]] = "-", GCP[[#This Row],[Column14]], LEFT(GCP[[#This Row],[Column14]], SEARCH(" ", GCP[[#This Row],[Column14]] &amp; " ") - 1))</f>
        <v>-</v>
      </c>
    </row>
    <row r="199" spans="1:29" ht="45">
      <c r="A19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NOT(ISBLANK(K199)),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NOT(ISBLANK(L199)),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NOT(ISBLANK(M199)),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199" s="137" t="str">
        <f>GCP[[#This Row],[Column30]]</f>
        <v>-</v>
      </c>
      <c r="C199" s="137">
        <v>14.2</v>
      </c>
      <c r="D199" s="138" t="s">
        <v>781</v>
      </c>
      <c r="E199" s="162" t="s">
        <v>156</v>
      </c>
      <c r="F199" s="138" t="s">
        <v>784</v>
      </c>
      <c r="G199" s="138" t="s">
        <v>785</v>
      </c>
      <c r="H199" s="163" t="s">
        <v>185</v>
      </c>
      <c r="I199" s="164" t="s">
        <v>185</v>
      </c>
      <c r="J199" s="200" t="s">
        <v>185</v>
      </c>
      <c r="K199" s="176" t="s">
        <v>185</v>
      </c>
      <c r="L199" s="176" t="s">
        <v>185</v>
      </c>
      <c r="M199" s="176" t="s">
        <v>185</v>
      </c>
      <c r="N199" s="222" t="s">
        <v>162</v>
      </c>
      <c r="O199" s="222" t="s">
        <v>162</v>
      </c>
      <c r="P199" s="222" t="s">
        <v>162</v>
      </c>
      <c r="Q199" s="222" t="s">
        <v>162</v>
      </c>
      <c r="S199" s="222" t="s">
        <v>162</v>
      </c>
      <c r="T199" s="222" t="s">
        <v>162</v>
      </c>
      <c r="U199" s="258" t="s">
        <v>162</v>
      </c>
      <c r="V199" s="168"/>
      <c r="W199" s="158" t="s">
        <v>966</v>
      </c>
      <c r="X199" s="158" t="s">
        <v>185</v>
      </c>
      <c r="Y199" s="158" t="s">
        <v>185</v>
      </c>
      <c r="Z199" s="158" t="s">
        <v>185</v>
      </c>
      <c r="AA199" s="158" t="str">
        <f>IF(GCP[[#This Row],[Column14]]="-","", "v")</f>
        <v/>
      </c>
      <c r="AB199" s="158" t="str">
        <f>IF(GCP[[#This Row],[Column8]]="x","1",(IF(OR(GCP[[#This Row],[Column25]]=2,GCP[[#This Row],[Column26]]=2,GCP[[#This Row],[Column27]]=2),"1",(IF(GCP[[#This Row],[Column9]]="x","2",(IF(GCP[[#This Row],[Column10]]="x","3","")))))))</f>
        <v>1</v>
      </c>
      <c r="AC199" s="454" t="str">
        <f>IF(GCP[[#This Row],[Column14]] = "-", GCP[[#This Row],[Column14]], LEFT(GCP[[#This Row],[Column14]], SEARCH(" ", GCP[[#This Row],[Column14]] &amp; " ") - 1))</f>
        <v>-</v>
      </c>
    </row>
    <row r="200" spans="1:29" ht="45">
      <c r="A20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0" s="137" t="str">
        <f>GCP[[#This Row],[Column30]]</f>
        <v>-</v>
      </c>
      <c r="C200" s="137">
        <v>14.3</v>
      </c>
      <c r="D200" s="138" t="s">
        <v>781</v>
      </c>
      <c r="E200" s="162" t="s">
        <v>156</v>
      </c>
      <c r="F200" s="138" t="s">
        <v>786</v>
      </c>
      <c r="G200" s="138" t="s">
        <v>787</v>
      </c>
      <c r="H200" s="163" t="s">
        <v>185</v>
      </c>
      <c r="I200" s="164" t="s">
        <v>185</v>
      </c>
      <c r="J200" s="200" t="s">
        <v>185</v>
      </c>
      <c r="K200" s="176" t="s">
        <v>185</v>
      </c>
      <c r="L200" s="176" t="s">
        <v>185</v>
      </c>
      <c r="M200" s="176" t="s">
        <v>185</v>
      </c>
      <c r="N200" s="222" t="s">
        <v>162</v>
      </c>
      <c r="O200" s="222" t="s">
        <v>162</v>
      </c>
      <c r="P200" s="222" t="s">
        <v>162</v>
      </c>
      <c r="Q200" s="222" t="s">
        <v>162</v>
      </c>
      <c r="S200" s="222" t="s">
        <v>162</v>
      </c>
      <c r="T200" s="222" t="s">
        <v>162</v>
      </c>
      <c r="U200" s="258" t="s">
        <v>162</v>
      </c>
      <c r="V200" s="168"/>
      <c r="W200" s="158" t="s">
        <v>966</v>
      </c>
      <c r="X200" s="158" t="s">
        <v>185</v>
      </c>
      <c r="Y200" s="158" t="s">
        <v>185</v>
      </c>
      <c r="Z200" s="158" t="s">
        <v>185</v>
      </c>
      <c r="AA200" s="158" t="str">
        <f>IF(GCP[[#This Row],[Column14]]="-","", "v")</f>
        <v/>
      </c>
      <c r="AB200" s="158" t="str">
        <f>IF(GCP[[#This Row],[Column8]]="x","1",(IF(OR(GCP[[#This Row],[Column25]]=2,GCP[[#This Row],[Column26]]=2,GCP[[#This Row],[Column27]]=2),"1",(IF(GCP[[#This Row],[Column9]]="x","2",(IF(GCP[[#This Row],[Column10]]="x","3","")))))))</f>
        <v>1</v>
      </c>
      <c r="AC200" s="454" t="str">
        <f>IF(GCP[[#This Row],[Column14]] = "-", GCP[[#This Row],[Column14]], LEFT(GCP[[#This Row],[Column14]], SEARCH(" ", GCP[[#This Row],[Column14]] &amp; " ") - 1))</f>
        <v>-</v>
      </c>
    </row>
    <row r="201" spans="1:29" ht="75">
      <c r="A20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1" s="137" t="str">
        <f>GCP[[#This Row],[Column30]]</f>
        <v>-</v>
      </c>
      <c r="C201" s="137">
        <v>14.4</v>
      </c>
      <c r="D201" s="138" t="s">
        <v>781</v>
      </c>
      <c r="E201" s="162" t="s">
        <v>156</v>
      </c>
      <c r="F201" s="138" t="s">
        <v>788</v>
      </c>
      <c r="G201" s="138" t="s">
        <v>789</v>
      </c>
      <c r="H201" s="163" t="s">
        <v>185</v>
      </c>
      <c r="I201" s="164" t="s">
        <v>185</v>
      </c>
      <c r="J201" s="200" t="s">
        <v>185</v>
      </c>
      <c r="K201" s="176" t="s">
        <v>185</v>
      </c>
      <c r="L201" s="176" t="s">
        <v>185</v>
      </c>
      <c r="M201" s="176" t="s">
        <v>185</v>
      </c>
      <c r="N201" s="222" t="s">
        <v>162</v>
      </c>
      <c r="O201" s="222" t="s">
        <v>162</v>
      </c>
      <c r="P201" s="222" t="s">
        <v>162</v>
      </c>
      <c r="Q201" s="222" t="s">
        <v>162</v>
      </c>
      <c r="S201" s="222" t="s">
        <v>162</v>
      </c>
      <c r="T201" s="222" t="s">
        <v>162</v>
      </c>
      <c r="U201" s="258" t="s">
        <v>162</v>
      </c>
      <c r="V201" s="168"/>
      <c r="W201" s="158" t="s">
        <v>966</v>
      </c>
      <c r="X201" s="158" t="s">
        <v>185</v>
      </c>
      <c r="Y201" s="158" t="s">
        <v>185</v>
      </c>
      <c r="Z201" s="158" t="s">
        <v>185</v>
      </c>
      <c r="AA201" s="158" t="str">
        <f>IF(GCP[[#This Row],[Column14]]="-","", "v")</f>
        <v/>
      </c>
      <c r="AB201" s="158" t="str">
        <f>IF(GCP[[#This Row],[Column8]]="x","1",(IF(OR(GCP[[#This Row],[Column25]]=2,GCP[[#This Row],[Column26]]=2,GCP[[#This Row],[Column27]]=2),"1",(IF(GCP[[#This Row],[Column9]]="x","2",(IF(GCP[[#This Row],[Column10]]="x","3","")))))))</f>
        <v>1</v>
      </c>
      <c r="AC201" s="454" t="str">
        <f>IF(GCP[[#This Row],[Column14]] = "-", GCP[[#This Row],[Column14]], LEFT(GCP[[#This Row],[Column14]], SEARCH(" ", GCP[[#This Row],[Column14]] &amp; " ") - 1))</f>
        <v>-</v>
      </c>
    </row>
    <row r="202" spans="1:29" ht="45">
      <c r="A20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2" s="137" t="str">
        <f>GCP[[#This Row],[Column30]]</f>
        <v>-</v>
      </c>
      <c r="C202" s="137">
        <v>14.5</v>
      </c>
      <c r="D202" s="138" t="s">
        <v>781</v>
      </c>
      <c r="E202" s="162" t="s">
        <v>156</v>
      </c>
      <c r="F202" s="138" t="s">
        <v>790</v>
      </c>
      <c r="G202" s="139" t="s">
        <v>791</v>
      </c>
      <c r="H202" s="163" t="s">
        <v>185</v>
      </c>
      <c r="I202" s="164" t="s">
        <v>185</v>
      </c>
      <c r="J202" s="200" t="s">
        <v>185</v>
      </c>
      <c r="K202" s="176" t="s">
        <v>185</v>
      </c>
      <c r="L202" s="176" t="s">
        <v>185</v>
      </c>
      <c r="M202" s="176" t="s">
        <v>185</v>
      </c>
      <c r="N202" s="222" t="s">
        <v>162</v>
      </c>
      <c r="O202" s="222" t="s">
        <v>162</v>
      </c>
      <c r="P202" s="222" t="s">
        <v>162</v>
      </c>
      <c r="Q202" s="222" t="s">
        <v>162</v>
      </c>
      <c r="S202" s="222" t="s">
        <v>162</v>
      </c>
      <c r="T202" s="222" t="s">
        <v>162</v>
      </c>
      <c r="U202" s="258" t="s">
        <v>162</v>
      </c>
      <c r="V202" s="168"/>
      <c r="W202" s="158" t="s">
        <v>966</v>
      </c>
      <c r="X202" s="158" t="s">
        <v>185</v>
      </c>
      <c r="Y202" s="158" t="s">
        <v>185</v>
      </c>
      <c r="Z202" s="158" t="s">
        <v>185</v>
      </c>
      <c r="AA202" s="158" t="str">
        <f>IF(GCP[[#This Row],[Column14]]="-","", "v")</f>
        <v/>
      </c>
      <c r="AB202" s="158" t="str">
        <f>IF(GCP[[#This Row],[Column8]]="x","1",(IF(OR(GCP[[#This Row],[Column25]]=2,GCP[[#This Row],[Column26]]=2,GCP[[#This Row],[Column27]]=2),"1",(IF(GCP[[#This Row],[Column9]]="x","2",(IF(GCP[[#This Row],[Column10]]="x","3","")))))))</f>
        <v>1</v>
      </c>
      <c r="AC202" s="454" t="str">
        <f>IF(GCP[[#This Row],[Column14]] = "-", GCP[[#This Row],[Column14]], LEFT(GCP[[#This Row],[Column14]], SEARCH(" ", GCP[[#This Row],[Column14]] &amp; " ") - 1))</f>
        <v>-</v>
      </c>
    </row>
    <row r="203" spans="1:29" ht="45">
      <c r="A20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3" s="137" t="str">
        <f>GCP[[#This Row],[Column30]]</f>
        <v>-</v>
      </c>
      <c r="C203" s="137">
        <v>14.6</v>
      </c>
      <c r="D203" s="138" t="s">
        <v>781</v>
      </c>
      <c r="E203" s="162" t="s">
        <v>156</v>
      </c>
      <c r="F203" s="138" t="s">
        <v>792</v>
      </c>
      <c r="G203" s="138" t="s">
        <v>793</v>
      </c>
      <c r="H203" s="163" t="s">
        <v>185</v>
      </c>
      <c r="I203" s="164" t="s">
        <v>185</v>
      </c>
      <c r="J203" s="200" t="s">
        <v>185</v>
      </c>
      <c r="K203" s="176" t="s">
        <v>185</v>
      </c>
      <c r="L203" s="176" t="s">
        <v>185</v>
      </c>
      <c r="M203" s="176" t="s">
        <v>185</v>
      </c>
      <c r="N203" s="222" t="s">
        <v>162</v>
      </c>
      <c r="O203" s="222" t="s">
        <v>162</v>
      </c>
      <c r="P203" s="222" t="s">
        <v>162</v>
      </c>
      <c r="Q203" s="222" t="s">
        <v>162</v>
      </c>
      <c r="S203" s="222" t="s">
        <v>162</v>
      </c>
      <c r="T203" s="222" t="s">
        <v>162</v>
      </c>
      <c r="U203" s="258" t="s">
        <v>162</v>
      </c>
      <c r="V203" s="168"/>
      <c r="W203" s="158" t="s">
        <v>966</v>
      </c>
      <c r="X203" s="158" t="s">
        <v>185</v>
      </c>
      <c r="Y203" s="158" t="s">
        <v>185</v>
      </c>
      <c r="Z203" s="158" t="s">
        <v>185</v>
      </c>
      <c r="AA203" s="158" t="str">
        <f>IF(GCP[[#This Row],[Column14]]="-","", "v")</f>
        <v/>
      </c>
      <c r="AB203" s="158" t="str">
        <f>IF(GCP[[#This Row],[Column8]]="x","1",(IF(OR(GCP[[#This Row],[Column25]]=2,GCP[[#This Row],[Column26]]=2,GCP[[#This Row],[Column27]]=2),"1",(IF(GCP[[#This Row],[Column9]]="x","2",(IF(GCP[[#This Row],[Column10]]="x","3","")))))))</f>
        <v>1</v>
      </c>
      <c r="AC203" s="454" t="str">
        <f>IF(GCP[[#This Row],[Column14]] = "-", GCP[[#This Row],[Column14]], LEFT(GCP[[#This Row],[Column14]], SEARCH(" ", GCP[[#This Row],[Column14]] &amp; " ") - 1))</f>
        <v>-</v>
      </c>
    </row>
    <row r="204" spans="1:29" ht="60">
      <c r="A20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4" s="137" t="str">
        <f>GCP[[#This Row],[Column30]]</f>
        <v>-</v>
      </c>
      <c r="C204" s="137">
        <v>14.7</v>
      </c>
      <c r="D204" s="138" t="s">
        <v>781</v>
      </c>
      <c r="E204" s="162" t="s">
        <v>156</v>
      </c>
      <c r="F204" s="139" t="s">
        <v>794</v>
      </c>
      <c r="G204" s="138" t="s">
        <v>795</v>
      </c>
      <c r="H204" s="163" t="s">
        <v>185</v>
      </c>
      <c r="I204" s="164" t="s">
        <v>185</v>
      </c>
      <c r="J204" s="200" t="s">
        <v>185</v>
      </c>
      <c r="K204" s="176" t="s">
        <v>185</v>
      </c>
      <c r="L204" s="176" t="s">
        <v>185</v>
      </c>
      <c r="M204" s="176" t="s">
        <v>185</v>
      </c>
      <c r="N204" s="222" t="s">
        <v>162</v>
      </c>
      <c r="O204" s="222" t="s">
        <v>162</v>
      </c>
      <c r="P204" s="222" t="s">
        <v>162</v>
      </c>
      <c r="Q204" s="222" t="s">
        <v>162</v>
      </c>
      <c r="S204" s="222" t="s">
        <v>162</v>
      </c>
      <c r="T204" s="222" t="s">
        <v>162</v>
      </c>
      <c r="U204" s="258" t="s">
        <v>162</v>
      </c>
      <c r="V204" s="168"/>
      <c r="W204" s="158" t="s">
        <v>966</v>
      </c>
      <c r="X204" s="158" t="s">
        <v>185</v>
      </c>
      <c r="Y204" s="158" t="s">
        <v>185</v>
      </c>
      <c r="Z204" s="158" t="s">
        <v>185</v>
      </c>
      <c r="AA204" s="158" t="str">
        <f>IF(GCP[[#This Row],[Column14]]="-","", "v")</f>
        <v/>
      </c>
      <c r="AB204" s="158" t="str">
        <f>IF(GCP[[#This Row],[Column8]]="x","1",(IF(OR(GCP[[#This Row],[Column25]]=2,GCP[[#This Row],[Column26]]=2,GCP[[#This Row],[Column27]]=2),"1",(IF(GCP[[#This Row],[Column9]]="x","2",(IF(GCP[[#This Row],[Column10]]="x","3","")))))))</f>
        <v>1</v>
      </c>
      <c r="AC204" s="454" t="str">
        <f>IF(GCP[[#This Row],[Column14]] = "-", GCP[[#This Row],[Column14]], LEFT(GCP[[#This Row],[Column14]], SEARCH(" ", GCP[[#This Row],[Column14]] &amp; " ") - 1))</f>
        <v>-</v>
      </c>
    </row>
    <row r="205" spans="1:29" ht="60">
      <c r="A20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5" s="137" t="str">
        <f>GCP[[#This Row],[Column30]]</f>
        <v>-</v>
      </c>
      <c r="C205" s="137">
        <v>14.8</v>
      </c>
      <c r="D205" s="138" t="s">
        <v>781</v>
      </c>
      <c r="E205" s="162" t="s">
        <v>156</v>
      </c>
      <c r="F205" s="138" t="s">
        <v>796</v>
      </c>
      <c r="G205" s="138" t="s">
        <v>797</v>
      </c>
      <c r="H205" s="163" t="s">
        <v>185</v>
      </c>
      <c r="I205" s="164" t="s">
        <v>185</v>
      </c>
      <c r="J205" s="200" t="s">
        <v>185</v>
      </c>
      <c r="K205" s="176" t="s">
        <v>185</v>
      </c>
      <c r="L205" s="176" t="s">
        <v>185</v>
      </c>
      <c r="M205" s="176" t="s">
        <v>185</v>
      </c>
      <c r="N205" s="222" t="s">
        <v>162</v>
      </c>
      <c r="O205" s="222" t="s">
        <v>162</v>
      </c>
      <c r="P205" s="222" t="s">
        <v>162</v>
      </c>
      <c r="Q205" s="222" t="s">
        <v>162</v>
      </c>
      <c r="S205" s="222" t="s">
        <v>162</v>
      </c>
      <c r="T205" s="222" t="s">
        <v>162</v>
      </c>
      <c r="U205" s="258" t="s">
        <v>162</v>
      </c>
      <c r="V205" s="168"/>
      <c r="W205" s="158" t="s">
        <v>966</v>
      </c>
      <c r="X205" s="158" t="s">
        <v>185</v>
      </c>
      <c r="Y205" s="158" t="s">
        <v>185</v>
      </c>
      <c r="Z205" s="158" t="s">
        <v>185</v>
      </c>
      <c r="AA205" s="158" t="str">
        <f>IF(GCP[[#This Row],[Column14]]="-","", "v")</f>
        <v/>
      </c>
      <c r="AB205" s="158" t="str">
        <f>IF(GCP[[#This Row],[Column8]]="x","1",(IF(OR(GCP[[#This Row],[Column25]]=2,GCP[[#This Row],[Column26]]=2,GCP[[#This Row],[Column27]]=2),"1",(IF(GCP[[#This Row],[Column9]]="x","2",(IF(GCP[[#This Row],[Column10]]="x","3","")))))))</f>
        <v>1</v>
      </c>
      <c r="AC205" s="454" t="str">
        <f>IF(GCP[[#This Row],[Column14]] = "-", GCP[[#This Row],[Column14]], LEFT(GCP[[#This Row],[Column14]], SEARCH(" ", GCP[[#This Row],[Column14]] &amp; " ") - 1))</f>
        <v>-</v>
      </c>
    </row>
    <row r="206" spans="1:29" ht="75">
      <c r="A20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6" s="137" t="str">
        <f>GCP[[#This Row],[Column30]]</f>
        <v>-</v>
      </c>
      <c r="C206" s="137">
        <v>14.9</v>
      </c>
      <c r="D206" s="138" t="s">
        <v>781</v>
      </c>
      <c r="E206" s="162" t="s">
        <v>156</v>
      </c>
      <c r="F206" s="138" t="s">
        <v>798</v>
      </c>
      <c r="G206" s="139" t="s">
        <v>799</v>
      </c>
      <c r="H206" s="204"/>
      <c r="I206" s="164" t="s">
        <v>185</v>
      </c>
      <c r="J206" s="200" t="s">
        <v>185</v>
      </c>
      <c r="K206" s="176" t="s">
        <v>185</v>
      </c>
      <c r="L206" s="176" t="s">
        <v>185</v>
      </c>
      <c r="M206" s="176" t="s">
        <v>185</v>
      </c>
      <c r="N206" s="222" t="s">
        <v>162</v>
      </c>
      <c r="O206" s="222" t="s">
        <v>162</v>
      </c>
      <c r="P206" s="222" t="s">
        <v>162</v>
      </c>
      <c r="Q206" s="222" t="s">
        <v>162</v>
      </c>
      <c r="S206" s="222" t="s">
        <v>162</v>
      </c>
      <c r="T206" s="222" t="s">
        <v>162</v>
      </c>
      <c r="U206" s="258" t="s">
        <v>162</v>
      </c>
      <c r="V206" s="168"/>
      <c r="W206" s="158" t="s">
        <v>966</v>
      </c>
      <c r="X206" s="158" t="s">
        <v>185</v>
      </c>
      <c r="Y206" s="158" t="s">
        <v>185</v>
      </c>
      <c r="Z206" s="158" t="s">
        <v>185</v>
      </c>
      <c r="AA206" s="158" t="str">
        <f>IF(GCP[[#This Row],[Column14]]="-","", "v")</f>
        <v/>
      </c>
      <c r="AB206" s="158" t="str">
        <f>IF(GCP[[#This Row],[Column8]]="x","1",(IF(OR(GCP[[#This Row],[Column25]]=2,GCP[[#This Row],[Column26]]=2,GCP[[#This Row],[Column27]]=2),"1",(IF(GCP[[#This Row],[Column9]]="x","2",(IF(GCP[[#This Row],[Column10]]="x","3","")))))))</f>
        <v>2</v>
      </c>
      <c r="AC206" s="454" t="str">
        <f>IF(GCP[[#This Row],[Column14]] = "-", GCP[[#This Row],[Column14]], LEFT(GCP[[#This Row],[Column14]], SEARCH(" ", GCP[[#This Row],[Column14]] &amp; " ") - 1))</f>
        <v>-</v>
      </c>
    </row>
    <row r="207" spans="1:29" ht="60" hidden="1">
      <c r="A207" s="221" t="s">
        <v>942</v>
      </c>
      <c r="B207" s="217" t="s">
        <v>162</v>
      </c>
      <c r="C207" s="217" t="s">
        <v>162</v>
      </c>
      <c r="D207" s="217" t="s">
        <v>162</v>
      </c>
      <c r="E207" s="217" t="s">
        <v>162</v>
      </c>
      <c r="F207" s="219" t="s">
        <v>800</v>
      </c>
      <c r="G207" s="220" t="s">
        <v>801</v>
      </c>
      <c r="H207" s="217" t="s">
        <v>162</v>
      </c>
      <c r="I207" s="217" t="s">
        <v>162</v>
      </c>
      <c r="J207" s="217" t="s">
        <v>162</v>
      </c>
      <c r="K207" s="217" t="s">
        <v>162</v>
      </c>
      <c r="L207" s="217" t="s">
        <v>162</v>
      </c>
      <c r="M207" s="217" t="s">
        <v>162</v>
      </c>
      <c r="N207" s="257" t="s">
        <v>162</v>
      </c>
      <c r="O207" s="217" t="s">
        <v>162</v>
      </c>
      <c r="P207" s="217" t="s">
        <v>162</v>
      </c>
      <c r="Q207" s="217" t="s">
        <v>162</v>
      </c>
      <c r="R207" s="167"/>
      <c r="S207" s="217" t="s">
        <v>162</v>
      </c>
      <c r="T207" s="217" t="s">
        <v>162</v>
      </c>
      <c r="U207" s="217" t="s">
        <v>162</v>
      </c>
      <c r="V207" s="217" t="s">
        <v>162</v>
      </c>
      <c r="W207" s="217" t="s">
        <v>162</v>
      </c>
      <c r="X207" s="217" t="s">
        <v>162</v>
      </c>
      <c r="Y207" s="217" t="s">
        <v>162</v>
      </c>
      <c r="Z207" s="217" t="s">
        <v>162</v>
      </c>
      <c r="AA207" s="217" t="s">
        <v>162</v>
      </c>
      <c r="AB207" s="217" t="s">
        <v>162</v>
      </c>
      <c r="AC207" s="454" t="str">
        <f>IF(GCP[[#This Row],[Column14]] = "-", GCP[[#This Row],[Column14]], LEFT(GCP[[#This Row],[Column14]], SEARCH(" ", GCP[[#This Row],[Column14]] &amp; " ") - 1))</f>
        <v>-</v>
      </c>
    </row>
    <row r="208" spans="1:29" ht="60">
      <c r="A20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8" s="137" t="str">
        <f>GCP[[#This Row],[Column30]]</f>
        <v>-</v>
      </c>
      <c r="C208" s="137">
        <v>15.1</v>
      </c>
      <c r="D208" s="138" t="s">
        <v>781</v>
      </c>
      <c r="E208" s="162" t="s">
        <v>154</v>
      </c>
      <c r="F208" s="138" t="s">
        <v>802</v>
      </c>
      <c r="G208" s="139" t="s">
        <v>803</v>
      </c>
      <c r="H208" s="163" t="s">
        <v>185</v>
      </c>
      <c r="I208" s="164" t="s">
        <v>185</v>
      </c>
      <c r="J208" s="200" t="s">
        <v>185</v>
      </c>
      <c r="K208" s="176" t="s">
        <v>185</v>
      </c>
      <c r="L208" s="176" t="s">
        <v>185</v>
      </c>
      <c r="M208" s="176" t="s">
        <v>185</v>
      </c>
      <c r="N208" s="222" t="s">
        <v>162</v>
      </c>
      <c r="O208" s="222" t="s">
        <v>162</v>
      </c>
      <c r="P208" s="222" t="s">
        <v>162</v>
      </c>
      <c r="Q208" s="222" t="s">
        <v>162</v>
      </c>
      <c r="S208" s="222" t="s">
        <v>162</v>
      </c>
      <c r="T208" s="222" t="s">
        <v>162</v>
      </c>
      <c r="U208" s="258" t="s">
        <v>162</v>
      </c>
      <c r="V208" s="168"/>
      <c r="W208" s="158" t="s">
        <v>966</v>
      </c>
      <c r="X208" s="158" t="s">
        <v>185</v>
      </c>
      <c r="Y208" s="158"/>
      <c r="Z208" s="158" t="s">
        <v>185</v>
      </c>
      <c r="AA208" s="158" t="str">
        <f>IF(GCP[[#This Row],[Column14]]="-","", "v")</f>
        <v/>
      </c>
      <c r="AB208" s="158" t="str">
        <f>IF(GCP[[#This Row],[Column8]]="x","1",(IF(OR(GCP[[#This Row],[Column25]]=2,GCP[[#This Row],[Column26]]=2,GCP[[#This Row],[Column27]]=2),"1",(IF(GCP[[#This Row],[Column9]]="x","2",(IF(GCP[[#This Row],[Column10]]="x","3","")))))))</f>
        <v>1</v>
      </c>
      <c r="AC208" s="454" t="str">
        <f>IF(GCP[[#This Row],[Column14]] = "-", GCP[[#This Row],[Column14]], LEFT(GCP[[#This Row],[Column14]], SEARCH(" ", GCP[[#This Row],[Column14]] &amp; " ") - 1))</f>
        <v>-</v>
      </c>
    </row>
    <row r="209" spans="1:29" ht="60">
      <c r="A20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NOT(ISBLANK(K209)),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NOT(ISBLANK(L209)),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NOT(ISBLANK(M209)),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09" s="137" t="str">
        <f>GCP[[#This Row],[Column30]]</f>
        <v>-</v>
      </c>
      <c r="C209" s="137">
        <v>15.2</v>
      </c>
      <c r="D209" s="138" t="s">
        <v>781</v>
      </c>
      <c r="E209" s="162" t="s">
        <v>154</v>
      </c>
      <c r="F209" s="138" t="s">
        <v>804</v>
      </c>
      <c r="G209" s="138" t="s">
        <v>805</v>
      </c>
      <c r="H209" s="204"/>
      <c r="I209" s="164" t="s">
        <v>185</v>
      </c>
      <c r="J209" s="200" t="s">
        <v>185</v>
      </c>
      <c r="K209" s="176" t="s">
        <v>185</v>
      </c>
      <c r="L209" s="176" t="s">
        <v>185</v>
      </c>
      <c r="M209" s="176" t="s">
        <v>185</v>
      </c>
      <c r="N209" s="222" t="s">
        <v>162</v>
      </c>
      <c r="O209" s="222" t="s">
        <v>162</v>
      </c>
      <c r="P209" s="222" t="s">
        <v>162</v>
      </c>
      <c r="Q209" s="222" t="s">
        <v>162</v>
      </c>
      <c r="S209" s="222" t="s">
        <v>162</v>
      </c>
      <c r="T209" s="222" t="s">
        <v>162</v>
      </c>
      <c r="U209" s="258" t="s">
        <v>162</v>
      </c>
      <c r="V209" s="168"/>
      <c r="W209" s="158" t="s">
        <v>966</v>
      </c>
      <c r="X209" s="158" t="s">
        <v>185</v>
      </c>
      <c r="Y209" s="158"/>
      <c r="Z209" s="158" t="s">
        <v>185</v>
      </c>
      <c r="AA209" s="158" t="str">
        <f>IF(GCP[[#This Row],[Column14]]="-","", "v")</f>
        <v/>
      </c>
      <c r="AB209" s="158" t="str">
        <f>IF(GCP[[#This Row],[Column8]]="x","1",(IF(OR(GCP[[#This Row],[Column25]]=2,GCP[[#This Row],[Column26]]=2,GCP[[#This Row],[Column27]]=2),"1",(IF(GCP[[#This Row],[Column9]]="x","2",(IF(GCP[[#This Row],[Column10]]="x","3","")))))))</f>
        <v>2</v>
      </c>
      <c r="AC209" s="454" t="str">
        <f>IF(GCP[[#This Row],[Column14]] = "-", GCP[[#This Row],[Column14]], LEFT(GCP[[#This Row],[Column14]], SEARCH(" ", GCP[[#This Row],[Column14]] &amp; " ") - 1))</f>
        <v>-</v>
      </c>
    </row>
    <row r="210" spans="1:29" ht="75">
      <c r="A21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0" s="137" t="str">
        <f>GCP[[#This Row],[Column30]]</f>
        <v>-</v>
      </c>
      <c r="C210" s="137">
        <v>15.3</v>
      </c>
      <c r="D210" s="138" t="s">
        <v>781</v>
      </c>
      <c r="E210" s="162" t="s">
        <v>154</v>
      </c>
      <c r="F210" s="138" t="s">
        <v>806</v>
      </c>
      <c r="G210" s="138" t="s">
        <v>807</v>
      </c>
      <c r="H210" s="204"/>
      <c r="I210" s="164" t="s">
        <v>185</v>
      </c>
      <c r="J210" s="200" t="s">
        <v>185</v>
      </c>
      <c r="K210" s="176" t="s">
        <v>185</v>
      </c>
      <c r="L210" s="176" t="s">
        <v>185</v>
      </c>
      <c r="M210" s="176" t="s">
        <v>185</v>
      </c>
      <c r="N210" s="222" t="s">
        <v>162</v>
      </c>
      <c r="O210" s="222" t="s">
        <v>162</v>
      </c>
      <c r="P210" s="222" t="s">
        <v>162</v>
      </c>
      <c r="Q210" s="222" t="s">
        <v>162</v>
      </c>
      <c r="S210" s="222" t="s">
        <v>162</v>
      </c>
      <c r="T210" s="222" t="s">
        <v>162</v>
      </c>
      <c r="U210" s="258" t="s">
        <v>162</v>
      </c>
      <c r="V210" s="168"/>
      <c r="W210" s="158" t="s">
        <v>966</v>
      </c>
      <c r="X210" s="158" t="s">
        <v>185</v>
      </c>
      <c r="Y210" s="158"/>
      <c r="Z210" s="158" t="s">
        <v>185</v>
      </c>
      <c r="AA210" s="158" t="str">
        <f>IF(GCP[[#This Row],[Column14]]="-","", "v")</f>
        <v/>
      </c>
      <c r="AB210" s="158" t="str">
        <f>IF(GCP[[#This Row],[Column8]]="x","1",(IF(OR(GCP[[#This Row],[Column25]]=2,GCP[[#This Row],[Column26]]=2,GCP[[#This Row],[Column27]]=2),"1",(IF(GCP[[#This Row],[Column9]]="x","2",(IF(GCP[[#This Row],[Column10]]="x","3","")))))))</f>
        <v>2</v>
      </c>
      <c r="AC210" s="454" t="str">
        <f>IF(GCP[[#This Row],[Column14]] = "-", GCP[[#This Row],[Column14]], LEFT(GCP[[#This Row],[Column14]], SEARCH(" ", GCP[[#This Row],[Column14]] &amp; " ") - 1))</f>
        <v>-</v>
      </c>
    </row>
    <row r="211" spans="1:29" ht="105">
      <c r="A21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1" s="137" t="str">
        <f>GCP[[#This Row],[Column30]]</f>
        <v>-</v>
      </c>
      <c r="C211" s="137">
        <v>15.4</v>
      </c>
      <c r="D211" s="138" t="s">
        <v>781</v>
      </c>
      <c r="E211" s="162" t="s">
        <v>156</v>
      </c>
      <c r="F211" s="138" t="s">
        <v>808</v>
      </c>
      <c r="G211" s="139" t="s">
        <v>809</v>
      </c>
      <c r="H211" s="204"/>
      <c r="I211" s="164" t="s">
        <v>185</v>
      </c>
      <c r="J211" s="200" t="s">
        <v>185</v>
      </c>
      <c r="K211" s="176" t="s">
        <v>185</v>
      </c>
      <c r="L211" s="176" t="s">
        <v>185</v>
      </c>
      <c r="M211" s="176" t="s">
        <v>185</v>
      </c>
      <c r="N211" s="222" t="s">
        <v>162</v>
      </c>
      <c r="O211" s="222" t="s">
        <v>162</v>
      </c>
      <c r="P211" s="222" t="s">
        <v>162</v>
      </c>
      <c r="Q211" s="222" t="s">
        <v>162</v>
      </c>
      <c r="S211" s="222" t="s">
        <v>162</v>
      </c>
      <c r="T211" s="222" t="s">
        <v>162</v>
      </c>
      <c r="U211" s="258" t="s">
        <v>162</v>
      </c>
      <c r="V211" s="168"/>
      <c r="W211" s="158" t="s">
        <v>966</v>
      </c>
      <c r="X211" s="158" t="s">
        <v>185</v>
      </c>
      <c r="Y211" s="158"/>
      <c r="Z211" s="158" t="s">
        <v>185</v>
      </c>
      <c r="AA211" s="158" t="str">
        <f>IF(GCP[[#This Row],[Column14]]="-","", "v")</f>
        <v/>
      </c>
      <c r="AB211" s="158" t="str">
        <f>IF(GCP[[#This Row],[Column8]]="x","1",(IF(OR(GCP[[#This Row],[Column25]]=2,GCP[[#This Row],[Column26]]=2,GCP[[#This Row],[Column27]]=2),"1",(IF(GCP[[#This Row],[Column9]]="x","2",(IF(GCP[[#This Row],[Column10]]="x","3","")))))))</f>
        <v>2</v>
      </c>
      <c r="AC211" s="454" t="str">
        <f>IF(GCP[[#This Row],[Column14]] = "-", GCP[[#This Row],[Column14]], LEFT(GCP[[#This Row],[Column14]], SEARCH(" ", GCP[[#This Row],[Column14]] &amp; " ") - 1))</f>
        <v>-</v>
      </c>
    </row>
    <row r="212" spans="1:29" ht="105">
      <c r="A21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2" s="137" t="str">
        <f>GCP[[#This Row],[Column30]]</f>
        <v>-</v>
      </c>
      <c r="C212" s="137">
        <v>15.5</v>
      </c>
      <c r="D212" s="138" t="s">
        <v>781</v>
      </c>
      <c r="E212" s="162" t="s">
        <v>154</v>
      </c>
      <c r="F212" s="138" t="s">
        <v>810</v>
      </c>
      <c r="G212" s="139" t="s">
        <v>811</v>
      </c>
      <c r="H212" s="204"/>
      <c r="I212" s="204"/>
      <c r="J212" s="200" t="s">
        <v>185</v>
      </c>
      <c r="K212" s="176" t="s">
        <v>185</v>
      </c>
      <c r="L212" s="176" t="s">
        <v>185</v>
      </c>
      <c r="M212" s="176" t="s">
        <v>185</v>
      </c>
      <c r="N212" s="222" t="s">
        <v>162</v>
      </c>
      <c r="O212" s="222" t="s">
        <v>162</v>
      </c>
      <c r="P212" s="222" t="s">
        <v>162</v>
      </c>
      <c r="Q212" s="222" t="s">
        <v>162</v>
      </c>
      <c r="S212" s="222" t="s">
        <v>162</v>
      </c>
      <c r="T212" s="222" t="s">
        <v>162</v>
      </c>
      <c r="U212" s="258" t="s">
        <v>162</v>
      </c>
      <c r="V212" s="168"/>
      <c r="W212" s="158" t="s">
        <v>966</v>
      </c>
      <c r="X212" s="158" t="s">
        <v>185</v>
      </c>
      <c r="Y212" s="158"/>
      <c r="Z212" s="158" t="s">
        <v>185</v>
      </c>
      <c r="AA212" s="158" t="str">
        <f>IF(GCP[[#This Row],[Column14]]="-","", "v")</f>
        <v/>
      </c>
      <c r="AB212" s="158" t="str">
        <f>IF(GCP[[#This Row],[Column8]]="x","1",(IF(OR(GCP[[#This Row],[Column25]]=2,GCP[[#This Row],[Column26]]=2,GCP[[#This Row],[Column27]]=2),"1",(IF(GCP[[#This Row],[Column9]]="x","2",(IF(GCP[[#This Row],[Column10]]="x","3","")))))))</f>
        <v>3</v>
      </c>
      <c r="AC212" s="454" t="str">
        <f>IF(GCP[[#This Row],[Column14]] = "-", GCP[[#This Row],[Column14]], LEFT(GCP[[#This Row],[Column14]], SEARCH(" ", GCP[[#This Row],[Column14]] &amp; " ") - 1))</f>
        <v>-</v>
      </c>
    </row>
    <row r="213" spans="1:29" ht="60">
      <c r="A21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3" s="137" t="str">
        <f>GCP[[#This Row],[Column30]]</f>
        <v>-</v>
      </c>
      <c r="C213" s="137">
        <v>15.6</v>
      </c>
      <c r="D213" s="138" t="s">
        <v>182</v>
      </c>
      <c r="E213" s="162" t="s">
        <v>155</v>
      </c>
      <c r="F213" s="138" t="s">
        <v>346</v>
      </c>
      <c r="G213" s="139" t="s">
        <v>347</v>
      </c>
      <c r="H213" s="204"/>
      <c r="I213" s="204"/>
      <c r="J213" s="200" t="s">
        <v>185</v>
      </c>
      <c r="K213" s="176" t="s">
        <v>185</v>
      </c>
      <c r="L213" s="176" t="s">
        <v>185</v>
      </c>
      <c r="M213" s="176" t="s">
        <v>185</v>
      </c>
      <c r="N213" s="222" t="s">
        <v>162</v>
      </c>
      <c r="O213" s="222" t="s">
        <v>162</v>
      </c>
      <c r="P213" s="222" t="s">
        <v>162</v>
      </c>
      <c r="Q213" s="222" t="s">
        <v>162</v>
      </c>
      <c r="S213" s="222" t="s">
        <v>162</v>
      </c>
      <c r="T213" s="222" t="s">
        <v>162</v>
      </c>
      <c r="U213" s="258" t="s">
        <v>162</v>
      </c>
      <c r="V213" s="168"/>
      <c r="W213" s="158" t="s">
        <v>966</v>
      </c>
      <c r="X213" s="158" t="s">
        <v>185</v>
      </c>
      <c r="Y213" s="158"/>
      <c r="Z213" s="158" t="s">
        <v>185</v>
      </c>
      <c r="AA213" s="158" t="str">
        <f>IF(GCP[[#This Row],[Column14]]="-","", "v")</f>
        <v/>
      </c>
      <c r="AB213" s="158" t="str">
        <f>IF(GCP[[#This Row],[Column8]]="x","1",(IF(OR(GCP[[#This Row],[Column25]]=2,GCP[[#This Row],[Column26]]=2,GCP[[#This Row],[Column27]]=2),"1",(IF(GCP[[#This Row],[Column9]]="x","2",(IF(GCP[[#This Row],[Column10]]="x","3","")))))))</f>
        <v>3</v>
      </c>
      <c r="AC213" s="454" t="str">
        <f>IF(GCP[[#This Row],[Column14]] = "-", GCP[[#This Row],[Column14]], LEFT(GCP[[#This Row],[Column14]], SEARCH(" ", GCP[[#This Row],[Column14]] &amp; " ") - 1))</f>
        <v>-</v>
      </c>
    </row>
    <row r="214" spans="1:29" ht="45">
      <c r="A21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4" s="137" t="str">
        <f>GCP[[#This Row],[Column30]]</f>
        <v>-</v>
      </c>
      <c r="C214" s="137">
        <v>15.7</v>
      </c>
      <c r="D214" s="138" t="s">
        <v>182</v>
      </c>
      <c r="E214" s="162" t="s">
        <v>156</v>
      </c>
      <c r="F214" s="138" t="s">
        <v>348</v>
      </c>
      <c r="G214" s="139" t="s">
        <v>349</v>
      </c>
      <c r="H214" s="204"/>
      <c r="I214" s="204"/>
      <c r="J214" s="200" t="s">
        <v>185</v>
      </c>
      <c r="K214" s="176" t="s">
        <v>185</v>
      </c>
      <c r="L214" s="176" t="s">
        <v>185</v>
      </c>
      <c r="M214" s="176" t="s">
        <v>185</v>
      </c>
      <c r="N214" s="222" t="s">
        <v>162</v>
      </c>
      <c r="O214" s="222" t="s">
        <v>162</v>
      </c>
      <c r="P214" s="222" t="s">
        <v>162</v>
      </c>
      <c r="Q214" s="222" t="s">
        <v>162</v>
      </c>
      <c r="S214" s="222" t="s">
        <v>162</v>
      </c>
      <c r="T214" s="222" t="s">
        <v>162</v>
      </c>
      <c r="U214" s="258" t="s">
        <v>162</v>
      </c>
      <c r="V214" s="168"/>
      <c r="W214" s="158" t="s">
        <v>966</v>
      </c>
      <c r="X214" s="158" t="s">
        <v>185</v>
      </c>
      <c r="Y214" s="158"/>
      <c r="Z214" s="158" t="s">
        <v>185</v>
      </c>
      <c r="AA214" s="158" t="str">
        <f>IF(GCP[[#This Row],[Column14]]="-","", "v")</f>
        <v/>
      </c>
      <c r="AB214" s="158" t="str">
        <f>IF(GCP[[#This Row],[Column8]]="x","1",(IF(OR(GCP[[#This Row],[Column25]]=2,GCP[[#This Row],[Column26]]=2,GCP[[#This Row],[Column27]]=2),"1",(IF(GCP[[#This Row],[Column9]]="x","2",(IF(GCP[[#This Row],[Column10]]="x","3","")))))))</f>
        <v>3</v>
      </c>
      <c r="AC214" s="454" t="str">
        <f>IF(GCP[[#This Row],[Column14]] = "-", GCP[[#This Row],[Column14]], LEFT(GCP[[#This Row],[Column14]], SEARCH(" ", GCP[[#This Row],[Column14]] &amp; " ") - 1))</f>
        <v>-</v>
      </c>
    </row>
    <row r="215" spans="1:29" ht="45" hidden="1">
      <c r="A215" s="221" t="s">
        <v>942</v>
      </c>
      <c r="B215" s="217" t="s">
        <v>162</v>
      </c>
      <c r="C215" s="217" t="s">
        <v>162</v>
      </c>
      <c r="D215" s="217" t="s">
        <v>162</v>
      </c>
      <c r="E215" s="217" t="s">
        <v>162</v>
      </c>
      <c r="F215" s="219" t="s">
        <v>812</v>
      </c>
      <c r="G215" s="220" t="s">
        <v>813</v>
      </c>
      <c r="H215" s="217" t="s">
        <v>162</v>
      </c>
      <c r="I215" s="217" t="s">
        <v>162</v>
      </c>
      <c r="J215" s="217" t="s">
        <v>162</v>
      </c>
      <c r="K215" s="217" t="s">
        <v>162</v>
      </c>
      <c r="L215" s="217" t="s">
        <v>162</v>
      </c>
      <c r="M215" s="217" t="s">
        <v>162</v>
      </c>
      <c r="N215" s="257" t="s">
        <v>162</v>
      </c>
      <c r="O215" s="217" t="s">
        <v>162</v>
      </c>
      <c r="P215" s="217" t="s">
        <v>162</v>
      </c>
      <c r="Q215" s="217" t="s">
        <v>162</v>
      </c>
      <c r="R215" s="167"/>
      <c r="S215" s="217" t="s">
        <v>162</v>
      </c>
      <c r="T215" s="217" t="s">
        <v>162</v>
      </c>
      <c r="U215" s="217" t="s">
        <v>162</v>
      </c>
      <c r="V215" s="217" t="s">
        <v>162</v>
      </c>
      <c r="W215" s="217" t="s">
        <v>162</v>
      </c>
      <c r="X215" s="217" t="s">
        <v>162</v>
      </c>
      <c r="Y215" s="217" t="s">
        <v>162</v>
      </c>
      <c r="Z215" s="217" t="s">
        <v>162</v>
      </c>
      <c r="AA215" s="217" t="s">
        <v>162</v>
      </c>
      <c r="AB215" s="217" t="s">
        <v>162</v>
      </c>
      <c r="AC215" s="454" t="str">
        <f>IF(GCP[[#This Row],[Column14]] = "-", GCP[[#This Row],[Column14]], LEFT(GCP[[#This Row],[Column14]], SEARCH(" ", GCP[[#This Row],[Column14]] &amp; " ") - 1))</f>
        <v>-</v>
      </c>
    </row>
    <row r="216" spans="1:29" ht="90">
      <c r="A21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6" s="137" t="str">
        <f>GCP[[#This Row],[Column30]]</f>
        <v>-</v>
      </c>
      <c r="C216" s="137">
        <v>16.100000000000001</v>
      </c>
      <c r="D216" s="138" t="s">
        <v>371</v>
      </c>
      <c r="E216" s="162" t="s">
        <v>156</v>
      </c>
      <c r="F216" s="138" t="s">
        <v>814</v>
      </c>
      <c r="G216" s="139" t="s">
        <v>815</v>
      </c>
      <c r="H216" s="204"/>
      <c r="I216" s="164" t="s">
        <v>185</v>
      </c>
      <c r="J216" s="200" t="s">
        <v>185</v>
      </c>
      <c r="K216" s="176" t="s">
        <v>185</v>
      </c>
      <c r="L216" s="176" t="s">
        <v>185</v>
      </c>
      <c r="M216" s="176" t="s">
        <v>185</v>
      </c>
      <c r="N216" s="222" t="s">
        <v>162</v>
      </c>
      <c r="O216" s="222" t="s">
        <v>162</v>
      </c>
      <c r="P216" s="222" t="s">
        <v>162</v>
      </c>
      <c r="Q216" s="222" t="s">
        <v>162</v>
      </c>
      <c r="R216" s="451"/>
      <c r="S216" s="222" t="s">
        <v>162</v>
      </c>
      <c r="T216" s="222" t="s">
        <v>162</v>
      </c>
      <c r="U216" s="258" t="s">
        <v>162</v>
      </c>
      <c r="V216" s="168"/>
      <c r="W216" s="158" t="s">
        <v>966</v>
      </c>
      <c r="X216" s="158" t="s">
        <v>185</v>
      </c>
      <c r="Y216" s="158" t="s">
        <v>185</v>
      </c>
      <c r="Z216" s="158"/>
      <c r="AA216" s="158" t="str">
        <f>IF(GCP[[#This Row],[Column14]]="-","", "v")</f>
        <v/>
      </c>
      <c r="AB216" s="158" t="str">
        <f>IF(GCP[[#This Row],[Column8]]="x","1",(IF(OR(GCP[[#This Row],[Column25]]=2,GCP[[#This Row],[Column26]]=2,GCP[[#This Row],[Column27]]=2),"1",(IF(GCP[[#This Row],[Column9]]="x","2",(IF(GCP[[#This Row],[Column10]]="x","3","")))))))</f>
        <v>2</v>
      </c>
      <c r="AC216" s="454" t="str">
        <f>IF(GCP[[#This Row],[Column14]] = "-", GCP[[#This Row],[Column14]], LEFT(GCP[[#This Row],[Column14]], SEARCH(" ", GCP[[#This Row],[Column14]] &amp; " ") - 1))</f>
        <v>-</v>
      </c>
    </row>
    <row r="217" spans="1:29" ht="180">
      <c r="A21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7" s="137" t="str">
        <f>GCP[[#This Row],[Column30]]</f>
        <v>-</v>
      </c>
      <c r="C217" s="137">
        <v>16.2</v>
      </c>
      <c r="D217" s="138" t="s">
        <v>371</v>
      </c>
      <c r="E217" s="162" t="s">
        <v>156</v>
      </c>
      <c r="F217" s="138" t="s">
        <v>816</v>
      </c>
      <c r="G217" s="139" t="s">
        <v>817</v>
      </c>
      <c r="H217" s="204"/>
      <c r="I217" s="164" t="s">
        <v>185</v>
      </c>
      <c r="J217" s="200" t="s">
        <v>185</v>
      </c>
      <c r="K217" s="176" t="s">
        <v>185</v>
      </c>
      <c r="L217" s="176" t="s">
        <v>185</v>
      </c>
      <c r="M217" s="176" t="s">
        <v>185</v>
      </c>
      <c r="N217" s="222" t="s">
        <v>162</v>
      </c>
      <c r="O217" s="222" t="s">
        <v>162</v>
      </c>
      <c r="P217" s="222" t="s">
        <v>162</v>
      </c>
      <c r="Q217" s="222" t="s">
        <v>162</v>
      </c>
      <c r="R217" s="451"/>
      <c r="S217" s="222" t="s">
        <v>162</v>
      </c>
      <c r="T217" s="222" t="s">
        <v>162</v>
      </c>
      <c r="U217" s="258" t="s">
        <v>162</v>
      </c>
      <c r="V217" s="168"/>
      <c r="W217" s="158" t="s">
        <v>966</v>
      </c>
      <c r="X217" s="158" t="s">
        <v>185</v>
      </c>
      <c r="Y217" s="158" t="s">
        <v>185</v>
      </c>
      <c r="Z217" s="158"/>
      <c r="AA217" s="158" t="str">
        <f>IF(GCP[[#This Row],[Column14]]="-","", "v")</f>
        <v/>
      </c>
      <c r="AB217" s="158" t="str">
        <f>IF(GCP[[#This Row],[Column8]]="x","1",(IF(OR(GCP[[#This Row],[Column25]]=2,GCP[[#This Row],[Column26]]=2,GCP[[#This Row],[Column27]]=2),"1",(IF(GCP[[#This Row],[Column9]]="x","2",(IF(GCP[[#This Row],[Column10]]="x","3","")))))))</f>
        <v>2</v>
      </c>
      <c r="AC217" s="454" t="str">
        <f>IF(GCP[[#This Row],[Column14]] = "-", GCP[[#This Row],[Column14]], LEFT(GCP[[#This Row],[Column14]], SEARCH(" ", GCP[[#This Row],[Column14]] &amp; " ") - 1))</f>
        <v>-</v>
      </c>
    </row>
    <row r="218" spans="1:29" ht="60">
      <c r="A21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8" s="137" t="str">
        <f>GCP[[#This Row],[Column30]]</f>
        <v>-</v>
      </c>
      <c r="C218" s="137">
        <v>16.3</v>
      </c>
      <c r="D218" s="138" t="s">
        <v>371</v>
      </c>
      <c r="E218" s="162" t="s">
        <v>156</v>
      </c>
      <c r="F218" s="138" t="s">
        <v>818</v>
      </c>
      <c r="G218" s="139" t="s">
        <v>819</v>
      </c>
      <c r="H218" s="204"/>
      <c r="I218" s="164" t="s">
        <v>185</v>
      </c>
      <c r="J218" s="200" t="s">
        <v>185</v>
      </c>
      <c r="K218" s="176" t="s">
        <v>185</v>
      </c>
      <c r="L218" s="176" t="s">
        <v>185</v>
      </c>
      <c r="M218" s="176" t="s">
        <v>185</v>
      </c>
      <c r="N218" s="222" t="s">
        <v>162</v>
      </c>
      <c r="O218" s="222" t="s">
        <v>162</v>
      </c>
      <c r="P218" s="222" t="s">
        <v>162</v>
      </c>
      <c r="Q218" s="222" t="s">
        <v>162</v>
      </c>
      <c r="R218" s="451"/>
      <c r="S218" s="222" t="s">
        <v>162</v>
      </c>
      <c r="T218" s="222" t="s">
        <v>162</v>
      </c>
      <c r="U218" s="258" t="s">
        <v>162</v>
      </c>
      <c r="V218" s="168"/>
      <c r="W218" s="158" t="s">
        <v>966</v>
      </c>
      <c r="X218" s="158" t="s">
        <v>185</v>
      </c>
      <c r="Y218" s="158" t="s">
        <v>185</v>
      </c>
      <c r="Z218" s="158"/>
      <c r="AA218" s="158" t="str">
        <f>IF(GCP[[#This Row],[Column14]]="-","", "v")</f>
        <v/>
      </c>
      <c r="AB218" s="158" t="str">
        <f>IF(GCP[[#This Row],[Column8]]="x","1",(IF(OR(GCP[[#This Row],[Column25]]=2,GCP[[#This Row],[Column26]]=2,GCP[[#This Row],[Column27]]=2),"1",(IF(GCP[[#This Row],[Column9]]="x","2",(IF(GCP[[#This Row],[Column10]]="x","3","")))))))</f>
        <v>2</v>
      </c>
      <c r="AC218" s="454" t="str">
        <f>IF(GCP[[#This Row],[Column14]] = "-", GCP[[#This Row],[Column14]], LEFT(GCP[[#This Row],[Column14]], SEARCH(" ", GCP[[#This Row],[Column14]] &amp; " ") - 1))</f>
        <v>-</v>
      </c>
    </row>
    <row r="219" spans="1:29" ht="90">
      <c r="A21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NOT(ISBLANK(M219)),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19" s="137" t="str">
        <f>GCP[[#This Row],[Column30]]</f>
        <v>-</v>
      </c>
      <c r="C219" s="137">
        <v>16.399999999999999</v>
      </c>
      <c r="D219" s="138" t="s">
        <v>371</v>
      </c>
      <c r="E219" s="162" t="s">
        <v>156</v>
      </c>
      <c r="F219" s="138" t="s">
        <v>820</v>
      </c>
      <c r="G219" s="139" t="s">
        <v>821</v>
      </c>
      <c r="H219" s="204"/>
      <c r="I219" s="164" t="s">
        <v>185</v>
      </c>
      <c r="J219" s="200" t="s">
        <v>185</v>
      </c>
      <c r="K219" s="176" t="s">
        <v>185</v>
      </c>
      <c r="L219" s="176" t="s">
        <v>185</v>
      </c>
      <c r="M219" s="176" t="s">
        <v>185</v>
      </c>
      <c r="N219" s="222" t="s">
        <v>162</v>
      </c>
      <c r="O219" s="222" t="s">
        <v>162</v>
      </c>
      <c r="P219" s="222" t="s">
        <v>162</v>
      </c>
      <c r="Q219" s="222" t="s">
        <v>162</v>
      </c>
      <c r="R219" s="451"/>
      <c r="S219" s="222" t="s">
        <v>162</v>
      </c>
      <c r="T219" s="222" t="s">
        <v>162</v>
      </c>
      <c r="U219" s="258" t="s">
        <v>162</v>
      </c>
      <c r="V219" s="168"/>
      <c r="W219" s="158" t="s">
        <v>966</v>
      </c>
      <c r="X219" s="158" t="s">
        <v>185</v>
      </c>
      <c r="Y219" s="158" t="s">
        <v>185</v>
      </c>
      <c r="Z219" s="158"/>
      <c r="AA219" s="158" t="str">
        <f>IF(GCP[[#This Row],[Column14]]="-","", "v")</f>
        <v/>
      </c>
      <c r="AB219" s="158" t="str">
        <f>IF(GCP[[#This Row],[Column8]]="x","1",(IF(OR(GCP[[#This Row],[Column25]]=2,GCP[[#This Row],[Column26]]=2,GCP[[#This Row],[Column27]]=2),"1",(IF(GCP[[#This Row],[Column9]]="x","2",(IF(GCP[[#This Row],[Column10]]="x","3","")))))))</f>
        <v>2</v>
      </c>
      <c r="AC219" s="454" t="str">
        <f>IF(GCP[[#This Row],[Column14]] = "-", GCP[[#This Row],[Column14]], LEFT(GCP[[#This Row],[Column14]], SEARCH(" ", GCP[[#This Row],[Column14]] &amp; " ") - 1))</f>
        <v>-</v>
      </c>
    </row>
    <row r="220" spans="1:29" ht="60">
      <c r="A22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0" s="137" t="str">
        <f>GCP[[#This Row],[Column30]]</f>
        <v>-</v>
      </c>
      <c r="C220" s="137">
        <v>16.5</v>
      </c>
      <c r="D220" s="138" t="s">
        <v>371</v>
      </c>
      <c r="E220" s="162" t="s">
        <v>156</v>
      </c>
      <c r="F220" s="138" t="s">
        <v>822</v>
      </c>
      <c r="G220" s="138" t="s">
        <v>823</v>
      </c>
      <c r="H220" s="204"/>
      <c r="I220" s="164" t="s">
        <v>185</v>
      </c>
      <c r="J220" s="200" t="s">
        <v>185</v>
      </c>
      <c r="K220" s="176" t="s">
        <v>185</v>
      </c>
      <c r="L220" s="176" t="s">
        <v>185</v>
      </c>
      <c r="M220" s="176" t="s">
        <v>185</v>
      </c>
      <c r="N220" s="222" t="s">
        <v>162</v>
      </c>
      <c r="O220" s="222" t="s">
        <v>162</v>
      </c>
      <c r="P220" s="222" t="s">
        <v>162</v>
      </c>
      <c r="Q220" s="222" t="s">
        <v>162</v>
      </c>
      <c r="R220" s="451"/>
      <c r="S220" s="222" t="s">
        <v>162</v>
      </c>
      <c r="T220" s="222" t="s">
        <v>162</v>
      </c>
      <c r="U220" s="258" t="s">
        <v>162</v>
      </c>
      <c r="V220" s="168"/>
      <c r="W220" s="158" t="s">
        <v>966</v>
      </c>
      <c r="X220" s="158" t="s">
        <v>185</v>
      </c>
      <c r="Y220" s="158" t="s">
        <v>185</v>
      </c>
      <c r="Z220" s="158"/>
      <c r="AA220" s="158" t="str">
        <f>IF(GCP[[#This Row],[Column14]]="-","", "v")</f>
        <v/>
      </c>
      <c r="AB220" s="158" t="str">
        <f>IF(GCP[[#This Row],[Column8]]="x","1",(IF(OR(GCP[[#This Row],[Column25]]=2,GCP[[#This Row],[Column26]]=2,GCP[[#This Row],[Column27]]=2),"1",(IF(GCP[[#This Row],[Column9]]="x","2",(IF(GCP[[#This Row],[Column10]]="x","3","")))))))</f>
        <v>2</v>
      </c>
      <c r="AC220" s="454" t="str">
        <f>IF(GCP[[#This Row],[Column14]] = "-", GCP[[#This Row],[Column14]], LEFT(GCP[[#This Row],[Column14]], SEARCH(" ", GCP[[#This Row],[Column14]] &amp; " ") - 1))</f>
        <v>-</v>
      </c>
    </row>
    <row r="221" spans="1:29" ht="105">
      <c r="A22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1" s="137" t="str">
        <f>GCP[[#This Row],[Column30]]</f>
        <v>-</v>
      </c>
      <c r="C221" s="137">
        <v>16.600000000000001</v>
      </c>
      <c r="D221" s="138" t="s">
        <v>371</v>
      </c>
      <c r="E221" s="162" t="s">
        <v>156</v>
      </c>
      <c r="F221" s="138" t="s">
        <v>824</v>
      </c>
      <c r="G221" s="138" t="s">
        <v>825</v>
      </c>
      <c r="H221" s="204"/>
      <c r="I221" s="164" t="s">
        <v>185</v>
      </c>
      <c r="J221" s="200" t="s">
        <v>185</v>
      </c>
      <c r="K221" s="176" t="s">
        <v>185</v>
      </c>
      <c r="L221" s="176" t="s">
        <v>185</v>
      </c>
      <c r="M221" s="176" t="s">
        <v>185</v>
      </c>
      <c r="N221" s="222" t="s">
        <v>162</v>
      </c>
      <c r="O221" s="222" t="s">
        <v>162</v>
      </c>
      <c r="P221" s="222" t="s">
        <v>162</v>
      </c>
      <c r="Q221" s="222" t="s">
        <v>162</v>
      </c>
      <c r="R221" s="451"/>
      <c r="S221" s="222" t="s">
        <v>162</v>
      </c>
      <c r="T221" s="222" t="s">
        <v>162</v>
      </c>
      <c r="U221" s="258" t="s">
        <v>162</v>
      </c>
      <c r="V221" s="168"/>
      <c r="W221" s="158" t="s">
        <v>966</v>
      </c>
      <c r="X221" s="158" t="s">
        <v>185</v>
      </c>
      <c r="Y221" s="158" t="s">
        <v>185</v>
      </c>
      <c r="Z221" s="158"/>
      <c r="AA221" s="158" t="str">
        <f>IF(GCP[[#This Row],[Column14]]="-","", "v")</f>
        <v/>
      </c>
      <c r="AB221" s="158" t="str">
        <f>IF(GCP[[#This Row],[Column8]]="x","1",(IF(OR(GCP[[#This Row],[Column25]]=2,GCP[[#This Row],[Column26]]=2,GCP[[#This Row],[Column27]]=2),"1",(IF(GCP[[#This Row],[Column9]]="x","2",(IF(GCP[[#This Row],[Column10]]="x","3","")))))))</f>
        <v>2</v>
      </c>
      <c r="AC221" s="454" t="str">
        <f>IF(GCP[[#This Row],[Column14]] = "-", GCP[[#This Row],[Column14]], LEFT(GCP[[#This Row],[Column14]], SEARCH(" ", GCP[[#This Row],[Column14]] &amp; " ") - 1))</f>
        <v>-</v>
      </c>
    </row>
    <row r="222" spans="1:29" ht="409.5">
      <c r="A22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2" s="137" t="str">
        <f>GCP[[#This Row],[Column30]]</f>
        <v>6.1.3</v>
      </c>
      <c r="C222" s="137">
        <v>16.7</v>
      </c>
      <c r="D222" s="138" t="s">
        <v>371</v>
      </c>
      <c r="E222" s="162" t="s">
        <v>156</v>
      </c>
      <c r="F222" s="138" t="s">
        <v>826</v>
      </c>
      <c r="G222" s="138" t="s">
        <v>827</v>
      </c>
      <c r="H222" s="204"/>
      <c r="I222" s="164" t="s">
        <v>185</v>
      </c>
      <c r="J222" s="200" t="s">
        <v>185</v>
      </c>
      <c r="K222" s="176" t="s">
        <v>185</v>
      </c>
      <c r="L222" s="176" t="s">
        <v>185</v>
      </c>
      <c r="M222" s="176" t="s">
        <v>185</v>
      </c>
      <c r="N222" s="222" t="s">
        <v>1447</v>
      </c>
      <c r="O222" s="212">
        <v>1</v>
      </c>
      <c r="P222" s="214" t="s">
        <v>1448</v>
      </c>
      <c r="Q222" s="214" t="s">
        <v>1449</v>
      </c>
      <c r="R222" s="451" t="s">
        <v>1450</v>
      </c>
      <c r="S222" s="214" t="s">
        <v>162</v>
      </c>
      <c r="T222" s="214" t="s">
        <v>1451</v>
      </c>
      <c r="U222" s="158" t="s">
        <v>162</v>
      </c>
      <c r="V222" s="168" t="s">
        <v>1569</v>
      </c>
      <c r="W222" s="158" t="s">
        <v>967</v>
      </c>
      <c r="X222" s="158" t="s">
        <v>185</v>
      </c>
      <c r="Y222" s="158" t="s">
        <v>185</v>
      </c>
      <c r="Z222" s="158"/>
      <c r="AA222" s="158" t="str">
        <f>IF(GCP[[#This Row],[Column14]]="-","", "v")</f>
        <v>v</v>
      </c>
      <c r="AB222" s="158" t="str">
        <f>IF(GCP[[#This Row],[Column8]]="x","1",(IF(OR(GCP[[#This Row],[Column25]]=2,GCP[[#This Row],[Column26]]=2,GCP[[#This Row],[Column27]]=2),"1",(IF(GCP[[#This Row],[Column9]]="x","2",(IF(GCP[[#This Row],[Column10]]="x","3","")))))))</f>
        <v>2</v>
      </c>
      <c r="AC222" s="454" t="str">
        <f>IF(GCP[[#This Row],[Column14]] = "-", GCP[[#This Row],[Column14]], LEFT(GCP[[#This Row],[Column14]], SEARCH(" ", GCP[[#This Row],[Column14]] &amp; " ") - 1))</f>
        <v>6.1.3</v>
      </c>
    </row>
    <row r="223" spans="1:29" ht="30">
      <c r="A223"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NOT(ISBLANK(M223)),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3" s="137" t="str">
        <f>GCP[[#This Row],[Column30]]</f>
        <v>-</v>
      </c>
      <c r="C223" s="137">
        <v>16.8</v>
      </c>
      <c r="D223" s="138" t="s">
        <v>371</v>
      </c>
      <c r="E223" s="162" t="s">
        <v>156</v>
      </c>
      <c r="F223" s="138" t="s">
        <v>828</v>
      </c>
      <c r="G223" s="138" t="s">
        <v>829</v>
      </c>
      <c r="H223" s="204"/>
      <c r="I223" s="164" t="s">
        <v>185</v>
      </c>
      <c r="J223" s="200" t="s">
        <v>185</v>
      </c>
      <c r="K223" s="176" t="s">
        <v>185</v>
      </c>
      <c r="L223" s="176" t="s">
        <v>185</v>
      </c>
      <c r="M223" s="176" t="s">
        <v>185</v>
      </c>
      <c r="N223" s="222" t="s">
        <v>162</v>
      </c>
      <c r="O223" s="222" t="s">
        <v>162</v>
      </c>
      <c r="P223" s="222" t="s">
        <v>162</v>
      </c>
      <c r="Q223" s="222" t="s">
        <v>162</v>
      </c>
      <c r="R223" s="451"/>
      <c r="S223" s="222" t="s">
        <v>162</v>
      </c>
      <c r="T223" s="222" t="s">
        <v>162</v>
      </c>
      <c r="U223" s="258" t="s">
        <v>162</v>
      </c>
      <c r="V223" s="168"/>
      <c r="W223" s="158" t="s">
        <v>966</v>
      </c>
      <c r="X223" s="158" t="s">
        <v>185</v>
      </c>
      <c r="Y223" s="158" t="s">
        <v>185</v>
      </c>
      <c r="Z223" s="158"/>
      <c r="AA223" s="158" t="str">
        <f>IF(GCP[[#This Row],[Column14]]="-","", "v")</f>
        <v/>
      </c>
      <c r="AB223" s="158" t="str">
        <f>IF(GCP[[#This Row],[Column8]]="x","1",(IF(OR(GCP[[#This Row],[Column25]]=2,GCP[[#This Row],[Column26]]=2,GCP[[#This Row],[Column27]]=2),"1",(IF(GCP[[#This Row],[Column9]]="x","2",(IF(GCP[[#This Row],[Column10]]="x","3","")))))))</f>
        <v>2</v>
      </c>
      <c r="AC223" s="454" t="str">
        <f>IF(GCP[[#This Row],[Column14]] = "-", GCP[[#This Row],[Column14]], LEFT(GCP[[#This Row],[Column14]], SEARCH(" ", GCP[[#This Row],[Column14]] &amp; " ") - 1))</f>
        <v>-</v>
      </c>
    </row>
    <row r="224" spans="1:29" ht="90">
      <c r="A22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4" s="137" t="str">
        <f>GCP[[#This Row],[Column30]]</f>
        <v>-</v>
      </c>
      <c r="C224" s="137">
        <v>16.899999999999999</v>
      </c>
      <c r="D224" s="138" t="s">
        <v>371</v>
      </c>
      <c r="E224" s="162" t="s">
        <v>156</v>
      </c>
      <c r="F224" s="138" t="s">
        <v>830</v>
      </c>
      <c r="G224" s="138" t="s">
        <v>831</v>
      </c>
      <c r="H224" s="204"/>
      <c r="I224" s="164" t="s">
        <v>185</v>
      </c>
      <c r="J224" s="200" t="s">
        <v>185</v>
      </c>
      <c r="K224" s="176" t="s">
        <v>185</v>
      </c>
      <c r="L224" s="176" t="s">
        <v>185</v>
      </c>
      <c r="M224" s="176" t="s">
        <v>185</v>
      </c>
      <c r="N224" s="222" t="s">
        <v>162</v>
      </c>
      <c r="O224" s="222" t="s">
        <v>162</v>
      </c>
      <c r="P224" s="222" t="s">
        <v>162</v>
      </c>
      <c r="Q224" s="222" t="s">
        <v>162</v>
      </c>
      <c r="R224" s="451"/>
      <c r="S224" s="222" t="s">
        <v>162</v>
      </c>
      <c r="T224" s="222" t="s">
        <v>162</v>
      </c>
      <c r="U224" s="258" t="s">
        <v>162</v>
      </c>
      <c r="V224" s="168"/>
      <c r="W224" s="158" t="s">
        <v>966</v>
      </c>
      <c r="X224" s="158" t="s">
        <v>185</v>
      </c>
      <c r="Y224" s="158" t="s">
        <v>185</v>
      </c>
      <c r="Z224" s="158"/>
      <c r="AA224" s="158" t="str">
        <f>IF(GCP[[#This Row],[Column14]]="-","", "v")</f>
        <v/>
      </c>
      <c r="AB224" s="158" t="str">
        <f>IF(GCP[[#This Row],[Column8]]="x","1",(IF(OR(GCP[[#This Row],[Column25]]=2,GCP[[#This Row],[Column26]]=2,GCP[[#This Row],[Column27]]=2),"1",(IF(GCP[[#This Row],[Column9]]="x","2",(IF(GCP[[#This Row],[Column10]]="x","3","")))))))</f>
        <v>2</v>
      </c>
      <c r="AC224" s="454" t="str">
        <f>IF(GCP[[#This Row],[Column14]] = "-", GCP[[#This Row],[Column14]], LEFT(GCP[[#This Row],[Column14]], SEARCH(" ", GCP[[#This Row],[Column14]] &amp; " ") - 1))</f>
        <v>-</v>
      </c>
    </row>
    <row r="225" spans="1:29" ht="409.5">
      <c r="A22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5" s="137" t="str">
        <f>GCP[[#This Row],[Column30]]</f>
        <v>1.12</v>
      </c>
      <c r="C225" s="140">
        <v>16.100000000000001</v>
      </c>
      <c r="D225" s="138" t="s">
        <v>371</v>
      </c>
      <c r="E225" s="162" t="s">
        <v>156</v>
      </c>
      <c r="F225" s="138" t="s">
        <v>832</v>
      </c>
      <c r="G225" s="138" t="s">
        <v>833</v>
      </c>
      <c r="H225" s="204"/>
      <c r="I225" s="164" t="s">
        <v>185</v>
      </c>
      <c r="J225" s="200" t="s">
        <v>185</v>
      </c>
      <c r="K225" s="176" t="s">
        <v>185</v>
      </c>
      <c r="L225" s="176" t="s">
        <v>185</v>
      </c>
      <c r="M225" s="176" t="s">
        <v>185</v>
      </c>
      <c r="N225" s="222" t="s">
        <v>1452</v>
      </c>
      <c r="O225" s="212">
        <v>2</v>
      </c>
      <c r="P225" s="214" t="s">
        <v>1453</v>
      </c>
      <c r="Q225" s="214" t="s">
        <v>1454</v>
      </c>
      <c r="R225" s="451" t="s">
        <v>1455</v>
      </c>
      <c r="S225" s="214" t="s">
        <v>1456</v>
      </c>
      <c r="T225" s="214" t="s">
        <v>1457</v>
      </c>
      <c r="U225" s="158" t="s">
        <v>162</v>
      </c>
      <c r="V225" s="168" t="s">
        <v>1570</v>
      </c>
      <c r="W225" s="158" t="s">
        <v>967</v>
      </c>
      <c r="X225" s="158" t="s">
        <v>185</v>
      </c>
      <c r="Y225" s="158" t="s">
        <v>185</v>
      </c>
      <c r="Z225" s="158"/>
      <c r="AA225" s="158" t="str">
        <f>IF(GCP[[#This Row],[Column14]]="-","", "v")</f>
        <v>v</v>
      </c>
      <c r="AB225" s="158" t="str">
        <f>IF(GCP[[#This Row],[Column8]]="x","1",(IF(OR(GCP[[#This Row],[Column25]]=2,GCP[[#This Row],[Column26]]=2,GCP[[#This Row],[Column27]]=2),"1",(IF(GCP[[#This Row],[Column9]]="x","2",(IF(GCP[[#This Row],[Column10]]="x","3","")))))))</f>
        <v>2</v>
      </c>
      <c r="AC225" s="454" t="str">
        <f>IF(GCP[[#This Row],[Column14]] = "-", GCP[[#This Row],[Column14]], LEFT(GCP[[#This Row],[Column14]], SEARCH(" ", GCP[[#This Row],[Column14]] &amp; " ") - 1))</f>
        <v>1.12</v>
      </c>
    </row>
    <row r="226" spans="1:29" ht="409.5">
      <c r="A22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6" s="137" t="str">
        <f>GCP[[#This Row],[Column30]]</f>
        <v>1.13</v>
      </c>
      <c r="C226" s="140">
        <v>16.100000000000001</v>
      </c>
      <c r="D226" s="138" t="s">
        <v>371</v>
      </c>
      <c r="E226" s="162" t="s">
        <v>156</v>
      </c>
      <c r="F226" s="138" t="s">
        <v>832</v>
      </c>
      <c r="G226" s="138" t="s">
        <v>833</v>
      </c>
      <c r="H226" s="204"/>
      <c r="I226" s="164" t="s">
        <v>185</v>
      </c>
      <c r="J226" s="200" t="s">
        <v>185</v>
      </c>
      <c r="K226" s="176" t="s">
        <v>185</v>
      </c>
      <c r="L226" s="176" t="s">
        <v>185</v>
      </c>
      <c r="M226" s="176" t="s">
        <v>185</v>
      </c>
      <c r="N226" s="222" t="s">
        <v>1458</v>
      </c>
      <c r="O226" s="212">
        <v>2</v>
      </c>
      <c r="P226" s="214" t="s">
        <v>1459</v>
      </c>
      <c r="Q226" s="214" t="s">
        <v>1460</v>
      </c>
      <c r="R226" s="451" t="s">
        <v>1461</v>
      </c>
      <c r="S226" s="214" t="s">
        <v>1462</v>
      </c>
      <c r="T226" s="214" t="s">
        <v>1463</v>
      </c>
      <c r="U226" s="258" t="s">
        <v>162</v>
      </c>
      <c r="V226" s="168" t="s">
        <v>1570</v>
      </c>
      <c r="W226" s="158" t="s">
        <v>967</v>
      </c>
      <c r="X226" s="158" t="s">
        <v>185</v>
      </c>
      <c r="Y226" s="158" t="s">
        <v>185</v>
      </c>
      <c r="Z226" s="158"/>
      <c r="AA226" s="158" t="str">
        <f>IF(GCP[[#This Row],[Column14]]="-","", "v")</f>
        <v>v</v>
      </c>
      <c r="AB226" s="158" t="str">
        <f>IF(GCP[[#This Row],[Column8]]="x","1",(IF(OR(GCP[[#This Row],[Column25]]=2,GCP[[#This Row],[Column26]]=2,GCP[[#This Row],[Column27]]=2),"1",(IF(GCP[[#This Row],[Column9]]="x","2",(IF(GCP[[#This Row],[Column10]]="x","3","")))))))</f>
        <v>2</v>
      </c>
      <c r="AC226" s="454" t="str">
        <f>IF(GCP[[#This Row],[Column14]] = "-", GCP[[#This Row],[Column14]], LEFT(GCP[[#This Row],[Column14]], SEARCH(" ", GCP[[#This Row],[Column14]] &amp; " ") - 1))</f>
        <v>1.13</v>
      </c>
    </row>
    <row r="227" spans="1:29" ht="409.5">
      <c r="A22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7" s="137" t="str">
        <f>GCP[[#This Row],[Column30]]</f>
        <v>1.14</v>
      </c>
      <c r="C227" s="140">
        <v>16.100000000000001</v>
      </c>
      <c r="D227" s="138" t="s">
        <v>371</v>
      </c>
      <c r="E227" s="162" t="s">
        <v>156</v>
      </c>
      <c r="F227" s="138" t="s">
        <v>832</v>
      </c>
      <c r="G227" s="138" t="s">
        <v>833</v>
      </c>
      <c r="H227" s="204"/>
      <c r="I227" s="164" t="s">
        <v>185</v>
      </c>
      <c r="J227" s="200" t="s">
        <v>185</v>
      </c>
      <c r="K227" s="176" t="s">
        <v>185</v>
      </c>
      <c r="L227" s="176" t="s">
        <v>185</v>
      </c>
      <c r="M227" s="176" t="s">
        <v>185</v>
      </c>
      <c r="N227" s="222" t="s">
        <v>1464</v>
      </c>
      <c r="O227" s="212">
        <v>2</v>
      </c>
      <c r="P227" s="214" t="s">
        <v>1465</v>
      </c>
      <c r="Q227" s="214" t="s">
        <v>1466</v>
      </c>
      <c r="R227" s="451" t="s">
        <v>1467</v>
      </c>
      <c r="S227" s="214" t="s">
        <v>1468</v>
      </c>
      <c r="T227" s="214" t="s">
        <v>1469</v>
      </c>
      <c r="U227" s="258" t="s">
        <v>162</v>
      </c>
      <c r="V227" s="168" t="s">
        <v>1570</v>
      </c>
      <c r="W227" s="158" t="s">
        <v>967</v>
      </c>
      <c r="X227" s="158" t="s">
        <v>185</v>
      </c>
      <c r="Y227" s="158" t="s">
        <v>185</v>
      </c>
      <c r="Z227" s="158"/>
      <c r="AA227" s="158" t="str">
        <f>IF(GCP[[#This Row],[Column14]]="-","", "v")</f>
        <v>v</v>
      </c>
      <c r="AB227" s="158" t="str">
        <f>IF(GCP[[#This Row],[Column8]]="x","1",(IF(OR(GCP[[#This Row],[Column25]]=2,GCP[[#This Row],[Column26]]=2,GCP[[#This Row],[Column27]]=2),"1",(IF(GCP[[#This Row],[Column9]]="x","2",(IF(GCP[[#This Row],[Column10]]="x","3","")))))))</f>
        <v>2</v>
      </c>
      <c r="AC227" s="454" t="str">
        <f>IF(GCP[[#This Row],[Column14]] = "-", GCP[[#This Row],[Column14]], LEFT(GCP[[#This Row],[Column14]], SEARCH(" ", GCP[[#This Row],[Column14]] &amp; " ") - 1))</f>
        <v>1.14</v>
      </c>
    </row>
    <row r="228" spans="1:29" ht="409.5">
      <c r="A22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8" s="137" t="str">
        <f>GCP[[#This Row],[Column30]]</f>
        <v>1.15</v>
      </c>
      <c r="C228" s="140">
        <v>16.100000000000001</v>
      </c>
      <c r="D228" s="138" t="s">
        <v>371</v>
      </c>
      <c r="E228" s="162" t="s">
        <v>156</v>
      </c>
      <c r="F228" s="138" t="s">
        <v>832</v>
      </c>
      <c r="G228" s="138" t="s">
        <v>833</v>
      </c>
      <c r="H228" s="204"/>
      <c r="I228" s="164" t="s">
        <v>185</v>
      </c>
      <c r="J228" s="200" t="s">
        <v>185</v>
      </c>
      <c r="K228" s="176" t="s">
        <v>185</v>
      </c>
      <c r="L228" s="176" t="s">
        <v>185</v>
      </c>
      <c r="M228" s="176" t="s">
        <v>185</v>
      </c>
      <c r="N228" s="222" t="s">
        <v>1470</v>
      </c>
      <c r="O228" s="212">
        <v>2</v>
      </c>
      <c r="P228" s="214" t="s">
        <v>1471</v>
      </c>
      <c r="Q228" s="214" t="s">
        <v>1472</v>
      </c>
      <c r="R228" s="451" t="s">
        <v>1473</v>
      </c>
      <c r="S228" s="214" t="s">
        <v>1474</v>
      </c>
      <c r="T228" s="214" t="s">
        <v>1475</v>
      </c>
      <c r="U228" s="258" t="s">
        <v>162</v>
      </c>
      <c r="V228" s="168" t="s">
        <v>1570</v>
      </c>
      <c r="W228" s="158" t="s">
        <v>967</v>
      </c>
      <c r="X228" s="158" t="s">
        <v>185</v>
      </c>
      <c r="Y228" s="158" t="s">
        <v>185</v>
      </c>
      <c r="Z228" s="158"/>
      <c r="AA228" s="158" t="str">
        <f>IF(GCP[[#This Row],[Column14]]="-","", "v")</f>
        <v>v</v>
      </c>
      <c r="AB228" s="158" t="str">
        <f>IF(GCP[[#This Row],[Column8]]="x","1",(IF(OR(GCP[[#This Row],[Column25]]=2,GCP[[#This Row],[Column26]]=2,GCP[[#This Row],[Column27]]=2),"1",(IF(GCP[[#This Row],[Column9]]="x","2",(IF(GCP[[#This Row],[Column10]]="x","3","")))))))</f>
        <v>2</v>
      </c>
      <c r="AC228" s="454" t="str">
        <f>IF(GCP[[#This Row],[Column14]] = "-", GCP[[#This Row],[Column14]], LEFT(GCP[[#This Row],[Column14]], SEARCH(" ", GCP[[#This Row],[Column14]] &amp; " ") - 1))</f>
        <v>1.15</v>
      </c>
    </row>
    <row r="229" spans="1:29" ht="228">
      <c r="A22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NOT(ISBLANK(M229)),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29" s="137" t="str">
        <f>GCP[[#This Row],[Column30]]</f>
        <v>4.10</v>
      </c>
      <c r="C229" s="137">
        <v>16.11</v>
      </c>
      <c r="D229" s="138" t="s">
        <v>371</v>
      </c>
      <c r="E229" s="162" t="s">
        <v>156</v>
      </c>
      <c r="F229" s="138" t="s">
        <v>834</v>
      </c>
      <c r="G229" s="138" t="s">
        <v>835</v>
      </c>
      <c r="H229" s="204"/>
      <c r="I229" s="164" t="s">
        <v>185</v>
      </c>
      <c r="J229" s="200" t="s">
        <v>185</v>
      </c>
      <c r="K229" s="176" t="s">
        <v>185</v>
      </c>
      <c r="L229" s="176" t="s">
        <v>185</v>
      </c>
      <c r="M229" s="176" t="s">
        <v>185</v>
      </c>
      <c r="N229" s="222" t="s">
        <v>1122</v>
      </c>
      <c r="O229" s="212">
        <v>2</v>
      </c>
      <c r="P229" s="214" t="s">
        <v>1123</v>
      </c>
      <c r="Q229" s="214" t="s">
        <v>1124</v>
      </c>
      <c r="R229" s="451" t="s">
        <v>1125</v>
      </c>
      <c r="S229" s="214" t="s">
        <v>1126</v>
      </c>
      <c r="T229" s="214" t="s">
        <v>1127</v>
      </c>
      <c r="U229" s="258" t="s">
        <v>162</v>
      </c>
      <c r="V229" s="168" t="s">
        <v>1539</v>
      </c>
      <c r="W229" s="158" t="s">
        <v>967</v>
      </c>
      <c r="X229" s="158" t="s">
        <v>185</v>
      </c>
      <c r="Y229" s="158" t="s">
        <v>185</v>
      </c>
      <c r="Z229" s="158"/>
      <c r="AA229" s="158" t="str">
        <f>IF(GCP[[#This Row],[Column14]]="-","", "v")</f>
        <v>v</v>
      </c>
      <c r="AB229" s="158" t="str">
        <f>IF(GCP[[#This Row],[Column8]]="x","1",(IF(OR(GCP[[#This Row],[Column25]]=2,GCP[[#This Row],[Column26]]=2,GCP[[#This Row],[Column27]]=2),"1",(IF(GCP[[#This Row],[Column9]]="x","2",(IF(GCP[[#This Row],[Column10]]="x","3","")))))))</f>
        <v>2</v>
      </c>
      <c r="AC229" s="454" t="str">
        <f>IF(GCP[[#This Row],[Column14]] = "-", GCP[[#This Row],[Column14]], LEFT(GCP[[#This Row],[Column14]], SEARCH(" ", GCP[[#This Row],[Column14]] &amp; " ") - 1))</f>
        <v>4.10</v>
      </c>
    </row>
    <row r="230" spans="1:29" ht="30">
      <c r="A23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230" s="137" t="str">
        <f>GCP[[#This Row],[Column30]]</f>
        <v>-</v>
      </c>
      <c r="C230" s="137">
        <v>16.12</v>
      </c>
      <c r="D230" s="138" t="s">
        <v>371</v>
      </c>
      <c r="E230" s="162" t="s">
        <v>156</v>
      </c>
      <c r="F230" s="138" t="s">
        <v>836</v>
      </c>
      <c r="G230" s="139" t="s">
        <v>837</v>
      </c>
      <c r="H230" s="204"/>
      <c r="I230" s="204"/>
      <c r="J230" s="200" t="s">
        <v>185</v>
      </c>
      <c r="K230" s="176" t="s">
        <v>185</v>
      </c>
      <c r="L230" s="176" t="s">
        <v>185</v>
      </c>
      <c r="M230" s="176" t="s">
        <v>185</v>
      </c>
      <c r="N230" s="222" t="s">
        <v>162</v>
      </c>
      <c r="O230" s="222" t="s">
        <v>162</v>
      </c>
      <c r="P230" s="222" t="s">
        <v>162</v>
      </c>
      <c r="Q230" s="222" t="s">
        <v>162</v>
      </c>
      <c r="R230" s="451"/>
      <c r="S230" s="222" t="s">
        <v>162</v>
      </c>
      <c r="T230" s="222" t="s">
        <v>162</v>
      </c>
      <c r="U230" s="258" t="s">
        <v>162</v>
      </c>
      <c r="V230" s="168"/>
      <c r="W230" s="158" t="s">
        <v>966</v>
      </c>
      <c r="X230" s="158" t="s">
        <v>185</v>
      </c>
      <c r="Y230" s="158" t="s">
        <v>185</v>
      </c>
      <c r="Z230" s="158"/>
      <c r="AA230" s="158" t="str">
        <f>IF(GCP[[#This Row],[Column14]]="-","", "v")</f>
        <v/>
      </c>
      <c r="AB230" s="158" t="str">
        <f>IF(GCP[[#This Row],[Column8]]="x","1",(IF(OR(GCP[[#This Row],[Column25]]=2,GCP[[#This Row],[Column26]]=2,GCP[[#This Row],[Column27]]=2),"1",(IF(GCP[[#This Row],[Column9]]="x","2",(IF(GCP[[#This Row],[Column10]]="x","3","")))))))</f>
        <v>3</v>
      </c>
      <c r="AC230" s="454" t="str">
        <f>IF(GCP[[#This Row],[Column14]] = "-", GCP[[#This Row],[Column14]], LEFT(GCP[[#This Row],[Column14]], SEARCH(" ", GCP[[#This Row],[Column14]] &amp; " ") - 1))</f>
        <v>-</v>
      </c>
    </row>
    <row r="231" spans="1:29" ht="75">
      <c r="A23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231" s="137" t="str">
        <f>GCP[[#This Row],[Column30]]</f>
        <v>-</v>
      </c>
      <c r="C231" s="137">
        <v>16.13</v>
      </c>
      <c r="D231" s="138" t="s">
        <v>371</v>
      </c>
      <c r="E231" s="162" t="s">
        <v>156</v>
      </c>
      <c r="F231" s="138" t="s">
        <v>838</v>
      </c>
      <c r="G231" s="138" t="s">
        <v>839</v>
      </c>
      <c r="H231" s="204"/>
      <c r="I231" s="204"/>
      <c r="J231" s="200" t="s">
        <v>185</v>
      </c>
      <c r="K231" s="176" t="s">
        <v>185</v>
      </c>
      <c r="L231" s="176" t="s">
        <v>185</v>
      </c>
      <c r="M231" s="176" t="s">
        <v>185</v>
      </c>
      <c r="N231" s="222" t="s">
        <v>162</v>
      </c>
      <c r="O231" s="222" t="s">
        <v>162</v>
      </c>
      <c r="P231" s="222" t="s">
        <v>162</v>
      </c>
      <c r="Q231" s="222" t="s">
        <v>162</v>
      </c>
      <c r="R231" s="451"/>
      <c r="S231" s="222" t="s">
        <v>162</v>
      </c>
      <c r="T231" s="222" t="s">
        <v>162</v>
      </c>
      <c r="U231" s="258" t="s">
        <v>162</v>
      </c>
      <c r="V231" s="168"/>
      <c r="W231" s="158" t="s">
        <v>966</v>
      </c>
      <c r="X231" s="158" t="s">
        <v>185</v>
      </c>
      <c r="Y231" s="158" t="s">
        <v>185</v>
      </c>
      <c r="Z231" s="158"/>
      <c r="AA231" s="158" t="str">
        <f>IF(GCP[[#This Row],[Column14]]="-","", "v")</f>
        <v/>
      </c>
      <c r="AB231" s="158" t="str">
        <f>IF(GCP[[#This Row],[Column8]]="x","1",(IF(OR(GCP[[#This Row],[Column25]]=2,GCP[[#This Row],[Column26]]=2,GCP[[#This Row],[Column27]]=2),"1",(IF(GCP[[#This Row],[Column9]]="x","2",(IF(GCP[[#This Row],[Column10]]="x","3","")))))))</f>
        <v>3</v>
      </c>
      <c r="AC231" s="454" t="str">
        <f>IF(GCP[[#This Row],[Column14]] = "-", GCP[[#This Row],[Column14]], LEFT(GCP[[#This Row],[Column14]], SEARCH(" ", GCP[[#This Row],[Column14]] &amp; " ") - 1))</f>
        <v>-</v>
      </c>
    </row>
    <row r="232" spans="1:29" ht="90">
      <c r="A23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232" s="137" t="str">
        <f>GCP[[#This Row],[Column30]]</f>
        <v>-</v>
      </c>
      <c r="C232" s="137">
        <v>16.14</v>
      </c>
      <c r="D232" s="138" t="s">
        <v>371</v>
      </c>
      <c r="E232" s="162" t="s">
        <v>156</v>
      </c>
      <c r="F232" s="138" t="s">
        <v>840</v>
      </c>
      <c r="G232" s="138" t="s">
        <v>841</v>
      </c>
      <c r="H232" s="204"/>
      <c r="I232" s="204"/>
      <c r="J232" s="200" t="s">
        <v>185</v>
      </c>
      <c r="K232" s="176" t="s">
        <v>185</v>
      </c>
      <c r="L232" s="176" t="s">
        <v>185</v>
      </c>
      <c r="M232" s="176" t="s">
        <v>185</v>
      </c>
      <c r="N232" s="222" t="s">
        <v>162</v>
      </c>
      <c r="O232" s="222" t="s">
        <v>162</v>
      </c>
      <c r="P232" s="222" t="s">
        <v>162</v>
      </c>
      <c r="Q232" s="222" t="s">
        <v>162</v>
      </c>
      <c r="R232" s="451"/>
      <c r="S232" s="222" t="s">
        <v>162</v>
      </c>
      <c r="T232" s="222" t="s">
        <v>162</v>
      </c>
      <c r="U232" s="258" t="s">
        <v>162</v>
      </c>
      <c r="V232" s="168"/>
      <c r="W232" s="158" t="s">
        <v>966</v>
      </c>
      <c r="X232" s="158" t="s">
        <v>185</v>
      </c>
      <c r="Y232" s="158" t="s">
        <v>185</v>
      </c>
      <c r="Z232" s="158"/>
      <c r="AA232" s="158" t="str">
        <f>IF(GCP[[#This Row],[Column14]]="-","", "v")</f>
        <v/>
      </c>
      <c r="AB232" s="158" t="str">
        <f>IF(GCP[[#This Row],[Column8]]="x","1",(IF(OR(GCP[[#This Row],[Column25]]=2,GCP[[#This Row],[Column26]]=2,GCP[[#This Row],[Column27]]=2),"1",(IF(GCP[[#This Row],[Column9]]="x","2",(IF(GCP[[#This Row],[Column10]]="x","3","")))))))</f>
        <v>3</v>
      </c>
      <c r="AC232" s="454" t="str">
        <f>IF(GCP[[#This Row],[Column14]] = "-", GCP[[#This Row],[Column14]], LEFT(GCP[[#This Row],[Column14]], SEARCH(" ", GCP[[#This Row],[Column14]] &amp; " ") - 1))</f>
        <v>-</v>
      </c>
    </row>
    <row r="233" spans="1:29" ht="45" hidden="1">
      <c r="A233" s="221" t="s">
        <v>942</v>
      </c>
      <c r="B233" s="217" t="s">
        <v>162</v>
      </c>
      <c r="C233" s="217" t="s">
        <v>162</v>
      </c>
      <c r="D233" s="217" t="s">
        <v>162</v>
      </c>
      <c r="E233" s="217" t="s">
        <v>162</v>
      </c>
      <c r="F233" s="219" t="s">
        <v>842</v>
      </c>
      <c r="G233" s="220" t="s">
        <v>843</v>
      </c>
      <c r="H233" s="217" t="s">
        <v>162</v>
      </c>
      <c r="I233" s="217" t="s">
        <v>162</v>
      </c>
      <c r="J233" s="217" t="s">
        <v>162</v>
      </c>
      <c r="K233" s="217" t="s">
        <v>162</v>
      </c>
      <c r="L233" s="217" t="s">
        <v>162</v>
      </c>
      <c r="M233" s="217" t="s">
        <v>162</v>
      </c>
      <c r="N233" s="257" t="s">
        <v>162</v>
      </c>
      <c r="O233" s="217" t="s">
        <v>162</v>
      </c>
      <c r="P233" s="217" t="s">
        <v>162</v>
      </c>
      <c r="Q233" s="217" t="s">
        <v>162</v>
      </c>
      <c r="R233" s="167"/>
      <c r="S233" s="217" t="s">
        <v>162</v>
      </c>
      <c r="T233" s="217" t="s">
        <v>162</v>
      </c>
      <c r="U233" s="217" t="s">
        <v>162</v>
      </c>
      <c r="V233" s="217" t="s">
        <v>162</v>
      </c>
      <c r="W233" s="217" t="s">
        <v>162</v>
      </c>
      <c r="X233" s="217" t="s">
        <v>162</v>
      </c>
      <c r="Y233" s="217" t="s">
        <v>162</v>
      </c>
      <c r="Z233" s="217" t="s">
        <v>162</v>
      </c>
      <c r="AA233" s="217" t="s">
        <v>162</v>
      </c>
      <c r="AB233" s="217" t="s">
        <v>162</v>
      </c>
      <c r="AC233" s="454" t="str">
        <f>IF(GCP[[#This Row],[Column14]] = "-", GCP[[#This Row],[Column14]], LEFT(GCP[[#This Row],[Column14]], SEARCH(" ", GCP[[#This Row],[Column14]] &amp; " ") - 1))</f>
        <v>-</v>
      </c>
    </row>
    <row r="234" spans="1:29" ht="105">
      <c r="A23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34" s="137" t="str">
        <f>GCP[[#This Row],[Column30]]</f>
        <v>-</v>
      </c>
      <c r="C234" s="137">
        <v>17.100000000000001</v>
      </c>
      <c r="D234" s="138" t="s">
        <v>781</v>
      </c>
      <c r="E234" s="162" t="s">
        <v>157</v>
      </c>
      <c r="F234" s="138" t="s">
        <v>844</v>
      </c>
      <c r="G234" s="138" t="s">
        <v>845</v>
      </c>
      <c r="H234" s="163" t="s">
        <v>185</v>
      </c>
      <c r="I234" s="164" t="s">
        <v>185</v>
      </c>
      <c r="J234" s="200" t="s">
        <v>185</v>
      </c>
      <c r="K234" s="176" t="s">
        <v>185</v>
      </c>
      <c r="L234" s="176" t="s">
        <v>185</v>
      </c>
      <c r="M234" s="176" t="s">
        <v>185</v>
      </c>
      <c r="N234" s="222" t="s">
        <v>162</v>
      </c>
      <c r="O234" s="222" t="s">
        <v>162</v>
      </c>
      <c r="P234" s="222" t="s">
        <v>162</v>
      </c>
      <c r="Q234" s="222" t="s">
        <v>162</v>
      </c>
      <c r="R234" s="451"/>
      <c r="S234" s="222" t="s">
        <v>162</v>
      </c>
      <c r="T234" s="222" t="s">
        <v>162</v>
      </c>
      <c r="U234" s="258" t="s">
        <v>162</v>
      </c>
      <c r="V234" s="168"/>
      <c r="W234" s="158" t="s">
        <v>966</v>
      </c>
      <c r="X234" s="158" t="s">
        <v>185</v>
      </c>
      <c r="Y234" s="158"/>
      <c r="Z234" s="158" t="s">
        <v>185</v>
      </c>
      <c r="AA234" s="158" t="str">
        <f>IF(GCP[[#This Row],[Column14]]="-","", "v")</f>
        <v/>
      </c>
      <c r="AB234" s="158" t="str">
        <f>IF(GCP[[#This Row],[Column8]]="x","1",(IF(OR(GCP[[#This Row],[Column25]]=2,GCP[[#This Row],[Column26]]=2,GCP[[#This Row],[Column27]]=2),"1",(IF(GCP[[#This Row],[Column9]]="x","2",(IF(GCP[[#This Row],[Column10]]="x","3","")))))))</f>
        <v>1</v>
      </c>
      <c r="AC234" s="454" t="str">
        <f>IF(GCP[[#This Row],[Column14]] = "-", GCP[[#This Row],[Column14]], LEFT(GCP[[#This Row],[Column14]], SEARCH(" ", GCP[[#This Row],[Column14]] &amp; " ") - 1))</f>
        <v>-</v>
      </c>
    </row>
    <row r="235" spans="1:29" ht="409.5">
      <c r="A23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35" s="137" t="str">
        <f>GCP[[#This Row],[Column30]]</f>
        <v>1.16</v>
      </c>
      <c r="C235" s="137">
        <v>17.2</v>
      </c>
      <c r="D235" s="138" t="s">
        <v>781</v>
      </c>
      <c r="E235" s="162" t="s">
        <v>157</v>
      </c>
      <c r="F235" s="138" t="s">
        <v>846</v>
      </c>
      <c r="G235" s="138" t="s">
        <v>847</v>
      </c>
      <c r="H235" s="163" t="s">
        <v>185</v>
      </c>
      <c r="I235" s="164" t="s">
        <v>185</v>
      </c>
      <c r="J235" s="200" t="s">
        <v>185</v>
      </c>
      <c r="K235" s="176" t="s">
        <v>185</v>
      </c>
      <c r="L235" s="176" t="s">
        <v>185</v>
      </c>
      <c r="M235" s="176" t="s">
        <v>185</v>
      </c>
      <c r="N235" s="222" t="s">
        <v>1476</v>
      </c>
      <c r="O235" s="212">
        <v>1</v>
      </c>
      <c r="P235" s="214" t="s">
        <v>1477</v>
      </c>
      <c r="Q235" s="214" t="s">
        <v>1478</v>
      </c>
      <c r="R235" s="451" t="s">
        <v>1479</v>
      </c>
      <c r="S235" s="214" t="s">
        <v>1480</v>
      </c>
      <c r="T235" s="214" t="s">
        <v>1481</v>
      </c>
      <c r="U235" s="158" t="s">
        <v>975</v>
      </c>
      <c r="V235" s="168" t="s">
        <v>1555</v>
      </c>
      <c r="W235" s="158" t="s">
        <v>966</v>
      </c>
      <c r="X235" s="158" t="s">
        <v>185</v>
      </c>
      <c r="Y235" s="158"/>
      <c r="Z235" s="158" t="s">
        <v>185</v>
      </c>
      <c r="AA235" s="158" t="str">
        <f>IF(GCP[[#This Row],[Column14]]="-","", "v")</f>
        <v>v</v>
      </c>
      <c r="AB235" s="158" t="str">
        <f>IF(GCP[[#This Row],[Column8]]="x","1",(IF(OR(GCP[[#This Row],[Column25]]=2,GCP[[#This Row],[Column26]]=2,GCP[[#This Row],[Column27]]=2),"1",(IF(GCP[[#This Row],[Column9]]="x","2",(IF(GCP[[#This Row],[Column10]]="x","3","")))))))</f>
        <v>1</v>
      </c>
      <c r="AC235" s="454" t="str">
        <f>IF(GCP[[#This Row],[Column14]] = "-", GCP[[#This Row],[Column14]], LEFT(GCP[[#This Row],[Column14]], SEARCH(" ", GCP[[#This Row],[Column14]] &amp; " ") - 1))</f>
        <v>1.16</v>
      </c>
    </row>
    <row r="236" spans="1:29" ht="75">
      <c r="A23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36" s="137" t="str">
        <f>GCP[[#This Row],[Column30]]</f>
        <v>-</v>
      </c>
      <c r="C236" s="137">
        <v>17.3</v>
      </c>
      <c r="D236" s="138" t="s">
        <v>781</v>
      </c>
      <c r="E236" s="162" t="s">
        <v>157</v>
      </c>
      <c r="F236" s="138" t="s">
        <v>864</v>
      </c>
      <c r="G236" s="138" t="s">
        <v>865</v>
      </c>
      <c r="H236" s="163" t="s">
        <v>185</v>
      </c>
      <c r="I236" s="164" t="s">
        <v>185</v>
      </c>
      <c r="J236" s="200" t="s">
        <v>185</v>
      </c>
      <c r="K236" s="176" t="s">
        <v>185</v>
      </c>
      <c r="L236" s="176" t="s">
        <v>185</v>
      </c>
      <c r="M236" s="176" t="s">
        <v>185</v>
      </c>
      <c r="N236" s="222" t="s">
        <v>162</v>
      </c>
      <c r="O236" s="222" t="s">
        <v>162</v>
      </c>
      <c r="P236" s="222" t="s">
        <v>162</v>
      </c>
      <c r="Q236" s="222" t="s">
        <v>162</v>
      </c>
      <c r="R236" s="451"/>
      <c r="S236" s="222" t="s">
        <v>162</v>
      </c>
      <c r="T236" s="222" t="s">
        <v>162</v>
      </c>
      <c r="U236" s="258" t="s">
        <v>162</v>
      </c>
      <c r="V236" s="168"/>
      <c r="W236" s="158" t="s">
        <v>966</v>
      </c>
      <c r="X236" s="158" t="s">
        <v>185</v>
      </c>
      <c r="Y236" s="158"/>
      <c r="Z236" s="158" t="s">
        <v>185</v>
      </c>
      <c r="AA236" s="158" t="str">
        <f>IF(GCP[[#This Row],[Column14]]="-","", "v")</f>
        <v/>
      </c>
      <c r="AB236" s="158" t="str">
        <f>IF(GCP[[#This Row],[Column8]]="x","1",(IF(OR(GCP[[#This Row],[Column25]]=2,GCP[[#This Row],[Column26]]=2,GCP[[#This Row],[Column27]]=2),"1",(IF(GCP[[#This Row],[Column9]]="x","2",(IF(GCP[[#This Row],[Column10]]="x","3","")))))))</f>
        <v>1</v>
      </c>
      <c r="AC236" s="454" t="str">
        <f>IF(GCP[[#This Row],[Column14]] = "-", GCP[[#This Row],[Column14]], LEFT(GCP[[#This Row],[Column14]], SEARCH(" ", GCP[[#This Row],[Column14]] &amp; " ") - 1))</f>
        <v>-</v>
      </c>
    </row>
    <row r="237" spans="1:29" ht="60">
      <c r="A23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37" s="137" t="str">
        <f>GCP[[#This Row],[Column30]]</f>
        <v>-</v>
      </c>
      <c r="C237" s="137">
        <v>17.399999999999999</v>
      </c>
      <c r="D237" s="138" t="s">
        <v>781</v>
      </c>
      <c r="E237" s="162" t="s">
        <v>157</v>
      </c>
      <c r="F237" s="138" t="s">
        <v>866</v>
      </c>
      <c r="G237" s="138" t="s">
        <v>867</v>
      </c>
      <c r="H237" s="204"/>
      <c r="I237" s="164" t="s">
        <v>185</v>
      </c>
      <c r="J237" s="200" t="s">
        <v>185</v>
      </c>
      <c r="K237" s="176" t="s">
        <v>185</v>
      </c>
      <c r="L237" s="176" t="s">
        <v>185</v>
      </c>
      <c r="M237" s="176" t="s">
        <v>185</v>
      </c>
      <c r="N237" s="222" t="s">
        <v>162</v>
      </c>
      <c r="O237" s="222" t="s">
        <v>162</v>
      </c>
      <c r="P237" s="222" t="s">
        <v>162</v>
      </c>
      <c r="Q237" s="222" t="s">
        <v>162</v>
      </c>
      <c r="R237" s="451"/>
      <c r="S237" s="222" t="s">
        <v>162</v>
      </c>
      <c r="T237" s="222" t="s">
        <v>162</v>
      </c>
      <c r="U237" s="258" t="s">
        <v>162</v>
      </c>
      <c r="V237" s="168"/>
      <c r="W237" s="158" t="s">
        <v>966</v>
      </c>
      <c r="X237" s="158" t="s">
        <v>185</v>
      </c>
      <c r="Y237" s="158"/>
      <c r="Z237" s="158" t="s">
        <v>185</v>
      </c>
      <c r="AA237" s="158" t="str">
        <f>IF(GCP[[#This Row],[Column14]]="-","", "v")</f>
        <v/>
      </c>
      <c r="AB237" s="158" t="str">
        <f>IF(GCP[[#This Row],[Column8]]="x","1",(IF(OR(GCP[[#This Row],[Column25]]=2,GCP[[#This Row],[Column26]]=2,GCP[[#This Row],[Column27]]=2),"1",(IF(GCP[[#This Row],[Column9]]="x","2",(IF(GCP[[#This Row],[Column10]]="x","3","")))))))</f>
        <v>2</v>
      </c>
      <c r="AC237" s="454" t="str">
        <f>IF(GCP[[#This Row],[Column14]] = "-", GCP[[#This Row],[Column14]], LEFT(GCP[[#This Row],[Column14]], SEARCH(" ", GCP[[#This Row],[Column14]] &amp; " ") - 1))</f>
        <v>-</v>
      </c>
    </row>
    <row r="238" spans="1:29" ht="60">
      <c r="A23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38" s="137" t="str">
        <f>GCP[[#This Row],[Column30]]</f>
        <v>-</v>
      </c>
      <c r="C238" s="137">
        <v>17.5</v>
      </c>
      <c r="D238" s="138" t="s">
        <v>781</v>
      </c>
      <c r="E238" s="162" t="s">
        <v>157</v>
      </c>
      <c r="F238" s="138" t="s">
        <v>868</v>
      </c>
      <c r="G238" s="139" t="s">
        <v>869</v>
      </c>
      <c r="H238" s="204"/>
      <c r="I238" s="164" t="s">
        <v>185</v>
      </c>
      <c r="J238" s="200" t="s">
        <v>185</v>
      </c>
      <c r="K238" s="176" t="s">
        <v>185</v>
      </c>
      <c r="L238" s="176" t="s">
        <v>185</v>
      </c>
      <c r="M238" s="176" t="s">
        <v>185</v>
      </c>
      <c r="N238" s="222" t="s">
        <v>162</v>
      </c>
      <c r="O238" s="222" t="s">
        <v>162</v>
      </c>
      <c r="P238" s="222" t="s">
        <v>162</v>
      </c>
      <c r="Q238" s="222" t="s">
        <v>162</v>
      </c>
      <c r="R238" s="451"/>
      <c r="S238" s="222" t="s">
        <v>162</v>
      </c>
      <c r="T238" s="222" t="s">
        <v>162</v>
      </c>
      <c r="U238" s="258" t="s">
        <v>162</v>
      </c>
      <c r="V238" s="168"/>
      <c r="W238" s="158" t="s">
        <v>966</v>
      </c>
      <c r="X238" s="158" t="s">
        <v>185</v>
      </c>
      <c r="Y238" s="158"/>
      <c r="Z238" s="158" t="s">
        <v>185</v>
      </c>
      <c r="AA238" s="158" t="str">
        <f>IF(GCP[[#This Row],[Column14]]="-","", "v")</f>
        <v/>
      </c>
      <c r="AB238" s="158" t="str">
        <f>IF(GCP[[#This Row],[Column8]]="x","1",(IF(OR(GCP[[#This Row],[Column25]]=2,GCP[[#This Row],[Column26]]=2,GCP[[#This Row],[Column27]]=2),"1",(IF(GCP[[#This Row],[Column9]]="x","2",(IF(GCP[[#This Row],[Column10]]="x","3","")))))))</f>
        <v>2</v>
      </c>
      <c r="AC238" s="454" t="str">
        <f>IF(GCP[[#This Row],[Column14]] = "-", GCP[[#This Row],[Column14]], LEFT(GCP[[#This Row],[Column14]], SEARCH(" ", GCP[[#This Row],[Column14]] &amp; " ") - 1))</f>
        <v>-</v>
      </c>
    </row>
    <row r="239" spans="1:29" ht="75">
      <c r="A239"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NOT(ISBLANK(M239)),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39" s="137" t="str">
        <f>GCP[[#This Row],[Column30]]</f>
        <v>-</v>
      </c>
      <c r="C239" s="137">
        <v>17.600000000000001</v>
      </c>
      <c r="D239" s="138" t="s">
        <v>781</v>
      </c>
      <c r="E239" s="162" t="s">
        <v>157</v>
      </c>
      <c r="F239" s="138" t="s">
        <v>870</v>
      </c>
      <c r="G239" s="138" t="s">
        <v>871</v>
      </c>
      <c r="H239" s="204"/>
      <c r="I239" s="164" t="s">
        <v>185</v>
      </c>
      <c r="J239" s="200" t="s">
        <v>185</v>
      </c>
      <c r="K239" s="176" t="s">
        <v>185</v>
      </c>
      <c r="L239" s="176" t="s">
        <v>185</v>
      </c>
      <c r="M239" s="176" t="s">
        <v>185</v>
      </c>
      <c r="N239" s="222" t="s">
        <v>162</v>
      </c>
      <c r="O239" s="222" t="s">
        <v>162</v>
      </c>
      <c r="P239" s="222" t="s">
        <v>162</v>
      </c>
      <c r="Q239" s="222" t="s">
        <v>162</v>
      </c>
      <c r="R239" s="451"/>
      <c r="S239" s="222" t="s">
        <v>162</v>
      </c>
      <c r="T239" s="222" t="s">
        <v>162</v>
      </c>
      <c r="U239" s="258" t="s">
        <v>162</v>
      </c>
      <c r="V239" s="168"/>
      <c r="W239" s="158" t="s">
        <v>967</v>
      </c>
      <c r="X239" s="158" t="s">
        <v>185</v>
      </c>
      <c r="Y239" s="158"/>
      <c r="Z239" s="158" t="s">
        <v>185</v>
      </c>
      <c r="AA239" s="158" t="str">
        <f>IF(GCP[[#This Row],[Column14]]="-","", "v")</f>
        <v/>
      </c>
      <c r="AB239" s="158" t="str">
        <f>IF(GCP[[#This Row],[Column8]]="x","1",(IF(OR(GCP[[#This Row],[Column25]]=2,GCP[[#This Row],[Column26]]=2,GCP[[#This Row],[Column27]]=2),"1",(IF(GCP[[#This Row],[Column9]]="x","2",(IF(GCP[[#This Row],[Column10]]="x","3","")))))))</f>
        <v>2</v>
      </c>
      <c r="AC239" s="454" t="str">
        <f>IF(GCP[[#This Row],[Column14]] = "-", GCP[[#This Row],[Column14]], LEFT(GCP[[#This Row],[Column14]], SEARCH(" ", GCP[[#This Row],[Column14]] &amp; " ") - 1))</f>
        <v>-</v>
      </c>
    </row>
    <row r="240" spans="1:29" ht="60">
      <c r="A240"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NOT(ISBLANK(M240)),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40" s="137" t="str">
        <f>GCP[[#This Row],[Column30]]</f>
        <v>-</v>
      </c>
      <c r="C240" s="137">
        <v>17.7</v>
      </c>
      <c r="D240" s="138" t="s">
        <v>781</v>
      </c>
      <c r="E240" s="169" t="s">
        <v>158</v>
      </c>
      <c r="F240" s="138" t="s">
        <v>872</v>
      </c>
      <c r="G240" s="138" t="s">
        <v>873</v>
      </c>
      <c r="H240" s="204"/>
      <c r="I240" s="164" t="s">
        <v>185</v>
      </c>
      <c r="J240" s="200" t="s">
        <v>185</v>
      </c>
      <c r="K240" s="176" t="s">
        <v>185</v>
      </c>
      <c r="L240" s="176" t="s">
        <v>185</v>
      </c>
      <c r="M240" s="176" t="s">
        <v>185</v>
      </c>
      <c r="N240" s="222" t="s">
        <v>162</v>
      </c>
      <c r="O240" s="222" t="s">
        <v>162</v>
      </c>
      <c r="P240" s="222" t="s">
        <v>162</v>
      </c>
      <c r="Q240" s="222" t="s">
        <v>162</v>
      </c>
      <c r="R240" s="451"/>
      <c r="S240" s="222" t="s">
        <v>162</v>
      </c>
      <c r="T240" s="222" t="s">
        <v>162</v>
      </c>
      <c r="U240" s="258" t="s">
        <v>162</v>
      </c>
      <c r="V240" s="168"/>
      <c r="W240" s="158" t="s">
        <v>966</v>
      </c>
      <c r="X240" s="158" t="s">
        <v>185</v>
      </c>
      <c r="Y240" s="158"/>
      <c r="Z240" s="158" t="s">
        <v>185</v>
      </c>
      <c r="AA240" s="158" t="str">
        <f>IF(GCP[[#This Row],[Column14]]="-","", "v")</f>
        <v/>
      </c>
      <c r="AB240" s="158" t="str">
        <f>IF(GCP[[#This Row],[Column8]]="x","1",(IF(OR(GCP[[#This Row],[Column25]]=2,GCP[[#This Row],[Column26]]=2,GCP[[#This Row],[Column27]]=2),"1",(IF(GCP[[#This Row],[Column9]]="x","2",(IF(GCP[[#This Row],[Column10]]="x","3","")))))))</f>
        <v>2</v>
      </c>
      <c r="AC240" s="454" t="str">
        <f>IF(GCP[[#This Row],[Column14]] = "-", GCP[[#This Row],[Column14]], LEFT(GCP[[#This Row],[Column14]], SEARCH(" ", GCP[[#This Row],[Column14]] &amp; " ") - 1))</f>
        <v>-</v>
      </c>
    </row>
    <row r="241" spans="1:29" ht="30">
      <c r="A241"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NOT(ISBLANK(M241)),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41" s="137" t="str">
        <f>GCP[[#This Row],[Column30]]</f>
        <v>-</v>
      </c>
      <c r="C241" s="137">
        <v>17.8</v>
      </c>
      <c r="D241" s="138" t="s">
        <v>781</v>
      </c>
      <c r="E241" s="169" t="s">
        <v>158</v>
      </c>
      <c r="F241" s="138" t="s">
        <v>874</v>
      </c>
      <c r="G241" s="138" t="s">
        <v>875</v>
      </c>
      <c r="H241" s="204"/>
      <c r="I241" s="164" t="s">
        <v>185</v>
      </c>
      <c r="J241" s="200" t="s">
        <v>185</v>
      </c>
      <c r="K241" s="176" t="s">
        <v>185</v>
      </c>
      <c r="L241" s="176" t="s">
        <v>185</v>
      </c>
      <c r="M241" s="176" t="s">
        <v>185</v>
      </c>
      <c r="N241" s="222" t="s">
        <v>162</v>
      </c>
      <c r="O241" s="222" t="s">
        <v>162</v>
      </c>
      <c r="P241" s="222" t="s">
        <v>162</v>
      </c>
      <c r="Q241" s="222" t="s">
        <v>162</v>
      </c>
      <c r="R241" s="451"/>
      <c r="S241" s="222" t="s">
        <v>162</v>
      </c>
      <c r="T241" s="222" t="s">
        <v>162</v>
      </c>
      <c r="U241" s="258" t="s">
        <v>162</v>
      </c>
      <c r="V241" s="168"/>
      <c r="W241" s="158" t="s">
        <v>966</v>
      </c>
      <c r="X241" s="158" t="s">
        <v>185</v>
      </c>
      <c r="Y241" s="158"/>
      <c r="Z241" s="158" t="s">
        <v>185</v>
      </c>
      <c r="AA241" s="158" t="str">
        <f>IF(GCP[[#This Row],[Column14]]="-","", "v")</f>
        <v/>
      </c>
      <c r="AB241" s="158" t="str">
        <f>IF(GCP[[#This Row],[Column8]]="x","1",(IF(OR(GCP[[#This Row],[Column25]]=2,GCP[[#This Row],[Column26]]=2,GCP[[#This Row],[Column27]]=2),"1",(IF(GCP[[#This Row],[Column9]]="x","2",(IF(GCP[[#This Row],[Column10]]="x","3","")))))))</f>
        <v>2</v>
      </c>
      <c r="AC241" s="454" t="str">
        <f>IF(GCP[[#This Row],[Column14]] = "-", GCP[[#This Row],[Column14]], LEFT(GCP[[#This Row],[Column14]], SEARCH(" ", GCP[[#This Row],[Column14]] &amp; " ") - 1))</f>
        <v>-</v>
      </c>
    </row>
    <row r="242" spans="1:29" ht="75">
      <c r="A242"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42" s="137" t="str">
        <f>GCP[[#This Row],[Column30]]</f>
        <v>-</v>
      </c>
      <c r="C242" s="137">
        <v>17.899999999999999</v>
      </c>
      <c r="D242" s="138" t="s">
        <v>781</v>
      </c>
      <c r="E242" s="169" t="s">
        <v>158</v>
      </c>
      <c r="F242" s="138" t="s">
        <v>876</v>
      </c>
      <c r="G242" s="139" t="s">
        <v>877</v>
      </c>
      <c r="H242" s="204"/>
      <c r="I242" s="204"/>
      <c r="J242" s="200" t="s">
        <v>185</v>
      </c>
      <c r="K242" s="176" t="s">
        <v>185</v>
      </c>
      <c r="L242" s="176" t="s">
        <v>185</v>
      </c>
      <c r="M242" s="176" t="s">
        <v>185</v>
      </c>
      <c r="N242" s="222" t="s">
        <v>162</v>
      </c>
      <c r="O242" s="222" t="s">
        <v>162</v>
      </c>
      <c r="P242" s="222" t="s">
        <v>162</v>
      </c>
      <c r="Q242" s="222" t="s">
        <v>162</v>
      </c>
      <c r="R242" s="451"/>
      <c r="S242" s="222" t="s">
        <v>162</v>
      </c>
      <c r="T242" s="222" t="s">
        <v>162</v>
      </c>
      <c r="U242" s="258" t="s">
        <v>162</v>
      </c>
      <c r="V242" s="168"/>
      <c r="W242" s="158" t="s">
        <v>966</v>
      </c>
      <c r="X242" s="158" t="s">
        <v>185</v>
      </c>
      <c r="Y242" s="158"/>
      <c r="Z242" s="158" t="s">
        <v>185</v>
      </c>
      <c r="AA242" s="158" t="str">
        <f>IF(GCP[[#This Row],[Column14]]="-","", "v")</f>
        <v/>
      </c>
      <c r="AB242" s="158" t="str">
        <f>IF(GCP[[#This Row],[Column8]]="x","1",(IF(OR(GCP[[#This Row],[Column25]]=2,GCP[[#This Row],[Column26]]=2,GCP[[#This Row],[Column27]]=2),"1",(IF(GCP[[#This Row],[Column9]]="x","2",(IF(GCP[[#This Row],[Column10]]="x","3","")))))))</f>
        <v>3</v>
      </c>
      <c r="AC242" s="454" t="str">
        <f>IF(GCP[[#This Row],[Column14]] = "-", GCP[[#This Row],[Column14]], LEFT(GCP[[#This Row],[Column14]], SEARCH(" ", GCP[[#This Row],[Column14]] &amp; " ") - 1))</f>
        <v>-</v>
      </c>
    </row>
    <row r="243" spans="1:29" ht="45" hidden="1">
      <c r="A243" s="221" t="s">
        <v>942</v>
      </c>
      <c r="B243" s="217" t="s">
        <v>162</v>
      </c>
      <c r="C243" s="217" t="s">
        <v>162</v>
      </c>
      <c r="D243" s="217" t="s">
        <v>162</v>
      </c>
      <c r="E243" s="217" t="s">
        <v>162</v>
      </c>
      <c r="F243" s="219" t="s">
        <v>878</v>
      </c>
      <c r="G243" s="220" t="s">
        <v>879</v>
      </c>
      <c r="H243" s="217" t="s">
        <v>162</v>
      </c>
      <c r="I243" s="217" t="s">
        <v>162</v>
      </c>
      <c r="J243" s="217" t="s">
        <v>162</v>
      </c>
      <c r="K243" s="217" t="s">
        <v>162</v>
      </c>
      <c r="L243" s="217" t="s">
        <v>162</v>
      </c>
      <c r="M243" s="217" t="s">
        <v>162</v>
      </c>
      <c r="N243" s="257" t="s">
        <v>162</v>
      </c>
      <c r="O243" s="217" t="s">
        <v>162</v>
      </c>
      <c r="P243" s="217" t="s">
        <v>162</v>
      </c>
      <c r="Q243" s="217" t="s">
        <v>162</v>
      </c>
      <c r="R243" s="167"/>
      <c r="S243" s="217" t="s">
        <v>162</v>
      </c>
      <c r="T243" s="217" t="s">
        <v>162</v>
      </c>
      <c r="U243" s="217" t="s">
        <v>162</v>
      </c>
      <c r="V243" s="217" t="s">
        <v>162</v>
      </c>
      <c r="W243" s="217" t="s">
        <v>162</v>
      </c>
      <c r="X243" s="217" t="s">
        <v>162</v>
      </c>
      <c r="Y243" s="217" t="s">
        <v>162</v>
      </c>
      <c r="Z243" s="217" t="s">
        <v>162</v>
      </c>
      <c r="AA243" s="217" t="s">
        <v>162</v>
      </c>
      <c r="AB243" s="217" t="s">
        <v>162</v>
      </c>
      <c r="AC243" s="454" t="str">
        <f>IF(GCP[[#This Row],[Column14]] = "-", GCP[[#This Row],[Column14]], LEFT(GCP[[#This Row],[Column14]], SEARCH(" ", GCP[[#This Row],[Column14]] &amp; " ") - 1))</f>
        <v>-</v>
      </c>
    </row>
    <row r="244" spans="1:29" ht="105">
      <c r="A244"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NOT(ISBLANK(M244)),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44" s="137" t="str">
        <f>GCP[[#This Row],[Column30]]</f>
        <v>-</v>
      </c>
      <c r="C244" s="137">
        <v>18.100000000000001</v>
      </c>
      <c r="D244" s="138" t="s">
        <v>781</v>
      </c>
      <c r="E244" s="162" t="s">
        <v>154</v>
      </c>
      <c r="F244" s="138" t="s">
        <v>880</v>
      </c>
      <c r="G244" s="138" t="s">
        <v>881</v>
      </c>
      <c r="H244" s="137"/>
      <c r="I244" s="164" t="s">
        <v>185</v>
      </c>
      <c r="J244" s="200" t="s">
        <v>185</v>
      </c>
      <c r="K244" s="176" t="s">
        <v>185</v>
      </c>
      <c r="L244" s="176" t="s">
        <v>185</v>
      </c>
      <c r="M244" s="176" t="s">
        <v>185</v>
      </c>
      <c r="N244" s="222" t="s">
        <v>162</v>
      </c>
      <c r="O244" s="222" t="s">
        <v>162</v>
      </c>
      <c r="P244" s="222" t="s">
        <v>162</v>
      </c>
      <c r="Q244" s="222" t="s">
        <v>162</v>
      </c>
      <c r="S244" s="222" t="s">
        <v>162</v>
      </c>
      <c r="T244" s="222" t="s">
        <v>162</v>
      </c>
      <c r="U244" s="258" t="s">
        <v>162</v>
      </c>
      <c r="V244" s="168"/>
      <c r="W244" s="158" t="s">
        <v>966</v>
      </c>
      <c r="X244" s="158" t="s">
        <v>185</v>
      </c>
      <c r="Y244" s="158" t="s">
        <v>185</v>
      </c>
      <c r="Z244" s="158"/>
      <c r="AA244" s="158" t="str">
        <f>IF(GCP[[#This Row],[Column14]]="-","", "v")</f>
        <v/>
      </c>
      <c r="AB244" s="158" t="str">
        <f>IF(GCP[[#This Row],[Column8]]="x","1",(IF(OR(GCP[[#This Row],[Column25]]=2,GCP[[#This Row],[Column26]]=2,GCP[[#This Row],[Column27]]=2),"1",(IF(GCP[[#This Row],[Column9]]="x","2",(IF(GCP[[#This Row],[Column10]]="x","3","")))))))</f>
        <v>2</v>
      </c>
      <c r="AC244" s="454" t="str">
        <f>IF(GCP[[#This Row],[Column14]] = "-", GCP[[#This Row],[Column14]], LEFT(GCP[[#This Row],[Column14]], SEARCH(" ", GCP[[#This Row],[Column14]] &amp; " ") - 1))</f>
        <v>-</v>
      </c>
    </row>
    <row r="245" spans="1:29" ht="75">
      <c r="A245"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NOT(ISBLANK(M245)),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45" s="137" t="str">
        <f>GCP[[#This Row],[Column30]]</f>
        <v>-</v>
      </c>
      <c r="C245" s="137">
        <v>18.2</v>
      </c>
      <c r="D245" s="138" t="s">
        <v>390</v>
      </c>
      <c r="E245" s="162" t="s">
        <v>154</v>
      </c>
      <c r="F245" s="138" t="s">
        <v>882</v>
      </c>
      <c r="G245" s="138" t="s">
        <v>883</v>
      </c>
      <c r="H245" s="137"/>
      <c r="I245" s="164" t="s">
        <v>185</v>
      </c>
      <c r="J245" s="200" t="s">
        <v>185</v>
      </c>
      <c r="K245" s="176" t="s">
        <v>185</v>
      </c>
      <c r="L245" s="176" t="s">
        <v>185</v>
      </c>
      <c r="M245" s="176" t="s">
        <v>185</v>
      </c>
      <c r="N245" s="222" t="s">
        <v>162</v>
      </c>
      <c r="O245" s="222" t="s">
        <v>162</v>
      </c>
      <c r="P245" s="222" t="s">
        <v>162</v>
      </c>
      <c r="Q245" s="222" t="s">
        <v>162</v>
      </c>
      <c r="S245" s="222" t="s">
        <v>162</v>
      </c>
      <c r="T245" s="222" t="s">
        <v>162</v>
      </c>
      <c r="U245" s="258" t="s">
        <v>162</v>
      </c>
      <c r="V245" s="168"/>
      <c r="W245" s="158" t="s">
        <v>966</v>
      </c>
      <c r="X245" s="158" t="s">
        <v>185</v>
      </c>
      <c r="Y245" s="158" t="s">
        <v>185</v>
      </c>
      <c r="Z245" s="158"/>
      <c r="AA245" s="158" t="str">
        <f>IF(GCP[[#This Row],[Column14]]="-","", "v")</f>
        <v/>
      </c>
      <c r="AB245" s="158" t="str">
        <f>IF(GCP[[#This Row],[Column8]]="x","1",(IF(OR(GCP[[#This Row],[Column25]]=2,GCP[[#This Row],[Column26]]=2,GCP[[#This Row],[Column27]]=2),"1",(IF(GCP[[#This Row],[Column9]]="x","2",(IF(GCP[[#This Row],[Column10]]="x","3","")))))))</f>
        <v>2</v>
      </c>
      <c r="AC245" s="454" t="str">
        <f>IF(GCP[[#This Row],[Column14]] = "-", GCP[[#This Row],[Column14]], LEFT(GCP[[#This Row],[Column14]], SEARCH(" ", GCP[[#This Row],[Column14]] &amp; " ") - 1))</f>
        <v>-</v>
      </c>
    </row>
    <row r="246" spans="1:29" ht="30">
      <c r="A246"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NOT(ISBLANK(M246)),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Yes</v>
      </c>
      <c r="B246" s="137" t="str">
        <f>GCP[[#This Row],[Column30]]</f>
        <v>-</v>
      </c>
      <c r="C246" s="137">
        <v>18.3</v>
      </c>
      <c r="D246" s="138" t="s">
        <v>390</v>
      </c>
      <c r="E246" s="162" t="s">
        <v>156</v>
      </c>
      <c r="F246" s="138" t="s">
        <v>884</v>
      </c>
      <c r="G246" s="138" t="s">
        <v>885</v>
      </c>
      <c r="H246" s="137"/>
      <c r="I246" s="164" t="s">
        <v>185</v>
      </c>
      <c r="J246" s="200" t="s">
        <v>185</v>
      </c>
      <c r="K246" s="176" t="s">
        <v>185</v>
      </c>
      <c r="L246" s="176" t="s">
        <v>185</v>
      </c>
      <c r="M246" s="176" t="s">
        <v>185</v>
      </c>
      <c r="N246" s="222" t="s">
        <v>162</v>
      </c>
      <c r="O246" s="222" t="s">
        <v>162</v>
      </c>
      <c r="P246" s="222" t="s">
        <v>162</v>
      </c>
      <c r="Q246" s="222" t="s">
        <v>162</v>
      </c>
      <c r="S246" s="222" t="s">
        <v>162</v>
      </c>
      <c r="T246" s="222" t="s">
        <v>162</v>
      </c>
      <c r="U246" s="258" t="s">
        <v>162</v>
      </c>
      <c r="V246" s="168"/>
      <c r="W246" s="158" t="s">
        <v>966</v>
      </c>
      <c r="X246" s="158" t="s">
        <v>185</v>
      </c>
      <c r="Y246" s="158" t="s">
        <v>185</v>
      </c>
      <c r="Z246" s="158"/>
      <c r="AA246" s="158" t="str">
        <f>IF(GCP[[#This Row],[Column14]]="-","", "v")</f>
        <v/>
      </c>
      <c r="AB246" s="158" t="str">
        <f>IF(GCP[[#This Row],[Column8]]="x","1",(IF(OR(GCP[[#This Row],[Column25]]=2,GCP[[#This Row],[Column26]]=2,GCP[[#This Row],[Column27]]=2),"1",(IF(GCP[[#This Row],[Column9]]="x","2",(IF(GCP[[#This Row],[Column10]]="x","3","")))))))</f>
        <v>2</v>
      </c>
      <c r="AC246" s="454" t="str">
        <f>IF(GCP[[#This Row],[Column14]] = "-", GCP[[#This Row],[Column14]], LEFT(GCP[[#This Row],[Column14]], SEARCH(" ", GCP[[#This Row],[Column14]] &amp; " ") - 1))</f>
        <v>-</v>
      </c>
    </row>
    <row r="247" spans="1:29" ht="30">
      <c r="A247"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NOT(ISBLANK(M247)),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247" s="137" t="str">
        <f>GCP[[#This Row],[Column30]]</f>
        <v>-</v>
      </c>
      <c r="C247" s="137">
        <v>18.399999999999999</v>
      </c>
      <c r="D247" s="138" t="s">
        <v>390</v>
      </c>
      <c r="E247" s="162" t="s">
        <v>156</v>
      </c>
      <c r="F247" s="138" t="s">
        <v>886</v>
      </c>
      <c r="G247" s="138" t="s">
        <v>887</v>
      </c>
      <c r="H247" s="204"/>
      <c r="I247" s="204"/>
      <c r="J247" s="200" t="s">
        <v>185</v>
      </c>
      <c r="K247" s="176" t="s">
        <v>185</v>
      </c>
      <c r="L247" s="176" t="s">
        <v>185</v>
      </c>
      <c r="M247" s="176" t="s">
        <v>185</v>
      </c>
      <c r="N247" s="222" t="s">
        <v>162</v>
      </c>
      <c r="O247" s="222" t="s">
        <v>162</v>
      </c>
      <c r="P247" s="222" t="s">
        <v>162</v>
      </c>
      <c r="Q247" s="222" t="s">
        <v>162</v>
      </c>
      <c r="S247" s="222" t="s">
        <v>162</v>
      </c>
      <c r="T247" s="222" t="s">
        <v>162</v>
      </c>
      <c r="U247" s="258" t="s">
        <v>162</v>
      </c>
      <c r="V247" s="168"/>
      <c r="W247" s="158" t="s">
        <v>966</v>
      </c>
      <c r="X247" s="158" t="s">
        <v>185</v>
      </c>
      <c r="Y247" s="158" t="s">
        <v>185</v>
      </c>
      <c r="Z247" s="158"/>
      <c r="AA247" s="158" t="str">
        <f>IF(GCP[[#This Row],[Column14]]="-","", "v")</f>
        <v/>
      </c>
      <c r="AB247" s="158" t="str">
        <f>IF(GCP[[#This Row],[Column8]]="x","1",(IF(OR(GCP[[#This Row],[Column25]]=2,GCP[[#This Row],[Column26]]=2,GCP[[#This Row],[Column27]]=2),"1",(IF(GCP[[#This Row],[Column9]]="x","2",(IF(GCP[[#This Row],[Column10]]="x","3","")))))))</f>
        <v>3</v>
      </c>
      <c r="AC247" s="454" t="str">
        <f>IF(GCP[[#This Row],[Column14]] = "-", GCP[[#This Row],[Column14]], LEFT(GCP[[#This Row],[Column14]], SEARCH(" ", GCP[[#This Row],[Column14]] &amp; " ") - 1))</f>
        <v>-</v>
      </c>
    </row>
    <row r="248" spans="1:29" ht="30">
      <c r="A248" s="168" t="str">
        <f>IF(
    AND(
        חישובים!$C$2 = חישובים!$A$2,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$K$2 = חישובים!$C$2, NOT(ISBLANK(K248)),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$L$2 = חישובים!$C$2, NOT(ISBLANK(L248)),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IF(
                AND(
                    $M$2 = חישובים!$C$2, NOT(ISBLANK(M248)),
                    OR(
                        AND(NOT(ISBLANK(GCP[[#This Row],[Column25]])), ('חישובים ונתונים'!$R$42 &gt;= _xlfn.NUMBERVALUE(GCP[[#This Row],[Column29]]))),
                        AND(NOT(ISBLANK(GCP[[#This Row],[Column26]])), ('חישובים ונתונים'!$R$43 &gt;= _xlfn.NUMBERVALUE(GCP[[#This Row],[Column29]]))),
                        AND(NOT(ISBLANK(GCP[[#This Row],[Column27]])), ('חישובים ונתונים'!$R$44 &gt;= _xlfn.NUMBERVALUE(GCP[[#This Row],[Column29]])))
                    )
                ),
                "Yes",
                "No"
            )
        )
    )
)</f>
        <v>No</v>
      </c>
      <c r="B248" s="137" t="str">
        <f>GCP[[#This Row],[Column30]]</f>
        <v>-</v>
      </c>
      <c r="C248" s="137">
        <v>18.5</v>
      </c>
      <c r="D248" s="138" t="s">
        <v>781</v>
      </c>
      <c r="E248" s="162" t="s">
        <v>154</v>
      </c>
      <c r="F248" s="138" t="s">
        <v>888</v>
      </c>
      <c r="G248" s="138" t="s">
        <v>889</v>
      </c>
      <c r="H248" s="137"/>
      <c r="I248" s="137"/>
      <c r="J248" s="200" t="s">
        <v>185</v>
      </c>
      <c r="K248" s="176" t="s">
        <v>185</v>
      </c>
      <c r="L248" s="176" t="s">
        <v>185</v>
      </c>
      <c r="M248" s="176" t="s">
        <v>185</v>
      </c>
      <c r="N248" s="222" t="s">
        <v>162</v>
      </c>
      <c r="O248" s="222" t="s">
        <v>162</v>
      </c>
      <c r="P248" s="222" t="s">
        <v>162</v>
      </c>
      <c r="Q248" s="222" t="s">
        <v>162</v>
      </c>
      <c r="S248" s="222" t="s">
        <v>162</v>
      </c>
      <c r="T248" s="222" t="s">
        <v>162</v>
      </c>
      <c r="U248" s="258" t="s">
        <v>162</v>
      </c>
      <c r="V248" s="168"/>
      <c r="W248" s="158" t="s">
        <v>966</v>
      </c>
      <c r="X248" s="158" t="s">
        <v>185</v>
      </c>
      <c r="Y248" s="158" t="s">
        <v>185</v>
      </c>
      <c r="Z248" s="158"/>
      <c r="AA248" s="158" t="str">
        <f>IF(GCP[[#This Row],[Column14]]="-","", "v")</f>
        <v/>
      </c>
      <c r="AB248" s="158" t="str">
        <f>IF(GCP[[#This Row],[Column8]]="x","1",(IF(OR(GCP[[#This Row],[Column25]]=2,GCP[[#This Row],[Column26]]=2,GCP[[#This Row],[Column27]]=2),"1",(IF(GCP[[#This Row],[Column9]]="x","2",(IF(GCP[[#This Row],[Column10]]="x","3","")))))))</f>
        <v>3</v>
      </c>
      <c r="AC248" s="454" t="str">
        <f>IF(GCP[[#This Row],[Column14]] = "-", GCP[[#This Row],[Column14]], LEFT(GCP[[#This Row],[Column14]], SEARCH(" ", GCP[[#This Row],[Column14]] &amp; " ") - 1))</f>
        <v>-</v>
      </c>
    </row>
  </sheetData>
  <conditionalFormatting sqref="E4:E8 E10:E16 E103:E109">
    <cfRule type="containsText" dxfId="167" priority="165" operator="containsText" text="Identity">
      <formula>NOT(ISERROR(SEARCH("Identity",E4)))</formula>
    </cfRule>
    <cfRule type="containsText" dxfId="166" priority="164" operator="containsText" text="Identify">
      <formula>NOT(ISERROR(SEARCH("Identify",E4)))</formula>
    </cfRule>
    <cfRule type="containsText" dxfId="165" priority="163" operator="containsText" text="Detect">
      <formula>NOT(ISERROR(SEARCH("Detect",E4)))</formula>
    </cfRule>
    <cfRule type="containsText" dxfId="164" priority="162" operator="containsText" text="Respond">
      <formula>NOT(ISERROR(SEARCH("Respond",E4)))</formula>
    </cfRule>
    <cfRule type="containsText" dxfId="163" priority="161" operator="containsText" text="Protect">
      <formula>NOT(ISERROR(SEARCH("Protect",E4)))</formula>
    </cfRule>
  </conditionalFormatting>
  <conditionalFormatting sqref="E18:E55">
    <cfRule type="containsText" dxfId="162" priority="16" operator="containsText" text="Protect">
      <formula>NOT(ISERROR(SEARCH("Protect",E18)))</formula>
    </cfRule>
    <cfRule type="containsText" dxfId="161" priority="17" operator="containsText" text="Respond">
      <formula>NOT(ISERROR(SEARCH("Respond",E18)))</formula>
    </cfRule>
    <cfRule type="containsText" dxfId="160" priority="18" operator="containsText" text="Detect">
      <formula>NOT(ISERROR(SEARCH("Detect",E18)))</formula>
    </cfRule>
    <cfRule type="containsText" dxfId="159" priority="19" operator="containsText" text="Identify">
      <formula>NOT(ISERROR(SEARCH("Identify",E18)))</formula>
    </cfRule>
    <cfRule type="containsText" dxfId="158" priority="20" operator="containsText" text="Identity">
      <formula>NOT(ISERROR(SEARCH("Identity",E18)))</formula>
    </cfRule>
  </conditionalFormatting>
  <conditionalFormatting sqref="E57:E81">
    <cfRule type="containsText" dxfId="157" priority="52" operator="containsText" text="Respond">
      <formula>NOT(ISERROR(SEARCH("Respond",E57)))</formula>
    </cfRule>
    <cfRule type="containsText" dxfId="156" priority="51" operator="containsText" text="Protect">
      <formula>NOT(ISERROR(SEARCH("Protect",E57)))</formula>
    </cfRule>
    <cfRule type="containsText" dxfId="155" priority="53" operator="containsText" text="Detect">
      <formula>NOT(ISERROR(SEARCH("Detect",E57)))</formula>
    </cfRule>
    <cfRule type="containsText" dxfId="154" priority="54" operator="containsText" text="Identify">
      <formula>NOT(ISERROR(SEARCH("Identify",E57)))</formula>
    </cfRule>
    <cfRule type="containsText" dxfId="153" priority="55" operator="containsText" text="Identity">
      <formula>NOT(ISERROR(SEARCH("Identity",E57)))</formula>
    </cfRule>
  </conditionalFormatting>
  <conditionalFormatting sqref="E83:E91">
    <cfRule type="containsText" dxfId="152" priority="24" operator="containsText" text="Identify">
      <formula>NOT(ISERROR(SEARCH("Identify",E83)))</formula>
    </cfRule>
    <cfRule type="containsText" dxfId="151" priority="21" operator="containsText" text="Protect">
      <formula>NOT(ISERROR(SEARCH("Protect",E83)))</formula>
    </cfRule>
    <cfRule type="containsText" dxfId="150" priority="22" operator="containsText" text="Respond">
      <formula>NOT(ISERROR(SEARCH("Respond",E83)))</formula>
    </cfRule>
    <cfRule type="containsText" dxfId="149" priority="23" operator="containsText" text="Detect">
      <formula>NOT(ISERROR(SEARCH("Detect",E83)))</formula>
    </cfRule>
    <cfRule type="containsText" dxfId="148" priority="25" operator="containsText" text="Identity">
      <formula>NOT(ISERROR(SEARCH("Identity",E83)))</formula>
    </cfRule>
  </conditionalFormatting>
  <conditionalFormatting sqref="E93:E101">
    <cfRule type="containsText" dxfId="147" priority="36" operator="containsText" text="Protect">
      <formula>NOT(ISERROR(SEARCH("Protect",E93)))</formula>
    </cfRule>
    <cfRule type="containsText" dxfId="146" priority="37" operator="containsText" text="Respond">
      <formula>NOT(ISERROR(SEARCH("Respond",E93)))</formula>
    </cfRule>
    <cfRule type="containsText" dxfId="145" priority="38" operator="containsText" text="Detect">
      <formula>NOT(ISERROR(SEARCH("Detect",E93)))</formula>
    </cfRule>
    <cfRule type="containsText" dxfId="144" priority="39" operator="containsText" text="Identify">
      <formula>NOT(ISERROR(SEARCH("Identify",E93)))</formula>
    </cfRule>
    <cfRule type="containsText" dxfId="143" priority="40" operator="containsText" text="Identity">
      <formula>NOT(ISERROR(SEARCH("Identity",E93)))</formula>
    </cfRule>
  </conditionalFormatting>
  <conditionalFormatting sqref="E111:E151">
    <cfRule type="containsText" dxfId="142" priority="26" operator="containsText" text="Protect">
      <formula>NOT(ISERROR(SEARCH("Protect",E111)))</formula>
    </cfRule>
    <cfRule type="containsText" dxfId="141" priority="27" operator="containsText" text="Respond">
      <formula>NOT(ISERROR(SEARCH("Respond",E111)))</formula>
    </cfRule>
    <cfRule type="containsText" dxfId="140" priority="28" operator="containsText" text="Detect">
      <formula>NOT(ISERROR(SEARCH("Detect",E111)))</formula>
    </cfRule>
    <cfRule type="containsText" dxfId="139" priority="29" operator="containsText" text="Identify">
      <formula>NOT(ISERROR(SEARCH("Identify",E111)))</formula>
    </cfRule>
    <cfRule type="containsText" dxfId="138" priority="30" operator="containsText" text="Identity">
      <formula>NOT(ISERROR(SEARCH("Identity",E111)))</formula>
    </cfRule>
  </conditionalFormatting>
  <conditionalFormatting sqref="E153:E159 E161:E167 E175:E182 E184:E196 E198:E206 E208:E214 E244:E248">
    <cfRule type="containsText" dxfId="137" priority="175" operator="containsText" text="Identity">
      <formula>NOT(ISERROR(SEARCH("Identity",E153)))</formula>
    </cfRule>
    <cfRule type="containsText" dxfId="136" priority="171" operator="containsText" text="Protect">
      <formula>NOT(ISERROR(SEARCH("Protect",E153)))</formula>
    </cfRule>
    <cfRule type="containsText" dxfId="135" priority="172" operator="containsText" text="Respond">
      <formula>NOT(ISERROR(SEARCH("Respond",E153)))</formula>
    </cfRule>
    <cfRule type="containsText" dxfId="134" priority="173" operator="containsText" text="Detect">
      <formula>NOT(ISERROR(SEARCH("Detect",E153)))</formula>
    </cfRule>
    <cfRule type="containsText" dxfId="133" priority="174" operator="containsText" text="Identify">
      <formula>NOT(ISERROR(SEARCH("Identify",E153)))</formula>
    </cfRule>
  </conditionalFormatting>
  <conditionalFormatting sqref="E169:E173">
    <cfRule type="containsText" dxfId="132" priority="167" operator="containsText" text="Respond">
      <formula>NOT(ISERROR(SEARCH("Respond",E169)))</formula>
    </cfRule>
    <cfRule type="containsText" dxfId="131" priority="166" operator="containsText" text="Protect">
      <formula>NOT(ISERROR(SEARCH("Protect",E169)))</formula>
    </cfRule>
    <cfRule type="containsText" dxfId="130" priority="168" operator="containsText" text="Detect">
      <formula>NOT(ISERROR(SEARCH("Detect",E169)))</formula>
    </cfRule>
    <cfRule type="containsText" dxfId="129" priority="170" operator="containsText" text="Identity">
      <formula>NOT(ISERROR(SEARCH("Identity",E169)))</formula>
    </cfRule>
    <cfRule type="containsText" dxfId="128" priority="169" operator="containsText" text="Identify">
      <formula>NOT(ISERROR(SEARCH("Identify",E169)))</formula>
    </cfRule>
  </conditionalFormatting>
  <conditionalFormatting sqref="E216:E232">
    <cfRule type="containsText" dxfId="127" priority="1" operator="containsText" text="Protect">
      <formula>NOT(ISERROR(SEARCH("Protect",E216)))</formula>
    </cfRule>
    <cfRule type="containsText" dxfId="126" priority="5" operator="containsText" text="Identity">
      <formula>NOT(ISERROR(SEARCH("Identity",E216)))</formula>
    </cfRule>
    <cfRule type="containsText" dxfId="125" priority="4" operator="containsText" text="Identify">
      <formula>NOT(ISERROR(SEARCH("Identify",E216)))</formula>
    </cfRule>
    <cfRule type="containsText" dxfId="124" priority="3" operator="containsText" text="Detect">
      <formula>NOT(ISERROR(SEARCH("Detect",E216)))</formula>
    </cfRule>
    <cfRule type="containsText" dxfId="123" priority="2" operator="containsText" text="Respond">
      <formula>NOT(ISERROR(SEARCH("Respond",E216)))</formula>
    </cfRule>
  </conditionalFormatting>
  <conditionalFormatting sqref="E234:E242">
    <cfRule type="containsText" dxfId="122" priority="156" operator="containsText" text="Protect">
      <formula>NOT(ISERROR(SEARCH("Protect",E234)))</formula>
    </cfRule>
    <cfRule type="containsText" dxfId="121" priority="157" operator="containsText" text="Respond">
      <formula>NOT(ISERROR(SEARCH("Respond",E234)))</formula>
    </cfRule>
    <cfRule type="containsText" dxfId="120" priority="158" operator="containsText" text="Detect">
      <formula>NOT(ISERROR(SEARCH("Detect",E234)))</formula>
    </cfRule>
    <cfRule type="containsText" dxfId="119" priority="159" operator="containsText" text="Identify">
      <formula>NOT(ISERROR(SEARCH("Identify",E234)))</formula>
    </cfRule>
    <cfRule type="containsText" dxfId="118" priority="160" operator="containsText" text="Identity">
      <formula>NOT(ISERROR(SEARCH("Identity",E234)))</formula>
    </cfRule>
  </conditionalFormatting>
  <pageMargins left="0.7" right="0.7" top="0.75" bottom="0.75" header="0.3" footer="0.3"/>
  <pageSetup paperSize="9" orientation="portrait"/>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D8AA-1607-498F-A04E-897CD5C6BBE0}">
  <sheetPr codeName="Sheet20"/>
  <dimension ref="A1:AE248"/>
  <sheetViews>
    <sheetView rightToLeft="1" zoomScale="55" zoomScaleNormal="55" workbookViewId="0">
      <pane ySplit="2" topLeftCell="A3" activePane="bottomLeft" state="frozen"/>
      <selection activeCell="A4" sqref="A4"/>
      <selection pane="bottomLeft" activeCell="F3" sqref="F3"/>
    </sheetView>
  </sheetViews>
  <sheetFormatPr defaultColWidth="9.125" defaultRowHeight="14.25"/>
  <cols>
    <col min="1" max="2" width="12.125" style="175" customWidth="1"/>
    <col min="3" max="4" width="13.875" style="175" bestFit="1" customWidth="1"/>
    <col min="5" max="5" width="14.5" style="175" customWidth="1"/>
    <col min="6" max="6" width="26.875" style="175" customWidth="1"/>
    <col min="7" max="7" width="73.5" style="175" customWidth="1"/>
    <col min="8" max="13" width="7.125" style="448" customWidth="1"/>
    <col min="14" max="14" width="13.125" style="458" customWidth="1"/>
    <col min="15" max="15" width="9.5" style="450" customWidth="1"/>
    <col min="16" max="16" width="33" style="451" customWidth="1"/>
    <col min="17" max="17" width="16.125" style="451" customWidth="1"/>
    <col min="18" max="18" width="43.5" style="201" hidden="1" customWidth="1"/>
    <col min="19" max="19" width="39.125" style="451" customWidth="1"/>
    <col min="20" max="20" width="31.875" style="451" customWidth="1"/>
    <col min="21" max="21" width="13.125" style="175" customWidth="1"/>
    <col min="22" max="22" width="13.125" style="450" customWidth="1"/>
    <col min="23" max="23" width="13.125" style="448" customWidth="1"/>
    <col min="24" max="27" width="9.125" style="448" customWidth="1"/>
    <col min="28" max="28" width="7.5" style="448" customWidth="1"/>
    <col min="29" max="16384" width="9.125" style="175"/>
  </cols>
  <sheetData>
    <row r="1" spans="1:31" ht="15" customHeight="1">
      <c r="A1" s="196" t="s">
        <v>938</v>
      </c>
      <c r="B1" s="196" t="s">
        <v>939</v>
      </c>
      <c r="C1" s="196" t="s">
        <v>940</v>
      </c>
      <c r="D1" s="196" t="s">
        <v>941</v>
      </c>
      <c r="E1" s="196" t="s">
        <v>944</v>
      </c>
      <c r="F1" s="196" t="s">
        <v>945</v>
      </c>
      <c r="G1" s="196" t="s">
        <v>946</v>
      </c>
      <c r="H1" s="158" t="s">
        <v>947</v>
      </c>
      <c r="I1" s="158" t="s">
        <v>948</v>
      </c>
      <c r="J1" s="158" t="s">
        <v>949</v>
      </c>
      <c r="K1" s="158" t="s">
        <v>950</v>
      </c>
      <c r="L1" s="158" t="s">
        <v>951</v>
      </c>
      <c r="M1" s="158" t="s">
        <v>952</v>
      </c>
      <c r="N1" s="255" t="s">
        <v>953</v>
      </c>
      <c r="O1" s="212" t="s">
        <v>954</v>
      </c>
      <c r="P1" s="212" t="s">
        <v>955</v>
      </c>
      <c r="Q1" s="212" t="s">
        <v>956</v>
      </c>
      <c r="R1" s="215" t="s">
        <v>957</v>
      </c>
      <c r="S1" s="212" t="s">
        <v>958</v>
      </c>
      <c r="T1" s="212" t="s">
        <v>959</v>
      </c>
      <c r="U1" s="199" t="s">
        <v>960</v>
      </c>
      <c r="V1" s="159" t="s">
        <v>961</v>
      </c>
      <c r="W1" s="160" t="s">
        <v>962</v>
      </c>
      <c r="X1" s="148" t="s">
        <v>963</v>
      </c>
      <c r="Y1" s="148" t="s">
        <v>964</v>
      </c>
      <c r="Z1" s="148" t="s">
        <v>965</v>
      </c>
      <c r="AA1" s="148" t="s">
        <v>970</v>
      </c>
      <c r="AB1" s="148" t="s">
        <v>979</v>
      </c>
      <c r="AC1" s="452" t="s">
        <v>2022</v>
      </c>
    </row>
    <row r="2" spans="1:31" ht="60">
      <c r="A2" s="136" t="s">
        <v>942</v>
      </c>
      <c r="B2" s="136" t="s">
        <v>2026</v>
      </c>
      <c r="C2" s="136" t="s">
        <v>974</v>
      </c>
      <c r="D2" s="136" t="s">
        <v>1501</v>
      </c>
      <c r="E2" s="136" t="s">
        <v>973</v>
      </c>
      <c r="F2" s="136" t="s">
        <v>83</v>
      </c>
      <c r="G2" s="136" t="s">
        <v>1502</v>
      </c>
      <c r="H2" s="136" t="s">
        <v>174</v>
      </c>
      <c r="I2" s="136" t="s">
        <v>175</v>
      </c>
      <c r="J2" s="136" t="s">
        <v>176</v>
      </c>
      <c r="K2" s="136" t="s">
        <v>159</v>
      </c>
      <c r="L2" s="136" t="s">
        <v>160</v>
      </c>
      <c r="M2" s="136" t="s">
        <v>161</v>
      </c>
      <c r="N2" s="259" t="s">
        <v>1503</v>
      </c>
      <c r="O2" s="179" t="s">
        <v>1504</v>
      </c>
      <c r="P2" s="179" t="s">
        <v>83</v>
      </c>
      <c r="Q2" s="179" t="s">
        <v>1505</v>
      </c>
      <c r="R2" s="180" t="s">
        <v>179</v>
      </c>
      <c r="S2" s="179" t="s">
        <v>1506</v>
      </c>
      <c r="T2" s="179" t="s">
        <v>1507</v>
      </c>
      <c r="U2" s="199" t="s">
        <v>981</v>
      </c>
      <c r="V2" s="159" t="s">
        <v>926</v>
      </c>
      <c r="W2" s="160" t="s">
        <v>1508</v>
      </c>
      <c r="X2" s="181" t="s">
        <v>164</v>
      </c>
      <c r="Y2" s="181" t="s">
        <v>165</v>
      </c>
      <c r="Z2" s="181" t="s">
        <v>166</v>
      </c>
      <c r="AA2" s="203" t="s">
        <v>972</v>
      </c>
      <c r="AB2" s="181" t="s">
        <v>980</v>
      </c>
      <c r="AC2" s="453"/>
    </row>
    <row r="3" spans="1:31" ht="105">
      <c r="A3" s="217" t="s">
        <v>942</v>
      </c>
      <c r="B3" s="217" t="s">
        <v>162</v>
      </c>
      <c r="C3" s="217" t="s">
        <v>162</v>
      </c>
      <c r="D3" s="218" t="s">
        <v>162</v>
      </c>
      <c r="E3" s="218" t="s">
        <v>162</v>
      </c>
      <c r="F3" s="156" t="s">
        <v>993</v>
      </c>
      <c r="G3" s="220" t="s">
        <v>351</v>
      </c>
      <c r="H3" s="218" t="s">
        <v>162</v>
      </c>
      <c r="I3" s="218" t="s">
        <v>162</v>
      </c>
      <c r="J3" s="218" t="s">
        <v>162</v>
      </c>
      <c r="K3" s="218" t="s">
        <v>162</v>
      </c>
      <c r="L3" s="218" t="s">
        <v>162</v>
      </c>
      <c r="M3" s="218" t="s">
        <v>162</v>
      </c>
      <c r="N3" s="260" t="s">
        <v>162</v>
      </c>
      <c r="O3" s="218" t="s">
        <v>162</v>
      </c>
      <c r="P3" s="218" t="s">
        <v>162</v>
      </c>
      <c r="Q3" s="218" t="s">
        <v>162</v>
      </c>
      <c r="R3" s="154" t="s">
        <v>162</v>
      </c>
      <c r="S3" s="218" t="s">
        <v>162</v>
      </c>
      <c r="T3" s="218" t="s">
        <v>162</v>
      </c>
      <c r="U3" s="217" t="s">
        <v>2027</v>
      </c>
      <c r="V3" s="217" t="s">
        <v>162</v>
      </c>
      <c r="W3" s="217" t="s">
        <v>162</v>
      </c>
      <c r="X3" s="217" t="s">
        <v>162</v>
      </c>
      <c r="Y3" s="217" t="s">
        <v>162</v>
      </c>
      <c r="Z3" s="217" t="s">
        <v>162</v>
      </c>
      <c r="AA3" s="218" t="s">
        <v>162</v>
      </c>
      <c r="AB3" s="218" t="s">
        <v>162</v>
      </c>
      <c r="AC3" s="454"/>
    </row>
    <row r="4" spans="1:31" ht="285">
      <c r="A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 s="137" t="str">
        <f>GCP_2[[#This Row],[Column30]]</f>
        <v>2.13</v>
      </c>
      <c r="C4" s="137">
        <v>1.1000000000000001</v>
      </c>
      <c r="D4" s="138" t="s">
        <v>352</v>
      </c>
      <c r="E4" s="162" t="s">
        <v>154</v>
      </c>
      <c r="F4" s="138" t="s">
        <v>988</v>
      </c>
      <c r="G4" s="138" t="s">
        <v>354</v>
      </c>
      <c r="H4" s="163" t="s">
        <v>185</v>
      </c>
      <c r="I4" s="164" t="s">
        <v>185</v>
      </c>
      <c r="J4" s="200" t="s">
        <v>185</v>
      </c>
      <c r="K4" s="176" t="s">
        <v>185</v>
      </c>
      <c r="L4" s="176" t="s">
        <v>185</v>
      </c>
      <c r="M4" s="176"/>
      <c r="N4" s="222" t="s">
        <v>1002</v>
      </c>
      <c r="O4" s="212">
        <v>1</v>
      </c>
      <c r="P4" s="214" t="s">
        <v>1003</v>
      </c>
      <c r="Q4" s="214" t="s">
        <v>1004</v>
      </c>
      <c r="R4" s="451" t="s">
        <v>1005</v>
      </c>
      <c r="S4" s="214" t="s">
        <v>1006</v>
      </c>
      <c r="T4" s="214" t="s">
        <v>1007</v>
      </c>
      <c r="U4" s="158" t="s">
        <v>162</v>
      </c>
      <c r="V4" s="168" t="s">
        <v>899</v>
      </c>
      <c r="W4" s="158" t="s">
        <v>967</v>
      </c>
      <c r="X4" s="158" t="s">
        <v>185</v>
      </c>
      <c r="Y4" s="158"/>
      <c r="Z4" s="158" t="s">
        <v>185</v>
      </c>
      <c r="AA4" s="158" t="str">
        <f>IF(GCP_2[[#This Row],[Column14]]="-","", "v")</f>
        <v>v</v>
      </c>
      <c r="AB4" s="158" t="str">
        <f>IF(GCP_2[[#This Row],[Column8]]="x","1",(IF(OR(GCP_2[[#This Row],[Column25]]=2,GCP_2[[#This Row],[Column26]]=2,GCP_2[[#This Row],[Column27]]=2),"1",(IF(GCP_2[[#This Row],[Column9]]="x","2",(IF(GCP_2[[#This Row],[Column10]]="x","3","")))))))</f>
        <v>1</v>
      </c>
      <c r="AC4" s="454" t="str">
        <f>IF(GCP_2[[#This Row],[Column14]] = "-", GCP_2[[#This Row],[Column14]], LEFT(GCP_2[[#This Row],[Column14]], SEARCH(" ", GCP_2[[#This Row],[Column14]] &amp; " ") - 1))</f>
        <v>2.13</v>
      </c>
    </row>
    <row r="5" spans="1:31" ht="45">
      <c r="A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 s="137" t="str">
        <f>GCP_2[[#This Row],[Column30]]</f>
        <v>-</v>
      </c>
      <c r="C5" s="137">
        <v>1.2</v>
      </c>
      <c r="D5" s="138" t="s">
        <v>352</v>
      </c>
      <c r="E5" s="162" t="s">
        <v>157</v>
      </c>
      <c r="F5" s="138" t="s">
        <v>989</v>
      </c>
      <c r="G5" s="138" t="s">
        <v>362</v>
      </c>
      <c r="H5" s="163" t="s">
        <v>185</v>
      </c>
      <c r="I5" s="164" t="s">
        <v>185</v>
      </c>
      <c r="J5" s="200" t="s">
        <v>185</v>
      </c>
      <c r="K5" s="176" t="s">
        <v>185</v>
      </c>
      <c r="L5" s="176" t="s">
        <v>185</v>
      </c>
      <c r="M5" s="176"/>
      <c r="N5" s="222" t="s">
        <v>162</v>
      </c>
      <c r="O5" s="222" t="s">
        <v>162</v>
      </c>
      <c r="P5" s="222" t="s">
        <v>162</v>
      </c>
      <c r="Q5" s="222" t="s">
        <v>162</v>
      </c>
      <c r="R5" s="451"/>
      <c r="S5" s="222" t="s">
        <v>162</v>
      </c>
      <c r="T5" s="222" t="s">
        <v>162</v>
      </c>
      <c r="U5" s="258" t="s">
        <v>162</v>
      </c>
      <c r="V5" s="168"/>
      <c r="W5" s="158" t="s">
        <v>966</v>
      </c>
      <c r="X5" s="158" t="s">
        <v>185</v>
      </c>
      <c r="Y5" s="158"/>
      <c r="Z5" s="158" t="s">
        <v>185</v>
      </c>
      <c r="AA5" s="158" t="str">
        <f>IF(GCP_2[[#This Row],[Column14]]="-","", "v")</f>
        <v/>
      </c>
      <c r="AB5" s="158" t="str">
        <f>IF(GCP_2[[#This Row],[Column8]]="x","1",(IF(OR(GCP_2[[#This Row],[Column25]]=2,GCP_2[[#This Row],[Column26]]=2,GCP_2[[#This Row],[Column27]]=2),"1",(IF(GCP_2[[#This Row],[Column9]]="x","2",(IF(GCP_2[[#This Row],[Column10]]="x","3","")))))))</f>
        <v>1</v>
      </c>
      <c r="AC5" s="454" t="str">
        <f>IF(GCP_2[[#This Row],[Column14]] = "-", GCP_2[[#This Row],[Column14]], LEFT(GCP_2[[#This Row],[Column14]], SEARCH(" ", GCP_2[[#This Row],[Column14]] &amp; " ") - 1))</f>
        <v>-</v>
      </c>
      <c r="AE5" s="195"/>
    </row>
    <row r="6" spans="1:31" ht="30">
      <c r="A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 s="137" t="str">
        <f>GCP_2[[#This Row],[Column30]]</f>
        <v>-</v>
      </c>
      <c r="C6" s="137">
        <v>1.3</v>
      </c>
      <c r="D6" s="138" t="s">
        <v>352</v>
      </c>
      <c r="E6" s="162" t="s">
        <v>155</v>
      </c>
      <c r="F6" s="138" t="s">
        <v>990</v>
      </c>
      <c r="G6" s="138" t="s">
        <v>364</v>
      </c>
      <c r="H6" s="137"/>
      <c r="I6" s="164" t="s">
        <v>185</v>
      </c>
      <c r="J6" s="200" t="s">
        <v>185</v>
      </c>
      <c r="K6" s="176" t="s">
        <v>185</v>
      </c>
      <c r="L6" s="176" t="s">
        <v>185</v>
      </c>
      <c r="M6" s="176"/>
      <c r="N6" s="222" t="s">
        <v>162</v>
      </c>
      <c r="O6" s="222" t="s">
        <v>162</v>
      </c>
      <c r="P6" s="222" t="s">
        <v>162</v>
      </c>
      <c r="Q6" s="222" t="s">
        <v>162</v>
      </c>
      <c r="R6" s="451"/>
      <c r="S6" s="222" t="s">
        <v>162</v>
      </c>
      <c r="T6" s="222" t="s">
        <v>162</v>
      </c>
      <c r="U6" s="258" t="s">
        <v>162</v>
      </c>
      <c r="V6" s="168"/>
      <c r="W6" s="158" t="s">
        <v>966</v>
      </c>
      <c r="X6" s="158" t="s">
        <v>185</v>
      </c>
      <c r="Y6" s="158"/>
      <c r="Z6" s="158" t="s">
        <v>185</v>
      </c>
      <c r="AA6" s="158" t="str">
        <f>IF(GCP_2[[#This Row],[Column14]]="-","", "v")</f>
        <v/>
      </c>
      <c r="AB6" s="158" t="str">
        <f>IF(GCP_2[[#This Row],[Column8]]="x","1",(IF(OR(GCP_2[[#This Row],[Column25]]=2,GCP_2[[#This Row],[Column26]]=2,GCP_2[[#This Row],[Column27]]=2),"1",(IF(GCP_2[[#This Row],[Column9]]="x","2",(IF(GCP_2[[#This Row],[Column10]]="x","3","")))))))</f>
        <v>2</v>
      </c>
      <c r="AC6" s="454" t="str">
        <f>IF(GCP_2[[#This Row],[Column14]] = "-", GCP_2[[#This Row],[Column14]], LEFT(GCP_2[[#This Row],[Column14]], SEARCH(" ", GCP_2[[#This Row],[Column14]] &amp; " ") - 1))</f>
        <v>-</v>
      </c>
    </row>
    <row r="7" spans="1:31" ht="60">
      <c r="A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 s="137" t="str">
        <f>GCP_2[[#This Row],[Column30]]</f>
        <v>-</v>
      </c>
      <c r="C7" s="137">
        <v>1.4</v>
      </c>
      <c r="D7" s="138" t="s">
        <v>352</v>
      </c>
      <c r="E7" s="162" t="s">
        <v>154</v>
      </c>
      <c r="F7" s="138" t="s">
        <v>991</v>
      </c>
      <c r="G7" s="138" t="s">
        <v>366</v>
      </c>
      <c r="H7" s="137"/>
      <c r="I7" s="164" t="s">
        <v>185</v>
      </c>
      <c r="J7" s="200" t="s">
        <v>185</v>
      </c>
      <c r="K7" s="176" t="s">
        <v>185</v>
      </c>
      <c r="L7" s="176" t="s">
        <v>185</v>
      </c>
      <c r="M7" s="176"/>
      <c r="N7" s="222" t="s">
        <v>162</v>
      </c>
      <c r="O7" s="222" t="s">
        <v>162</v>
      </c>
      <c r="P7" s="222" t="s">
        <v>162</v>
      </c>
      <c r="Q7" s="222" t="s">
        <v>162</v>
      </c>
      <c r="R7" s="451"/>
      <c r="S7" s="222" t="s">
        <v>162</v>
      </c>
      <c r="T7" s="222" t="s">
        <v>162</v>
      </c>
      <c r="U7" s="258" t="s">
        <v>162</v>
      </c>
      <c r="V7" s="168"/>
      <c r="W7" s="158" t="s">
        <v>966</v>
      </c>
      <c r="X7" s="158" t="s">
        <v>185</v>
      </c>
      <c r="Y7" s="158"/>
      <c r="Z7" s="158" t="s">
        <v>185</v>
      </c>
      <c r="AA7" s="158" t="str">
        <f>IF(GCP_2[[#This Row],[Column14]]="-","", "v")</f>
        <v/>
      </c>
      <c r="AB7" s="158" t="str">
        <f>IF(GCP_2[[#This Row],[Column8]]="x","1",(IF(OR(GCP_2[[#This Row],[Column25]]=2,GCP_2[[#This Row],[Column26]]=2,GCP_2[[#This Row],[Column27]]=2),"1",(IF(GCP_2[[#This Row],[Column9]]="x","2",(IF(GCP_2[[#This Row],[Column10]]="x","3","")))))))</f>
        <v>2</v>
      </c>
      <c r="AC7" s="454" t="str">
        <f>IF(GCP_2[[#This Row],[Column14]] = "-", GCP_2[[#This Row],[Column14]], LEFT(GCP_2[[#This Row],[Column14]], SEARCH(" ", GCP_2[[#This Row],[Column14]] &amp; " ") - 1))</f>
        <v>-</v>
      </c>
    </row>
    <row r="8" spans="1:31" ht="45">
      <c r="A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 s="137" t="str">
        <f>GCP_2[[#This Row],[Column30]]</f>
        <v>-</v>
      </c>
      <c r="C8" s="137">
        <v>1.5</v>
      </c>
      <c r="D8" s="138" t="s">
        <v>352</v>
      </c>
      <c r="E8" s="162" t="s">
        <v>155</v>
      </c>
      <c r="F8" s="138" t="s">
        <v>992</v>
      </c>
      <c r="G8" s="138" t="s">
        <v>368</v>
      </c>
      <c r="H8" s="137"/>
      <c r="I8" s="137"/>
      <c r="J8" s="200" t="s">
        <v>185</v>
      </c>
      <c r="K8" s="176" t="s">
        <v>185</v>
      </c>
      <c r="L8" s="176" t="s">
        <v>185</v>
      </c>
      <c r="M8" s="176"/>
      <c r="N8" s="222" t="s">
        <v>162</v>
      </c>
      <c r="O8" s="222" t="s">
        <v>162</v>
      </c>
      <c r="P8" s="222" t="s">
        <v>162</v>
      </c>
      <c r="Q8" s="222" t="s">
        <v>162</v>
      </c>
      <c r="R8" s="451"/>
      <c r="S8" s="222" t="s">
        <v>162</v>
      </c>
      <c r="T8" s="222" t="s">
        <v>162</v>
      </c>
      <c r="U8" s="258" t="s">
        <v>162</v>
      </c>
      <c r="V8" s="168"/>
      <c r="W8" s="158" t="s">
        <v>966</v>
      </c>
      <c r="X8" s="158" t="s">
        <v>185</v>
      </c>
      <c r="Y8" s="158"/>
      <c r="Z8" s="158" t="s">
        <v>185</v>
      </c>
      <c r="AA8" s="158" t="str">
        <f>IF(GCP_2[[#This Row],[Column14]]="-","", "v")</f>
        <v/>
      </c>
      <c r="AB8" s="158" t="str">
        <f>IF(GCP_2[[#This Row],[Column8]]="x","1",(IF(OR(GCP_2[[#This Row],[Column25]]=2,GCP_2[[#This Row],[Column26]]=2,GCP_2[[#This Row],[Column27]]=2),"1",(IF(GCP_2[[#This Row],[Column9]]="x","2",(IF(GCP_2[[#This Row],[Column10]]="x","3","")))))))</f>
        <v>3</v>
      </c>
      <c r="AC8" s="454" t="str">
        <f>IF(GCP_2[[#This Row],[Column14]] = "-", GCP_2[[#This Row],[Column14]], LEFT(GCP_2[[#This Row],[Column14]], SEARCH(" ", GCP_2[[#This Row],[Column14]] &amp; " ") - 1))</f>
        <v>-</v>
      </c>
    </row>
    <row r="9" spans="1:31" ht="75">
      <c r="A9" s="221" t="s">
        <v>942</v>
      </c>
      <c r="B9" s="217" t="s">
        <v>162</v>
      </c>
      <c r="C9" s="217" t="s">
        <v>162</v>
      </c>
      <c r="D9" s="218" t="s">
        <v>162</v>
      </c>
      <c r="E9" s="218" t="s">
        <v>162</v>
      </c>
      <c r="F9" s="156" t="s">
        <v>994</v>
      </c>
      <c r="G9" s="220" t="s">
        <v>370</v>
      </c>
      <c r="H9" s="218" t="s">
        <v>162</v>
      </c>
      <c r="I9" s="218" t="s">
        <v>162</v>
      </c>
      <c r="J9" s="218" t="s">
        <v>162</v>
      </c>
      <c r="K9" s="218" t="s">
        <v>162</v>
      </c>
      <c r="L9" s="218" t="s">
        <v>162</v>
      </c>
      <c r="M9" s="218" t="s">
        <v>162</v>
      </c>
      <c r="N9" s="260" t="s">
        <v>162</v>
      </c>
      <c r="O9" s="218" t="s">
        <v>162</v>
      </c>
      <c r="P9" s="218" t="s">
        <v>162</v>
      </c>
      <c r="Q9" s="218" t="s">
        <v>162</v>
      </c>
      <c r="R9" s="154"/>
      <c r="S9" s="218" t="s">
        <v>162</v>
      </c>
      <c r="T9" s="218" t="s">
        <v>162</v>
      </c>
      <c r="U9" s="217" t="s">
        <v>162</v>
      </c>
      <c r="V9" s="217" t="s">
        <v>162</v>
      </c>
      <c r="W9" s="217" t="s">
        <v>162</v>
      </c>
      <c r="X9" s="217" t="s">
        <v>162</v>
      </c>
      <c r="Y9" s="217" t="s">
        <v>162</v>
      </c>
      <c r="Z9" s="217" t="s">
        <v>162</v>
      </c>
      <c r="AA9" s="218" t="s">
        <v>162</v>
      </c>
      <c r="AB9" s="218" t="s">
        <v>162</v>
      </c>
      <c r="AC9" s="454" t="str">
        <f>IF(GCP_2[[#This Row],[Column14]] = "-", GCP_2[[#This Row],[Column14]], LEFT(GCP_2[[#This Row],[Column14]], SEARCH(" ", GCP_2[[#This Row],[Column14]] &amp; " ") - 1))</f>
        <v>-</v>
      </c>
    </row>
    <row r="10" spans="1:31" ht="90">
      <c r="A1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 s="137" t="str">
        <f>GCP_2[[#This Row],[Column30]]</f>
        <v>-</v>
      </c>
      <c r="C10" s="137">
        <v>2.1</v>
      </c>
      <c r="D10" s="138" t="s">
        <v>371</v>
      </c>
      <c r="E10" s="162" t="s">
        <v>154</v>
      </c>
      <c r="F10" s="138" t="s">
        <v>995</v>
      </c>
      <c r="G10" s="138" t="s">
        <v>373</v>
      </c>
      <c r="H10" s="163" t="s">
        <v>185</v>
      </c>
      <c r="I10" s="164" t="s">
        <v>185</v>
      </c>
      <c r="J10" s="200" t="s">
        <v>185</v>
      </c>
      <c r="K10" s="176" t="s">
        <v>185</v>
      </c>
      <c r="L10" s="176" t="s">
        <v>185</v>
      </c>
      <c r="M10" s="176" t="s">
        <v>185</v>
      </c>
      <c r="N10" s="222" t="s">
        <v>162</v>
      </c>
      <c r="O10" s="222" t="s">
        <v>162</v>
      </c>
      <c r="P10" s="222" t="s">
        <v>162</v>
      </c>
      <c r="Q10" s="222" t="s">
        <v>162</v>
      </c>
      <c r="R10" s="451"/>
      <c r="S10" s="222" t="s">
        <v>162</v>
      </c>
      <c r="T10" s="222" t="s">
        <v>162</v>
      </c>
      <c r="U10" s="258" t="s">
        <v>162</v>
      </c>
      <c r="V10" s="168"/>
      <c r="W10" s="158" t="s">
        <v>966</v>
      </c>
      <c r="X10" s="158" t="s">
        <v>185</v>
      </c>
      <c r="Y10" s="158"/>
      <c r="Z10" s="158" t="s">
        <v>185</v>
      </c>
      <c r="AA10" s="158" t="str">
        <f>IF(GCP_2[[#This Row],[Column14]]="-","", "v")</f>
        <v/>
      </c>
      <c r="AB10" s="158" t="str">
        <f>IF(GCP_2[[#This Row],[Column8]]="x","1",(IF(OR(GCP_2[[#This Row],[Column25]]=2,GCP_2[[#This Row],[Column26]]=2,GCP_2[[#This Row],[Column27]]=2),"1",(IF(GCP_2[[#This Row],[Column9]]="x","2",(IF(GCP_2[[#This Row],[Column10]]="x","3","")))))))</f>
        <v>1</v>
      </c>
      <c r="AC10" s="454" t="str">
        <f>IF(GCP_2[[#This Row],[Column14]] = "-", GCP_2[[#This Row],[Column14]], LEFT(GCP_2[[#This Row],[Column14]], SEARCH(" ", GCP_2[[#This Row],[Column14]] &amp; " ") - 1))</f>
        <v>-</v>
      </c>
    </row>
    <row r="11" spans="1:31" ht="409.5">
      <c r="A1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 s="137" t="str">
        <f>GCP_2[[#This Row],[Column30]]</f>
        <v>4.12</v>
      </c>
      <c r="C11" s="137">
        <v>2.2000000000000002</v>
      </c>
      <c r="D11" s="138" t="s">
        <v>371</v>
      </c>
      <c r="E11" s="162" t="s">
        <v>154</v>
      </c>
      <c r="F11" s="138" t="s">
        <v>996</v>
      </c>
      <c r="G11" s="139" t="s">
        <v>375</v>
      </c>
      <c r="H11" s="163" t="s">
        <v>185</v>
      </c>
      <c r="I11" s="164" t="s">
        <v>185</v>
      </c>
      <c r="J11" s="200" t="s">
        <v>185</v>
      </c>
      <c r="K11" s="176" t="s">
        <v>185</v>
      </c>
      <c r="L11" s="176" t="s">
        <v>185</v>
      </c>
      <c r="M11" s="176" t="s">
        <v>185</v>
      </c>
      <c r="N11" s="222" t="s">
        <v>1008</v>
      </c>
      <c r="O11" s="212">
        <v>2</v>
      </c>
      <c r="P11" s="214" t="s">
        <v>1009</v>
      </c>
      <c r="Q11" s="214" t="s">
        <v>1010</v>
      </c>
      <c r="R11" s="451" t="s">
        <v>1011</v>
      </c>
      <c r="S11" s="214" t="s">
        <v>1012</v>
      </c>
      <c r="T11" s="214" t="s">
        <v>1013</v>
      </c>
      <c r="U11" s="158" t="s">
        <v>162</v>
      </c>
      <c r="V11" s="168" t="s">
        <v>899</v>
      </c>
      <c r="W11" s="158" t="s">
        <v>967</v>
      </c>
      <c r="X11" s="158" t="s">
        <v>185</v>
      </c>
      <c r="Y11" s="158"/>
      <c r="Z11" s="158" t="s">
        <v>185</v>
      </c>
      <c r="AA11" s="158" t="str">
        <f>IF(GCP_2[[#This Row],[Column14]]="-","", "v")</f>
        <v>v</v>
      </c>
      <c r="AB11" s="158" t="str">
        <f>IF(GCP_2[[#This Row],[Column8]]="x","1",(IF(OR(GCP_2[[#This Row],[Column25]]=2,GCP_2[[#This Row],[Column26]]=2,GCP_2[[#This Row],[Column27]]=2),"1",(IF(GCP_2[[#This Row],[Column9]]="x","2",(IF(GCP_2[[#This Row],[Column10]]="x","3","")))))))</f>
        <v>1</v>
      </c>
      <c r="AC11" s="454" t="str">
        <f>IF(GCP_2[[#This Row],[Column14]] = "-", GCP_2[[#This Row],[Column14]], LEFT(GCP_2[[#This Row],[Column14]], SEARCH(" ", GCP_2[[#This Row],[Column14]] &amp; " ") - 1))</f>
        <v>4.12</v>
      </c>
    </row>
    <row r="12" spans="1:31" ht="30">
      <c r="A1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 s="137" t="str">
        <f>GCP_2[[#This Row],[Column30]]</f>
        <v>-</v>
      </c>
      <c r="C12" s="137">
        <v>2.2999999999999998</v>
      </c>
      <c r="D12" s="138" t="s">
        <v>371</v>
      </c>
      <c r="E12" s="162" t="s">
        <v>157</v>
      </c>
      <c r="F12" s="138" t="s">
        <v>997</v>
      </c>
      <c r="G12" s="138" t="s">
        <v>377</v>
      </c>
      <c r="H12" s="163" t="s">
        <v>185</v>
      </c>
      <c r="I12" s="164" t="s">
        <v>185</v>
      </c>
      <c r="J12" s="200" t="s">
        <v>185</v>
      </c>
      <c r="K12" s="176" t="s">
        <v>185</v>
      </c>
      <c r="L12" s="176" t="s">
        <v>185</v>
      </c>
      <c r="M12" s="176" t="s">
        <v>185</v>
      </c>
      <c r="N12" s="222" t="s">
        <v>162</v>
      </c>
      <c r="O12" s="222" t="s">
        <v>162</v>
      </c>
      <c r="P12" s="222" t="s">
        <v>162</v>
      </c>
      <c r="Q12" s="222" t="s">
        <v>162</v>
      </c>
      <c r="R12" s="451"/>
      <c r="S12" s="222" t="s">
        <v>162</v>
      </c>
      <c r="T12" s="222" t="s">
        <v>162</v>
      </c>
      <c r="U12" s="258" t="s">
        <v>162</v>
      </c>
      <c r="V12" s="168"/>
      <c r="W12" s="158" t="s">
        <v>966</v>
      </c>
      <c r="X12" s="158" t="s">
        <v>185</v>
      </c>
      <c r="Y12" s="158"/>
      <c r="Z12" s="158" t="s">
        <v>185</v>
      </c>
      <c r="AA12" s="158" t="str">
        <f>IF(GCP_2[[#This Row],[Column14]]="-","", "v")</f>
        <v/>
      </c>
      <c r="AB12" s="158" t="str">
        <f>IF(GCP_2[[#This Row],[Column8]]="x","1",(IF(OR(GCP_2[[#This Row],[Column25]]=2,GCP_2[[#This Row],[Column26]]=2,GCP_2[[#This Row],[Column27]]=2),"1",(IF(GCP_2[[#This Row],[Column9]]="x","2",(IF(GCP_2[[#This Row],[Column10]]="x","3","")))))))</f>
        <v>1</v>
      </c>
      <c r="AC12" s="454" t="str">
        <f>IF(GCP_2[[#This Row],[Column14]] = "-", GCP_2[[#This Row],[Column14]], LEFT(GCP_2[[#This Row],[Column14]], SEARCH(" ", GCP_2[[#This Row],[Column14]] &amp; " ") - 1))</f>
        <v>-</v>
      </c>
    </row>
    <row r="13" spans="1:31" ht="30">
      <c r="A1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 s="137" t="str">
        <f>GCP_2[[#This Row],[Column30]]</f>
        <v>-</v>
      </c>
      <c r="C13" s="137">
        <v>2.4</v>
      </c>
      <c r="D13" s="138" t="s">
        <v>371</v>
      </c>
      <c r="E13" s="162" t="s">
        <v>155</v>
      </c>
      <c r="F13" s="138" t="s">
        <v>998</v>
      </c>
      <c r="G13" s="138" t="s">
        <v>379</v>
      </c>
      <c r="H13" s="137"/>
      <c r="I13" s="164" t="s">
        <v>185</v>
      </c>
      <c r="J13" s="200" t="s">
        <v>185</v>
      </c>
      <c r="K13" s="176" t="s">
        <v>185</v>
      </c>
      <c r="L13" s="176" t="s">
        <v>185</v>
      </c>
      <c r="M13" s="176" t="s">
        <v>185</v>
      </c>
      <c r="N13" s="222" t="s">
        <v>162</v>
      </c>
      <c r="O13" s="222" t="s">
        <v>162</v>
      </c>
      <c r="P13" s="222" t="s">
        <v>162</v>
      </c>
      <c r="Q13" s="222" t="s">
        <v>162</v>
      </c>
      <c r="R13" s="451"/>
      <c r="S13" s="222" t="s">
        <v>162</v>
      </c>
      <c r="T13" s="222" t="s">
        <v>162</v>
      </c>
      <c r="U13" s="258" t="s">
        <v>162</v>
      </c>
      <c r="V13" s="168"/>
      <c r="W13" s="158" t="s">
        <v>966</v>
      </c>
      <c r="X13" s="158" t="s">
        <v>185</v>
      </c>
      <c r="Y13" s="158"/>
      <c r="Z13" s="158" t="s">
        <v>185</v>
      </c>
      <c r="AA13" s="158" t="str">
        <f>IF(GCP_2[[#This Row],[Column14]]="-","", "v")</f>
        <v/>
      </c>
      <c r="AB13" s="158" t="str">
        <f>IF(GCP_2[[#This Row],[Column8]]="x","1",(IF(OR(GCP_2[[#This Row],[Column25]]=2,GCP_2[[#This Row],[Column26]]=2,GCP_2[[#This Row],[Column27]]=2),"1",(IF(GCP_2[[#This Row],[Column9]]="x","2",(IF(GCP_2[[#This Row],[Column10]]="x","3","")))))))</f>
        <v>2</v>
      </c>
      <c r="AC13" s="454" t="str">
        <f>IF(GCP_2[[#This Row],[Column14]] = "-", GCP_2[[#This Row],[Column14]], LEFT(GCP_2[[#This Row],[Column14]], SEARCH(" ", GCP_2[[#This Row],[Column14]] &amp; " ") - 1))</f>
        <v>-</v>
      </c>
    </row>
    <row r="14" spans="1:31" ht="45">
      <c r="A1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 s="137" t="str">
        <f>GCP_2[[#This Row],[Column30]]</f>
        <v>-</v>
      </c>
      <c r="C14" s="137">
        <v>2.5</v>
      </c>
      <c r="D14" s="138" t="s">
        <v>371</v>
      </c>
      <c r="E14" s="162" t="s">
        <v>156</v>
      </c>
      <c r="F14" s="138" t="s">
        <v>999</v>
      </c>
      <c r="G14" s="138" t="s">
        <v>381</v>
      </c>
      <c r="H14" s="137"/>
      <c r="I14" s="164" t="s">
        <v>185</v>
      </c>
      <c r="J14" s="200" t="s">
        <v>185</v>
      </c>
      <c r="K14" s="176" t="s">
        <v>185</v>
      </c>
      <c r="L14" s="176" t="s">
        <v>185</v>
      </c>
      <c r="M14" s="176"/>
      <c r="N14" s="222" t="s">
        <v>162</v>
      </c>
      <c r="O14" s="222" t="s">
        <v>162</v>
      </c>
      <c r="P14" s="222" t="s">
        <v>162</v>
      </c>
      <c r="Q14" s="222" t="s">
        <v>162</v>
      </c>
      <c r="R14" s="451"/>
      <c r="S14" s="222" t="s">
        <v>162</v>
      </c>
      <c r="T14" s="222" t="s">
        <v>162</v>
      </c>
      <c r="U14" s="258" t="s">
        <v>162</v>
      </c>
      <c r="V14" s="168"/>
      <c r="W14" s="158" t="s">
        <v>966</v>
      </c>
      <c r="X14" s="158" t="s">
        <v>185</v>
      </c>
      <c r="Y14" s="158"/>
      <c r="Z14" s="158" t="s">
        <v>185</v>
      </c>
      <c r="AA14" s="158" t="str">
        <f>IF(GCP_2[[#This Row],[Column14]]="-","", "v")</f>
        <v/>
      </c>
      <c r="AB14" s="158" t="str">
        <f>IF(GCP_2[[#This Row],[Column8]]="x","1",(IF(OR(GCP_2[[#This Row],[Column25]]=2,GCP_2[[#This Row],[Column26]]=2,GCP_2[[#This Row],[Column27]]=2),"1",(IF(GCP_2[[#This Row],[Column9]]="x","2",(IF(GCP_2[[#This Row],[Column10]]="x","3","")))))))</f>
        <v>2</v>
      </c>
      <c r="AC14" s="454" t="str">
        <f>IF(GCP_2[[#This Row],[Column14]] = "-", GCP_2[[#This Row],[Column14]], LEFT(GCP_2[[#This Row],[Column14]], SEARCH(" ", GCP_2[[#This Row],[Column14]] &amp; " ") - 1))</f>
        <v>-</v>
      </c>
    </row>
    <row r="15" spans="1:31" ht="60">
      <c r="A1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 s="137" t="str">
        <f>GCP_2[[#This Row],[Column30]]</f>
        <v>-</v>
      </c>
      <c r="C15" s="137">
        <v>2.6</v>
      </c>
      <c r="D15" s="138" t="s">
        <v>371</v>
      </c>
      <c r="E15" s="162" t="s">
        <v>156</v>
      </c>
      <c r="F15" s="138" t="s">
        <v>1000</v>
      </c>
      <c r="G15" s="139" t="s">
        <v>383</v>
      </c>
      <c r="H15" s="137"/>
      <c r="I15" s="164" t="s">
        <v>185</v>
      </c>
      <c r="J15" s="200" t="s">
        <v>185</v>
      </c>
      <c r="K15" s="176" t="s">
        <v>185</v>
      </c>
      <c r="L15" s="176" t="s">
        <v>185</v>
      </c>
      <c r="M15" s="176"/>
      <c r="N15" s="222" t="s">
        <v>162</v>
      </c>
      <c r="O15" s="222" t="s">
        <v>162</v>
      </c>
      <c r="P15" s="222" t="s">
        <v>162</v>
      </c>
      <c r="Q15" s="222" t="s">
        <v>162</v>
      </c>
      <c r="R15" s="451"/>
      <c r="S15" s="222" t="s">
        <v>162</v>
      </c>
      <c r="T15" s="222" t="s">
        <v>162</v>
      </c>
      <c r="U15" s="258" t="s">
        <v>162</v>
      </c>
      <c r="V15" s="168"/>
      <c r="W15" s="158" t="s">
        <v>967</v>
      </c>
      <c r="X15" s="158" t="s">
        <v>185</v>
      </c>
      <c r="Y15" s="158"/>
      <c r="Z15" s="158" t="s">
        <v>185</v>
      </c>
      <c r="AA15" s="158" t="str">
        <f>IF(GCP_2[[#This Row],[Column14]]="-","", "v")</f>
        <v/>
      </c>
      <c r="AB15" s="158" t="str">
        <f>IF(GCP_2[[#This Row],[Column8]]="x","1",(IF(OR(GCP_2[[#This Row],[Column25]]=2,GCP_2[[#This Row],[Column26]]=2,GCP_2[[#This Row],[Column27]]=2),"1",(IF(GCP_2[[#This Row],[Column9]]="x","2",(IF(GCP_2[[#This Row],[Column10]]="x","3","")))))))</f>
        <v>2</v>
      </c>
      <c r="AC15" s="454" t="str">
        <f>IF(GCP_2[[#This Row],[Column14]] = "-", GCP_2[[#This Row],[Column14]], LEFT(GCP_2[[#This Row],[Column14]], SEARCH(" ", GCP_2[[#This Row],[Column14]] &amp; " ") - 1))</f>
        <v>-</v>
      </c>
    </row>
    <row r="16" spans="1:31" ht="409.5">
      <c r="A1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 s="137" t="str">
        <f>GCP_2[[#This Row],[Column30]]</f>
        <v>6.3.1</v>
      </c>
      <c r="C16" s="137">
        <v>2.7</v>
      </c>
      <c r="D16" s="138" t="s">
        <v>371</v>
      </c>
      <c r="E16" s="162" t="s">
        <v>156</v>
      </c>
      <c r="F16" s="138" t="s">
        <v>1001</v>
      </c>
      <c r="G16" s="139" t="s">
        <v>385</v>
      </c>
      <c r="H16" s="137"/>
      <c r="I16" s="204"/>
      <c r="J16" s="200" t="s">
        <v>185</v>
      </c>
      <c r="K16" s="176" t="s">
        <v>185</v>
      </c>
      <c r="L16" s="176" t="s">
        <v>185</v>
      </c>
      <c r="M16" s="176"/>
      <c r="N16" s="222" t="s">
        <v>1014</v>
      </c>
      <c r="O16" s="212">
        <v>1</v>
      </c>
      <c r="P16" s="214" t="s">
        <v>1015</v>
      </c>
      <c r="Q16" s="214" t="s">
        <v>1016</v>
      </c>
      <c r="R16" s="451" t="s">
        <v>1017</v>
      </c>
      <c r="S16" s="214" t="s">
        <v>1018</v>
      </c>
      <c r="T16" s="214" t="s">
        <v>1019</v>
      </c>
      <c r="U16" s="158" t="s">
        <v>162</v>
      </c>
      <c r="V16" s="168" t="s">
        <v>1527</v>
      </c>
      <c r="W16" s="158" t="s">
        <v>967</v>
      </c>
      <c r="X16" s="158" t="s">
        <v>185</v>
      </c>
      <c r="Y16" s="158"/>
      <c r="Z16" s="158" t="s">
        <v>185</v>
      </c>
      <c r="AA16" s="158" t="str">
        <f>IF(GCP_2[[#This Row],[Column14]]="-","", "v")</f>
        <v>v</v>
      </c>
      <c r="AB16" s="158" t="str">
        <f>IF(GCP_2[[#This Row],[Column8]]="x","1",(IF(OR(GCP_2[[#This Row],[Column25]]=2,GCP_2[[#This Row],[Column26]]=2,GCP_2[[#This Row],[Column27]]=2),"1",(IF(GCP_2[[#This Row],[Column9]]="x","2",(IF(GCP_2[[#This Row],[Column10]]="x","3","")))))))</f>
        <v>3</v>
      </c>
      <c r="AC16" s="454" t="str">
        <f>IF(GCP_2[[#This Row],[Column14]] = "-", GCP_2[[#This Row],[Column14]], LEFT(GCP_2[[#This Row],[Column14]], SEARCH(" ", GCP_2[[#This Row],[Column14]] &amp; " ") - 1))</f>
        <v>6.3.1</v>
      </c>
    </row>
    <row r="17" spans="1:29" ht="30">
      <c r="A17" s="221" t="s">
        <v>942</v>
      </c>
      <c r="B17" s="217" t="s">
        <v>162</v>
      </c>
      <c r="C17" s="217" t="s">
        <v>162</v>
      </c>
      <c r="D17" s="218" t="s">
        <v>162</v>
      </c>
      <c r="E17" s="218" t="s">
        <v>162</v>
      </c>
      <c r="F17" s="488" t="s">
        <v>2092</v>
      </c>
      <c r="G17" s="220" t="s">
        <v>387</v>
      </c>
      <c r="H17" s="218" t="s">
        <v>162</v>
      </c>
      <c r="I17" s="218" t="s">
        <v>162</v>
      </c>
      <c r="J17" s="218" t="s">
        <v>162</v>
      </c>
      <c r="K17" s="218" t="s">
        <v>162</v>
      </c>
      <c r="L17" s="218" t="s">
        <v>162</v>
      </c>
      <c r="M17" s="218" t="s">
        <v>162</v>
      </c>
      <c r="N17" s="260" t="s">
        <v>162</v>
      </c>
      <c r="O17" s="218" t="s">
        <v>162</v>
      </c>
      <c r="P17" s="218" t="s">
        <v>162</v>
      </c>
      <c r="Q17" s="218" t="s">
        <v>162</v>
      </c>
      <c r="R17" s="154"/>
      <c r="S17" s="218" t="s">
        <v>162</v>
      </c>
      <c r="T17" s="218" t="s">
        <v>162</v>
      </c>
      <c r="U17" s="217" t="s">
        <v>162</v>
      </c>
      <c r="V17" s="217" t="s">
        <v>162</v>
      </c>
      <c r="W17" s="217" t="s">
        <v>162</v>
      </c>
      <c r="X17" s="217" t="s">
        <v>162</v>
      </c>
      <c r="Y17" s="217" t="s">
        <v>162</v>
      </c>
      <c r="Z17" s="217" t="s">
        <v>162</v>
      </c>
      <c r="AA17" s="218" t="s">
        <v>162</v>
      </c>
      <c r="AB17" s="218" t="s">
        <v>162</v>
      </c>
      <c r="AC17" s="454" t="str">
        <f>IF(GCP_2[[#This Row],[Column14]] = "-", GCP_2[[#This Row],[Column14]], LEFT(GCP_2[[#This Row],[Column14]], SEARCH(" ", GCP_2[[#This Row],[Column14]] &amp; " ") - 1))</f>
        <v>-</v>
      </c>
    </row>
    <row r="18" spans="1:29" ht="75">
      <c r="A1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 s="137" t="str">
        <f>GCP_2[[#This Row],[Column30]]</f>
        <v>-</v>
      </c>
      <c r="C18" s="137">
        <v>3.1</v>
      </c>
      <c r="D18" s="138" t="s">
        <v>182</v>
      </c>
      <c r="E18" s="162" t="s">
        <v>154</v>
      </c>
      <c r="F18" s="489" t="s">
        <v>2093</v>
      </c>
      <c r="G18" s="138" t="s">
        <v>184</v>
      </c>
      <c r="H18" s="163" t="s">
        <v>185</v>
      </c>
      <c r="I18" s="164" t="s">
        <v>185</v>
      </c>
      <c r="J18" s="200" t="s">
        <v>185</v>
      </c>
      <c r="K18" s="176" t="s">
        <v>185</v>
      </c>
      <c r="L18" s="176" t="s">
        <v>185</v>
      </c>
      <c r="M18" s="176" t="s">
        <v>185</v>
      </c>
      <c r="N18" s="222" t="s">
        <v>162</v>
      </c>
      <c r="O18" s="222" t="s">
        <v>162</v>
      </c>
      <c r="P18" s="222" t="s">
        <v>162</v>
      </c>
      <c r="Q18" s="222" t="s">
        <v>162</v>
      </c>
      <c r="R18" s="451"/>
      <c r="S18" s="222" t="s">
        <v>162</v>
      </c>
      <c r="T18" s="222" t="s">
        <v>162</v>
      </c>
      <c r="U18" s="258" t="s">
        <v>162</v>
      </c>
      <c r="V18" s="168"/>
      <c r="W18" s="158" t="s">
        <v>967</v>
      </c>
      <c r="X18" s="158" t="s">
        <v>185</v>
      </c>
      <c r="Y18" s="158" t="s">
        <v>185</v>
      </c>
      <c r="Z18" s="158"/>
      <c r="AA18" s="158" t="str">
        <f>IF(GCP_2[[#This Row],[Column14]]="-","", "v")</f>
        <v/>
      </c>
      <c r="AB18" s="158" t="str">
        <f>IF(GCP_2[[#This Row],[Column8]]="x","1",(IF(OR(GCP_2[[#This Row],[Column25]]=2,GCP_2[[#This Row],[Column26]]=2,GCP_2[[#This Row],[Column27]]=2),"1",(IF(GCP_2[[#This Row],[Column9]]="x","2",(IF(GCP_2[[#This Row],[Column10]]="x","3","")))))))</f>
        <v>1</v>
      </c>
      <c r="AC18" s="454" t="str">
        <f>IF(GCP_2[[#This Row],[Column14]] = "-", GCP_2[[#This Row],[Column14]], LEFT(GCP_2[[#This Row],[Column14]], SEARCH(" ", GCP_2[[#This Row],[Column14]] &amp; " ") - 1))</f>
        <v>-</v>
      </c>
    </row>
    <row r="19" spans="1:29" ht="45">
      <c r="A1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 s="137" t="str">
        <f>GCP_2[[#This Row],[Column30]]</f>
        <v>-</v>
      </c>
      <c r="C19" s="137">
        <v>3.2</v>
      </c>
      <c r="D19" s="138" t="s">
        <v>182</v>
      </c>
      <c r="E19" s="162" t="s">
        <v>154</v>
      </c>
      <c r="F19" s="489" t="s">
        <v>2094</v>
      </c>
      <c r="G19" s="138" t="s">
        <v>194</v>
      </c>
      <c r="H19" s="163" t="s">
        <v>185</v>
      </c>
      <c r="I19" s="164" t="s">
        <v>185</v>
      </c>
      <c r="J19" s="200" t="s">
        <v>185</v>
      </c>
      <c r="K19" s="176" t="s">
        <v>185</v>
      </c>
      <c r="L19" s="176" t="s">
        <v>185</v>
      </c>
      <c r="M19" s="176" t="s">
        <v>185</v>
      </c>
      <c r="N19" s="222" t="s">
        <v>162</v>
      </c>
      <c r="O19" s="222" t="s">
        <v>162</v>
      </c>
      <c r="P19" s="222" t="s">
        <v>162</v>
      </c>
      <c r="Q19" s="222" t="s">
        <v>162</v>
      </c>
      <c r="R19" s="451"/>
      <c r="S19" s="222" t="s">
        <v>162</v>
      </c>
      <c r="T19" s="222" t="s">
        <v>162</v>
      </c>
      <c r="U19" s="258" t="s">
        <v>162</v>
      </c>
      <c r="V19" s="168"/>
      <c r="W19" s="158" t="s">
        <v>966</v>
      </c>
      <c r="X19" s="158" t="s">
        <v>185</v>
      </c>
      <c r="Y19" s="158" t="s">
        <v>185</v>
      </c>
      <c r="Z19" s="158"/>
      <c r="AA19" s="158" t="str">
        <f>IF(GCP_2[[#This Row],[Column14]]="-","", "v")</f>
        <v/>
      </c>
      <c r="AB19" s="158" t="str">
        <f>IF(GCP_2[[#This Row],[Column8]]="x","1",(IF(OR(GCP_2[[#This Row],[Column25]]=2,GCP_2[[#This Row],[Column26]]=2,GCP_2[[#This Row],[Column27]]=2),"1",(IF(GCP_2[[#This Row],[Column9]]="x","2",(IF(GCP_2[[#This Row],[Column10]]="x","3","")))))))</f>
        <v>1</v>
      </c>
      <c r="AC19" s="454" t="str">
        <f>IF(GCP_2[[#This Row],[Column14]] = "-", GCP_2[[#This Row],[Column14]], LEFT(GCP_2[[#This Row],[Column14]], SEARCH(" ", GCP_2[[#This Row],[Column14]] &amp; " ") - 1))</f>
        <v>-</v>
      </c>
    </row>
    <row r="20" spans="1:29" ht="409.5">
      <c r="A2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 s="137" t="str">
        <f>GCP_2[[#This Row],[Column30]]</f>
        <v>1.6</v>
      </c>
      <c r="C20" s="137">
        <v>3.3</v>
      </c>
      <c r="D20" s="138" t="s">
        <v>182</v>
      </c>
      <c r="E20" s="162" t="s">
        <v>156</v>
      </c>
      <c r="F20" s="489" t="s">
        <v>2095</v>
      </c>
      <c r="G20" s="138" t="s">
        <v>196</v>
      </c>
      <c r="H20" s="163" t="s">
        <v>185</v>
      </c>
      <c r="I20" s="164" t="s">
        <v>185</v>
      </c>
      <c r="J20" s="200" t="s">
        <v>185</v>
      </c>
      <c r="K20" s="176" t="s">
        <v>185</v>
      </c>
      <c r="L20" s="176" t="s">
        <v>185</v>
      </c>
      <c r="M20" s="176" t="s">
        <v>185</v>
      </c>
      <c r="N20" s="222" t="s">
        <v>1020</v>
      </c>
      <c r="O20" s="212">
        <v>1</v>
      </c>
      <c r="P20" s="214" t="s">
        <v>1021</v>
      </c>
      <c r="Q20" s="214" t="s">
        <v>1022</v>
      </c>
      <c r="R20" s="451" t="s">
        <v>1023</v>
      </c>
      <c r="S20" s="214" t="s">
        <v>1024</v>
      </c>
      <c r="T20" s="214" t="s">
        <v>1025</v>
      </c>
      <c r="U20" s="158" t="s">
        <v>975</v>
      </c>
      <c r="V20" s="168" t="s">
        <v>1528</v>
      </c>
      <c r="W20" s="158" t="s">
        <v>966</v>
      </c>
      <c r="X20" s="158" t="s">
        <v>185</v>
      </c>
      <c r="Y20" s="158" t="s">
        <v>185</v>
      </c>
      <c r="Z20" s="158"/>
      <c r="AA20" s="158" t="str">
        <f>IF(GCP_2[[#This Row],[Column14]]="-","", "v")</f>
        <v>v</v>
      </c>
      <c r="AB20" s="158" t="str">
        <f>IF(GCP_2[[#This Row],[Column8]]="x","1",(IF(OR(GCP_2[[#This Row],[Column25]]=2,GCP_2[[#This Row],[Column26]]=2,GCP_2[[#This Row],[Column27]]=2),"1",(IF(GCP_2[[#This Row],[Column9]]="x","2",(IF(GCP_2[[#This Row],[Column10]]="x","3","")))))))</f>
        <v>1</v>
      </c>
      <c r="AC20" s="454" t="str">
        <f>IF(GCP_2[[#This Row],[Column14]] = "-", GCP_2[[#This Row],[Column14]], LEFT(GCP_2[[#This Row],[Column14]], SEARCH(" ", GCP_2[[#This Row],[Column14]] &amp; " ") - 1))</f>
        <v>1.6</v>
      </c>
    </row>
    <row r="21" spans="1:29" ht="409.5">
      <c r="A2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 s="137" t="str">
        <f>GCP_2[[#This Row],[Column30]]</f>
        <v>1.8</v>
      </c>
      <c r="C21" s="137">
        <v>3.3</v>
      </c>
      <c r="D21" s="138" t="s">
        <v>182</v>
      </c>
      <c r="E21" s="162" t="s">
        <v>156</v>
      </c>
      <c r="F21" s="489" t="s">
        <v>2095</v>
      </c>
      <c r="G21" s="138" t="s">
        <v>196</v>
      </c>
      <c r="H21" s="163" t="s">
        <v>185</v>
      </c>
      <c r="I21" s="164" t="s">
        <v>185</v>
      </c>
      <c r="J21" s="200" t="s">
        <v>185</v>
      </c>
      <c r="K21" s="176" t="s">
        <v>185</v>
      </c>
      <c r="L21" s="176" t="s">
        <v>185</v>
      </c>
      <c r="M21" s="176" t="s">
        <v>185</v>
      </c>
      <c r="N21" s="222" t="s">
        <v>1026</v>
      </c>
      <c r="O21" s="212">
        <v>2</v>
      </c>
      <c r="P21" s="214" t="s">
        <v>1027</v>
      </c>
      <c r="Q21" s="214" t="s">
        <v>1028</v>
      </c>
      <c r="R21" s="451" t="s">
        <v>1029</v>
      </c>
      <c r="S21" s="214" t="s">
        <v>1030</v>
      </c>
      <c r="T21" s="214" t="s">
        <v>1031</v>
      </c>
      <c r="U21" s="158" t="s">
        <v>162</v>
      </c>
      <c r="V21" s="168" t="s">
        <v>1529</v>
      </c>
      <c r="W21" s="158" t="s">
        <v>967</v>
      </c>
      <c r="X21" s="158" t="s">
        <v>185</v>
      </c>
      <c r="Y21" s="158" t="s">
        <v>185</v>
      </c>
      <c r="Z21" s="158"/>
      <c r="AA21" s="158" t="str">
        <f>IF(GCP_2[[#This Row],[Column14]]="-","", "v")</f>
        <v>v</v>
      </c>
      <c r="AB21" s="158" t="str">
        <f>IF(GCP_2[[#This Row],[Column8]]="x","1",(IF(OR(GCP_2[[#This Row],[Column25]]=2,GCP_2[[#This Row],[Column26]]=2,GCP_2[[#This Row],[Column27]]=2),"1",(IF(GCP_2[[#This Row],[Column9]]="x","2",(IF(GCP_2[[#This Row],[Column10]]="x","3","")))))))</f>
        <v>1</v>
      </c>
      <c r="AC21" s="454" t="str">
        <f>IF(GCP_2[[#This Row],[Column14]] = "-", GCP_2[[#This Row],[Column14]], LEFT(GCP_2[[#This Row],[Column14]], SEARCH(" ", GCP_2[[#This Row],[Column14]] &amp; " ") - 1))</f>
        <v>1.8</v>
      </c>
    </row>
    <row r="22" spans="1:29" ht="409.5">
      <c r="A2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 s="137" t="str">
        <f>GCP_2[[#This Row],[Column30]]</f>
        <v>1.9</v>
      </c>
      <c r="C22" s="137">
        <v>3.3</v>
      </c>
      <c r="D22" s="138" t="s">
        <v>182</v>
      </c>
      <c r="E22" s="162" t="s">
        <v>156</v>
      </c>
      <c r="F22" s="489" t="s">
        <v>2095</v>
      </c>
      <c r="G22" s="138" t="s">
        <v>196</v>
      </c>
      <c r="H22" s="163" t="s">
        <v>185</v>
      </c>
      <c r="I22" s="164" t="s">
        <v>185</v>
      </c>
      <c r="J22" s="200" t="s">
        <v>185</v>
      </c>
      <c r="K22" s="176" t="s">
        <v>185</v>
      </c>
      <c r="L22" s="176" t="s">
        <v>185</v>
      </c>
      <c r="M22" s="176" t="s">
        <v>185</v>
      </c>
      <c r="N22" s="222" t="s">
        <v>1032</v>
      </c>
      <c r="O22" s="212">
        <v>1</v>
      </c>
      <c r="P22" s="214" t="s">
        <v>1033</v>
      </c>
      <c r="Q22" s="214" t="s">
        <v>1034</v>
      </c>
      <c r="R22" s="451" t="s">
        <v>1035</v>
      </c>
      <c r="S22" s="214" t="s">
        <v>1036</v>
      </c>
      <c r="T22" s="214" t="s">
        <v>1037</v>
      </c>
      <c r="U22" s="158" t="s">
        <v>162</v>
      </c>
      <c r="V22" s="168" t="s">
        <v>1531</v>
      </c>
      <c r="W22" s="158" t="s">
        <v>967</v>
      </c>
      <c r="X22" s="158" t="s">
        <v>185</v>
      </c>
      <c r="Y22" s="158" t="s">
        <v>185</v>
      </c>
      <c r="Z22" s="158"/>
      <c r="AA22" s="158" t="str">
        <f>IF(GCP_2[[#This Row],[Column14]]="-","", "v")</f>
        <v>v</v>
      </c>
      <c r="AB22" s="158" t="str">
        <f>IF(GCP_2[[#This Row],[Column8]]="x","1",(IF(OR(GCP_2[[#This Row],[Column25]]=2,GCP_2[[#This Row],[Column26]]=2,GCP_2[[#This Row],[Column27]]=2),"1",(IF(GCP_2[[#This Row],[Column9]]="x","2",(IF(GCP_2[[#This Row],[Column10]]="x","3","")))))))</f>
        <v>1</v>
      </c>
      <c r="AC22" s="454" t="str">
        <f>IF(GCP_2[[#This Row],[Column14]] = "-", GCP_2[[#This Row],[Column14]], LEFT(GCP_2[[#This Row],[Column14]], SEARCH(" ", GCP_2[[#This Row],[Column14]] &amp; " ") - 1))</f>
        <v>1.9</v>
      </c>
    </row>
    <row r="23" spans="1:29" ht="409.5">
      <c r="A2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3" s="137" t="str">
        <f>GCP_2[[#This Row],[Column30]]</f>
        <v>1.11</v>
      </c>
      <c r="C23" s="137">
        <v>3.3</v>
      </c>
      <c r="D23" s="138" t="s">
        <v>182</v>
      </c>
      <c r="E23" s="162" t="s">
        <v>156</v>
      </c>
      <c r="F23" s="489" t="s">
        <v>2095</v>
      </c>
      <c r="G23" s="138" t="s">
        <v>196</v>
      </c>
      <c r="H23" s="163" t="s">
        <v>185</v>
      </c>
      <c r="I23" s="164" t="s">
        <v>185</v>
      </c>
      <c r="J23" s="200" t="s">
        <v>185</v>
      </c>
      <c r="K23" s="176" t="s">
        <v>185</v>
      </c>
      <c r="L23" s="176" t="s">
        <v>185</v>
      </c>
      <c r="M23" s="176" t="s">
        <v>185</v>
      </c>
      <c r="N23" s="222" t="s">
        <v>1038</v>
      </c>
      <c r="O23" s="212">
        <v>2</v>
      </c>
      <c r="P23" s="214" t="s">
        <v>1039</v>
      </c>
      <c r="Q23" s="214" t="s">
        <v>1040</v>
      </c>
      <c r="R23" s="451" t="s">
        <v>1041</v>
      </c>
      <c r="S23" s="214" t="s">
        <v>1042</v>
      </c>
      <c r="T23" s="214" t="s">
        <v>1043</v>
      </c>
      <c r="U23" s="158" t="s">
        <v>162</v>
      </c>
      <c r="V23" s="168" t="s">
        <v>1529</v>
      </c>
      <c r="W23" s="158" t="s">
        <v>967</v>
      </c>
      <c r="X23" s="158" t="s">
        <v>185</v>
      </c>
      <c r="Y23" s="158" t="s">
        <v>185</v>
      </c>
      <c r="Z23" s="158"/>
      <c r="AA23" s="158" t="str">
        <f>IF(GCP_2[[#This Row],[Column14]]="-","", "v")</f>
        <v>v</v>
      </c>
      <c r="AB23" s="158" t="str">
        <f>IF(GCP_2[[#This Row],[Column8]]="x","1",(IF(OR(GCP_2[[#This Row],[Column25]]=2,GCP_2[[#This Row],[Column26]]=2,GCP_2[[#This Row],[Column27]]=2),"1",(IF(GCP_2[[#This Row],[Column9]]="x","2",(IF(GCP_2[[#This Row],[Column10]]="x","3","")))))))</f>
        <v>1</v>
      </c>
      <c r="AC23" s="454" t="str">
        <f>IF(GCP_2[[#This Row],[Column14]] = "-", GCP_2[[#This Row],[Column14]], LEFT(GCP_2[[#This Row],[Column14]], SEARCH(" ", GCP_2[[#This Row],[Column14]] &amp; " ") - 1))</f>
        <v>1.11</v>
      </c>
    </row>
    <row r="24" spans="1:29" ht="409.5">
      <c r="A2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4" s="137" t="str">
        <f>GCP_2[[#This Row],[Column30]]</f>
        <v>2.3</v>
      </c>
      <c r="C24" s="137">
        <v>3.3</v>
      </c>
      <c r="D24" s="138" t="s">
        <v>182</v>
      </c>
      <c r="E24" s="162" t="s">
        <v>156</v>
      </c>
      <c r="F24" s="489" t="s">
        <v>2095</v>
      </c>
      <c r="G24" s="138" t="s">
        <v>196</v>
      </c>
      <c r="H24" s="163" t="s">
        <v>185</v>
      </c>
      <c r="I24" s="164" t="s">
        <v>185</v>
      </c>
      <c r="J24" s="200" t="s">
        <v>185</v>
      </c>
      <c r="K24" s="176" t="s">
        <v>185</v>
      </c>
      <c r="L24" s="176" t="s">
        <v>185</v>
      </c>
      <c r="M24" s="176" t="s">
        <v>185</v>
      </c>
      <c r="N24" s="222" t="s">
        <v>1044</v>
      </c>
      <c r="O24" s="212">
        <v>2</v>
      </c>
      <c r="P24" s="214" t="s">
        <v>1045</v>
      </c>
      <c r="Q24" s="214" t="s">
        <v>1046</v>
      </c>
      <c r="R24" s="451" t="s">
        <v>1047</v>
      </c>
      <c r="S24" s="214" t="s">
        <v>1048</v>
      </c>
      <c r="T24" s="214" t="s">
        <v>1049</v>
      </c>
      <c r="U24" s="158" t="s">
        <v>162</v>
      </c>
      <c r="V24" s="168" t="s">
        <v>1532</v>
      </c>
      <c r="W24" s="158" t="s">
        <v>967</v>
      </c>
      <c r="X24" s="158" t="s">
        <v>185</v>
      </c>
      <c r="Y24" s="158" t="s">
        <v>185</v>
      </c>
      <c r="Z24" s="158"/>
      <c r="AA24" s="158" t="str">
        <f>IF(GCP_2[[#This Row],[Column14]]="-","", "v")</f>
        <v>v</v>
      </c>
      <c r="AB24" s="158" t="str">
        <f>IF(GCP_2[[#This Row],[Column8]]="x","1",(IF(OR(GCP_2[[#This Row],[Column25]]=2,GCP_2[[#This Row],[Column26]]=2,GCP_2[[#This Row],[Column27]]=2),"1",(IF(GCP_2[[#This Row],[Column9]]="x","2",(IF(GCP_2[[#This Row],[Column10]]="x","3","")))))))</f>
        <v>1</v>
      </c>
      <c r="AC24" s="454" t="str">
        <f>IF(GCP_2[[#This Row],[Column14]] = "-", GCP_2[[#This Row],[Column14]], LEFT(GCP_2[[#This Row],[Column14]], SEARCH(" ", GCP_2[[#This Row],[Column14]] &amp; " ") - 1))</f>
        <v>2.3</v>
      </c>
    </row>
    <row r="25" spans="1:29" ht="409.5">
      <c r="A2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5" s="137" t="str">
        <f>GCP_2[[#This Row],[Column30]]</f>
        <v>2.15</v>
      </c>
      <c r="C25" s="137">
        <v>3.3</v>
      </c>
      <c r="D25" s="138" t="s">
        <v>182</v>
      </c>
      <c r="E25" s="162" t="s">
        <v>156</v>
      </c>
      <c r="F25" s="489" t="s">
        <v>2095</v>
      </c>
      <c r="G25" s="138" t="s">
        <v>196</v>
      </c>
      <c r="H25" s="163" t="s">
        <v>185</v>
      </c>
      <c r="I25" s="164" t="s">
        <v>185</v>
      </c>
      <c r="J25" s="200" t="s">
        <v>185</v>
      </c>
      <c r="K25" s="176" t="s">
        <v>185</v>
      </c>
      <c r="L25" s="176" t="s">
        <v>185</v>
      </c>
      <c r="M25" s="176" t="s">
        <v>185</v>
      </c>
      <c r="N25" s="222" t="s">
        <v>1050</v>
      </c>
      <c r="O25" s="212">
        <v>2</v>
      </c>
      <c r="P25" s="214" t="s">
        <v>1051</v>
      </c>
      <c r="Q25" s="214" t="s">
        <v>1052</v>
      </c>
      <c r="R25" s="451" t="s">
        <v>1053</v>
      </c>
      <c r="S25" s="214" t="s">
        <v>1054</v>
      </c>
      <c r="T25" s="214" t="s">
        <v>1055</v>
      </c>
      <c r="U25" s="158" t="s">
        <v>162</v>
      </c>
      <c r="V25" s="168" t="s">
        <v>1533</v>
      </c>
      <c r="W25" s="158" t="s">
        <v>967</v>
      </c>
      <c r="X25" s="158" t="s">
        <v>185</v>
      </c>
      <c r="Y25" s="158" t="s">
        <v>185</v>
      </c>
      <c r="Z25" s="158"/>
      <c r="AA25" s="158" t="str">
        <f>IF(GCP_2[[#This Row],[Column14]]="-","", "v")</f>
        <v>v</v>
      </c>
      <c r="AB25" s="158" t="str">
        <f>IF(GCP_2[[#This Row],[Column8]]="x","1",(IF(OR(GCP_2[[#This Row],[Column25]]=2,GCP_2[[#This Row],[Column26]]=2,GCP_2[[#This Row],[Column27]]=2),"1",(IF(GCP_2[[#This Row],[Column9]]="x","2",(IF(GCP_2[[#This Row],[Column10]]="x","3","")))))))</f>
        <v>1</v>
      </c>
      <c r="AC25" s="454" t="str">
        <f>IF(GCP_2[[#This Row],[Column14]] = "-", GCP_2[[#This Row],[Column14]], LEFT(GCP_2[[#This Row],[Column14]], SEARCH(" ", GCP_2[[#This Row],[Column14]] &amp; " ") - 1))</f>
        <v>2.15</v>
      </c>
    </row>
    <row r="26" spans="1:29" ht="409.5">
      <c r="A2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6" s="137" t="str">
        <f>GCP_2[[#This Row],[Column30]]</f>
        <v>4.9</v>
      </c>
      <c r="C26" s="137">
        <v>3.3</v>
      </c>
      <c r="D26" s="138" t="s">
        <v>182</v>
      </c>
      <c r="E26" s="162" t="s">
        <v>156</v>
      </c>
      <c r="F26" s="489" t="s">
        <v>2095</v>
      </c>
      <c r="G26" s="138" t="s">
        <v>196</v>
      </c>
      <c r="H26" s="163" t="s">
        <v>185</v>
      </c>
      <c r="I26" s="164" t="s">
        <v>185</v>
      </c>
      <c r="J26" s="200" t="s">
        <v>185</v>
      </c>
      <c r="K26" s="176" t="s">
        <v>185</v>
      </c>
      <c r="L26" s="176" t="s">
        <v>185</v>
      </c>
      <c r="M26" s="176" t="s">
        <v>185</v>
      </c>
      <c r="N26" s="222" t="s">
        <v>1056</v>
      </c>
      <c r="O26" s="212">
        <v>2</v>
      </c>
      <c r="P26" s="214" t="s">
        <v>1057</v>
      </c>
      <c r="Q26" s="214" t="s">
        <v>1058</v>
      </c>
      <c r="R26" s="451" t="s">
        <v>1059</v>
      </c>
      <c r="S26" s="214" t="s">
        <v>1060</v>
      </c>
      <c r="T26" s="214" t="s">
        <v>1061</v>
      </c>
      <c r="U26" s="158" t="s">
        <v>975</v>
      </c>
      <c r="V26" s="168" t="s">
        <v>1528</v>
      </c>
      <c r="W26" s="158" t="s">
        <v>966</v>
      </c>
      <c r="X26" s="158" t="s">
        <v>185</v>
      </c>
      <c r="Y26" s="158" t="s">
        <v>185</v>
      </c>
      <c r="Z26" s="158"/>
      <c r="AA26" s="158" t="str">
        <f>IF(GCP_2[[#This Row],[Column14]]="-","", "v")</f>
        <v>v</v>
      </c>
      <c r="AB26" s="158" t="str">
        <f>IF(GCP_2[[#This Row],[Column8]]="x","1",(IF(OR(GCP_2[[#This Row],[Column25]]=2,GCP_2[[#This Row],[Column26]]=2,GCP_2[[#This Row],[Column27]]=2),"1",(IF(GCP_2[[#This Row],[Column9]]="x","2",(IF(GCP_2[[#This Row],[Column10]]="x","3","")))))))</f>
        <v>1</v>
      </c>
      <c r="AC26" s="454" t="str">
        <f>IF(GCP_2[[#This Row],[Column14]] = "-", GCP_2[[#This Row],[Column14]], LEFT(GCP_2[[#This Row],[Column14]], SEARCH(" ", GCP_2[[#This Row],[Column14]] &amp; " ") - 1))</f>
        <v>4.9</v>
      </c>
    </row>
    <row r="27" spans="1:29" ht="370.5">
      <c r="A2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7" s="137" t="str">
        <f>GCP_2[[#This Row],[Column30]]</f>
        <v>5.1</v>
      </c>
      <c r="C27" s="137">
        <v>3.3</v>
      </c>
      <c r="D27" s="138" t="s">
        <v>182</v>
      </c>
      <c r="E27" s="162" t="s">
        <v>156</v>
      </c>
      <c r="F27" s="489" t="s">
        <v>2095</v>
      </c>
      <c r="G27" s="138" t="s">
        <v>196</v>
      </c>
      <c r="H27" s="163" t="s">
        <v>185</v>
      </c>
      <c r="I27" s="164" t="s">
        <v>185</v>
      </c>
      <c r="J27" s="200" t="s">
        <v>185</v>
      </c>
      <c r="K27" s="176" t="s">
        <v>185</v>
      </c>
      <c r="L27" s="176" t="s">
        <v>185</v>
      </c>
      <c r="M27" s="176" t="s">
        <v>185</v>
      </c>
      <c r="N27" s="222" t="s">
        <v>1062</v>
      </c>
      <c r="O27" s="212">
        <v>1</v>
      </c>
      <c r="P27" s="214" t="s">
        <v>1063</v>
      </c>
      <c r="Q27" s="214" t="s">
        <v>1064</v>
      </c>
      <c r="R27" s="451" t="s">
        <v>1065</v>
      </c>
      <c r="S27" s="214" t="s">
        <v>1066</v>
      </c>
      <c r="T27" s="214" t="s">
        <v>1067</v>
      </c>
      <c r="U27" s="158" t="s">
        <v>975</v>
      </c>
      <c r="V27" s="168" t="s">
        <v>1528</v>
      </c>
      <c r="W27" s="158" t="s">
        <v>966</v>
      </c>
      <c r="X27" s="158" t="s">
        <v>185</v>
      </c>
      <c r="Y27" s="158" t="s">
        <v>185</v>
      </c>
      <c r="Z27" s="158"/>
      <c r="AA27" s="158" t="str">
        <f>IF(GCP_2[[#This Row],[Column14]]="-","", "v")</f>
        <v>v</v>
      </c>
      <c r="AB27" s="158" t="str">
        <f>IF(GCP_2[[#This Row],[Column8]]="x","1",(IF(OR(GCP_2[[#This Row],[Column25]]=2,GCP_2[[#This Row],[Column26]]=2,GCP_2[[#This Row],[Column27]]=2),"1",(IF(GCP_2[[#This Row],[Column9]]="x","2",(IF(GCP_2[[#This Row],[Column10]]="x","3","")))))))</f>
        <v>1</v>
      </c>
      <c r="AC27" s="454" t="str">
        <f>IF(GCP_2[[#This Row],[Column14]] = "-", GCP_2[[#This Row],[Column14]], LEFT(GCP_2[[#This Row],[Column14]], SEARCH(" ", GCP_2[[#This Row],[Column14]] &amp; " ") - 1))</f>
        <v>5.1</v>
      </c>
    </row>
    <row r="28" spans="1:29" ht="409.5">
      <c r="A2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8" s="137" t="str">
        <f>GCP_2[[#This Row],[Column30]]</f>
        <v>5.2</v>
      </c>
      <c r="C28" s="137">
        <v>3.3</v>
      </c>
      <c r="D28" s="138" t="s">
        <v>182</v>
      </c>
      <c r="E28" s="162" t="s">
        <v>156</v>
      </c>
      <c r="F28" s="489" t="s">
        <v>2095</v>
      </c>
      <c r="G28" s="138" t="s">
        <v>196</v>
      </c>
      <c r="H28" s="163" t="s">
        <v>185</v>
      </c>
      <c r="I28" s="164" t="s">
        <v>185</v>
      </c>
      <c r="J28" s="200" t="s">
        <v>185</v>
      </c>
      <c r="K28" s="176" t="s">
        <v>185</v>
      </c>
      <c r="L28" s="176" t="s">
        <v>185</v>
      </c>
      <c r="M28" s="176" t="s">
        <v>185</v>
      </c>
      <c r="N28" s="222" t="s">
        <v>1068</v>
      </c>
      <c r="O28" s="212">
        <v>2</v>
      </c>
      <c r="P28" s="214" t="s">
        <v>1069</v>
      </c>
      <c r="Q28" s="214" t="s">
        <v>1070</v>
      </c>
      <c r="R28" s="451" t="s">
        <v>1071</v>
      </c>
      <c r="S28" s="214" t="s">
        <v>1072</v>
      </c>
      <c r="T28" s="214" t="s">
        <v>1073</v>
      </c>
      <c r="U28" s="158" t="s">
        <v>975</v>
      </c>
      <c r="V28" s="168" t="s">
        <v>1534</v>
      </c>
      <c r="W28" s="158" t="s">
        <v>966</v>
      </c>
      <c r="X28" s="158" t="s">
        <v>185</v>
      </c>
      <c r="Y28" s="158" t="s">
        <v>185</v>
      </c>
      <c r="Z28" s="158"/>
      <c r="AA28" s="158" t="str">
        <f>IF(GCP_2[[#This Row],[Column14]]="-","", "v")</f>
        <v>v</v>
      </c>
      <c r="AB28" s="158" t="str">
        <f>IF(GCP_2[[#This Row],[Column8]]="x","1",(IF(OR(GCP_2[[#This Row],[Column25]]=2,GCP_2[[#This Row],[Column26]]=2,GCP_2[[#This Row],[Column27]]=2),"1",(IF(GCP_2[[#This Row],[Column9]]="x","2",(IF(GCP_2[[#This Row],[Column10]]="x","3","")))))))</f>
        <v>1</v>
      </c>
      <c r="AC28" s="454" t="str">
        <f>IF(GCP_2[[#This Row],[Column14]] = "-", GCP_2[[#This Row],[Column14]], LEFT(GCP_2[[#This Row],[Column14]], SEARCH(" ", GCP_2[[#This Row],[Column14]] &amp; " ") - 1))</f>
        <v>5.2</v>
      </c>
    </row>
    <row r="29" spans="1:29" ht="409.5">
      <c r="A2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9" s="137" t="str">
        <f>GCP_2[[#This Row],[Column30]]</f>
        <v>6.1.2</v>
      </c>
      <c r="C29" s="137">
        <v>3.3</v>
      </c>
      <c r="D29" s="138" t="s">
        <v>182</v>
      </c>
      <c r="E29" s="162" t="s">
        <v>156</v>
      </c>
      <c r="F29" s="489" t="s">
        <v>2095</v>
      </c>
      <c r="G29" s="138" t="s">
        <v>196</v>
      </c>
      <c r="H29" s="163" t="s">
        <v>185</v>
      </c>
      <c r="I29" s="164" t="s">
        <v>185</v>
      </c>
      <c r="J29" s="200" t="s">
        <v>185</v>
      </c>
      <c r="K29" s="176" t="s">
        <v>185</v>
      </c>
      <c r="L29" s="176" t="s">
        <v>185</v>
      </c>
      <c r="M29" s="176" t="s">
        <v>185</v>
      </c>
      <c r="N29" s="222" t="s">
        <v>1074</v>
      </c>
      <c r="O29" s="212">
        <v>1</v>
      </c>
      <c r="P29" s="214" t="s">
        <v>1075</v>
      </c>
      <c r="Q29" s="456" t="s">
        <v>1076</v>
      </c>
      <c r="R29" s="451" t="s">
        <v>1077</v>
      </c>
      <c r="S29" s="214" t="s">
        <v>1078</v>
      </c>
      <c r="T29" s="214" t="s">
        <v>1079</v>
      </c>
      <c r="U29" s="158" t="s">
        <v>162</v>
      </c>
      <c r="V29" s="168" t="s">
        <v>1535</v>
      </c>
      <c r="W29" s="158" t="s">
        <v>967</v>
      </c>
      <c r="X29" s="158" t="s">
        <v>185</v>
      </c>
      <c r="Y29" s="158" t="s">
        <v>185</v>
      </c>
      <c r="Z29" s="158"/>
      <c r="AA29" s="158" t="str">
        <f>IF(GCP_2[[#This Row],[Column14]]="-","", "v")</f>
        <v>v</v>
      </c>
      <c r="AB29" s="158" t="str">
        <f>IF(GCP_2[[#This Row],[Column8]]="x","1",(IF(OR(GCP_2[[#This Row],[Column25]]=2,GCP_2[[#This Row],[Column26]]=2,GCP_2[[#This Row],[Column27]]=2),"1",(IF(GCP_2[[#This Row],[Column9]]="x","2",(IF(GCP_2[[#This Row],[Column10]]="x","3","")))))))</f>
        <v>1</v>
      </c>
      <c r="AC29" s="454" t="str">
        <f>IF(GCP_2[[#This Row],[Column14]] = "-", GCP_2[[#This Row],[Column14]], LEFT(GCP_2[[#This Row],[Column14]], SEARCH(" ", GCP_2[[#This Row],[Column14]] &amp; " ") - 1))</f>
        <v>6.1.2</v>
      </c>
    </row>
    <row r="30" spans="1:29" ht="409.5">
      <c r="A3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0" s="137" t="str">
        <f>GCP_2[[#This Row],[Column30]]</f>
        <v>6.3.2</v>
      </c>
      <c r="C30" s="137">
        <v>3.3</v>
      </c>
      <c r="D30" s="138" t="s">
        <v>182</v>
      </c>
      <c r="E30" s="162" t="s">
        <v>156</v>
      </c>
      <c r="F30" s="489" t="s">
        <v>2095</v>
      </c>
      <c r="G30" s="138" t="s">
        <v>196</v>
      </c>
      <c r="H30" s="163" t="s">
        <v>185</v>
      </c>
      <c r="I30" s="164" t="s">
        <v>185</v>
      </c>
      <c r="J30" s="200" t="s">
        <v>185</v>
      </c>
      <c r="K30" s="176" t="s">
        <v>185</v>
      </c>
      <c r="L30" s="176" t="s">
        <v>185</v>
      </c>
      <c r="M30" s="176" t="s">
        <v>185</v>
      </c>
      <c r="N30" s="222" t="s">
        <v>1080</v>
      </c>
      <c r="O30" s="212">
        <v>1</v>
      </c>
      <c r="P30" s="214" t="s">
        <v>1081</v>
      </c>
      <c r="Q30" s="214" t="s">
        <v>1082</v>
      </c>
      <c r="R30" s="451" t="s">
        <v>1083</v>
      </c>
      <c r="S30" s="214" t="s">
        <v>1084</v>
      </c>
      <c r="T30" s="214" t="s">
        <v>1085</v>
      </c>
      <c r="U30" s="158" t="s">
        <v>162</v>
      </c>
      <c r="V30" s="168" t="s">
        <v>1535</v>
      </c>
      <c r="W30" s="158" t="s">
        <v>967</v>
      </c>
      <c r="X30" s="158" t="s">
        <v>185</v>
      </c>
      <c r="Y30" s="158" t="s">
        <v>185</v>
      </c>
      <c r="Z30" s="158"/>
      <c r="AA30" s="158" t="str">
        <f>IF(GCP_2[[#This Row],[Column14]]="-","", "v")</f>
        <v>v</v>
      </c>
      <c r="AB30" s="158" t="str">
        <f>IF(GCP_2[[#This Row],[Column8]]="x","1",(IF(OR(GCP_2[[#This Row],[Column25]]=2,GCP_2[[#This Row],[Column26]]=2,GCP_2[[#This Row],[Column27]]=2),"1",(IF(GCP_2[[#This Row],[Column9]]="x","2",(IF(GCP_2[[#This Row],[Column10]]="x","3","")))))))</f>
        <v>1</v>
      </c>
      <c r="AC30" s="454" t="str">
        <f>IF(GCP_2[[#This Row],[Column14]] = "-", GCP_2[[#This Row],[Column14]], LEFT(GCP_2[[#This Row],[Column14]], SEARCH(" ", GCP_2[[#This Row],[Column14]] &amp; " ") - 1))</f>
        <v>6.3.2</v>
      </c>
    </row>
    <row r="31" spans="1:29" ht="409.5">
      <c r="A3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1" s="137" t="str">
        <f>GCP_2[[#This Row],[Column30]]</f>
        <v>6.3.7</v>
      </c>
      <c r="C31" s="137">
        <v>3.3</v>
      </c>
      <c r="D31" s="138" t="s">
        <v>182</v>
      </c>
      <c r="E31" s="162" t="s">
        <v>156</v>
      </c>
      <c r="F31" s="489" t="s">
        <v>2095</v>
      </c>
      <c r="G31" s="138" t="s">
        <v>196</v>
      </c>
      <c r="H31" s="163" t="s">
        <v>185</v>
      </c>
      <c r="I31" s="164" t="s">
        <v>185</v>
      </c>
      <c r="J31" s="200" t="s">
        <v>185</v>
      </c>
      <c r="K31" s="176" t="s">
        <v>185</v>
      </c>
      <c r="L31" s="176" t="s">
        <v>185</v>
      </c>
      <c r="M31" s="176" t="s">
        <v>185</v>
      </c>
      <c r="N31" s="222" t="s">
        <v>1086</v>
      </c>
      <c r="O31" s="212">
        <v>1</v>
      </c>
      <c r="P31" s="214" t="s">
        <v>1087</v>
      </c>
      <c r="Q31" s="457" t="s">
        <v>1088</v>
      </c>
      <c r="R31" s="451" t="s">
        <v>1089</v>
      </c>
      <c r="S31" s="214" t="s">
        <v>1090</v>
      </c>
      <c r="T31" s="214" t="s">
        <v>1091</v>
      </c>
      <c r="U31" s="158" t="s">
        <v>162</v>
      </c>
      <c r="V31" s="168" t="s">
        <v>1535</v>
      </c>
      <c r="W31" s="158" t="s">
        <v>967</v>
      </c>
      <c r="X31" s="158" t="s">
        <v>185</v>
      </c>
      <c r="Y31" s="158" t="s">
        <v>185</v>
      </c>
      <c r="Z31" s="158"/>
      <c r="AA31" s="158" t="str">
        <f>IF(GCP_2[[#This Row],[Column14]]="-","", "v")</f>
        <v>v</v>
      </c>
      <c r="AB31" s="158" t="str">
        <f>IF(GCP_2[[#This Row],[Column8]]="x","1",(IF(OR(GCP_2[[#This Row],[Column25]]=2,GCP_2[[#This Row],[Column26]]=2,GCP_2[[#This Row],[Column27]]=2),"1",(IF(GCP_2[[#This Row],[Column9]]="x","2",(IF(GCP_2[[#This Row],[Column10]]="x","3","")))))))</f>
        <v>1</v>
      </c>
      <c r="AC31" s="454" t="str">
        <f>IF(GCP_2[[#This Row],[Column14]] = "-", GCP_2[[#This Row],[Column14]], LEFT(GCP_2[[#This Row],[Column14]], SEARCH(" ", GCP_2[[#This Row],[Column14]] &amp; " ") - 1))</f>
        <v>6.3.7</v>
      </c>
    </row>
    <row r="32" spans="1:29" ht="409.5">
      <c r="A3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2" s="137" t="str">
        <f>GCP_2[[#This Row],[Column30]]</f>
        <v>6.5</v>
      </c>
      <c r="C32" s="137">
        <v>3.3</v>
      </c>
      <c r="D32" s="138" t="s">
        <v>182</v>
      </c>
      <c r="E32" s="162" t="s">
        <v>156</v>
      </c>
      <c r="F32" s="489" t="s">
        <v>2095</v>
      </c>
      <c r="G32" s="138" t="s">
        <v>196</v>
      </c>
      <c r="H32" s="163" t="s">
        <v>185</v>
      </c>
      <c r="I32" s="164" t="s">
        <v>185</v>
      </c>
      <c r="J32" s="200" t="s">
        <v>185</v>
      </c>
      <c r="K32" s="176" t="s">
        <v>185</v>
      </c>
      <c r="L32" s="176" t="s">
        <v>185</v>
      </c>
      <c r="M32" s="176" t="s">
        <v>185</v>
      </c>
      <c r="N32" s="222" t="s">
        <v>1092</v>
      </c>
      <c r="O32" s="212">
        <v>1</v>
      </c>
      <c r="P32" s="214" t="s">
        <v>1093</v>
      </c>
      <c r="Q32" s="457" t="s">
        <v>1094</v>
      </c>
      <c r="R32" s="451" t="s">
        <v>1095</v>
      </c>
      <c r="S32" s="214" t="s">
        <v>1096</v>
      </c>
      <c r="T32" s="214" t="s">
        <v>1097</v>
      </c>
      <c r="U32" s="158" t="s">
        <v>975</v>
      </c>
      <c r="V32" s="168" t="s">
        <v>1536</v>
      </c>
      <c r="W32" s="158" t="s">
        <v>967</v>
      </c>
      <c r="X32" s="158" t="s">
        <v>185</v>
      </c>
      <c r="Y32" s="158" t="s">
        <v>185</v>
      </c>
      <c r="Z32" s="158"/>
      <c r="AA32" s="158" t="str">
        <f>IF(GCP_2[[#This Row],[Column14]]="-","", "v")</f>
        <v>v</v>
      </c>
      <c r="AB32" s="158" t="str">
        <f>IF(GCP_2[[#This Row],[Column8]]="x","1",(IF(OR(GCP_2[[#This Row],[Column25]]=2,GCP_2[[#This Row],[Column26]]=2,GCP_2[[#This Row],[Column27]]=2),"1",(IF(GCP_2[[#This Row],[Column9]]="x","2",(IF(GCP_2[[#This Row],[Column10]]="x","3","")))))))</f>
        <v>1</v>
      </c>
      <c r="AC32" s="454" t="str">
        <f>IF(GCP_2[[#This Row],[Column14]] = "-", GCP_2[[#This Row],[Column14]], LEFT(GCP_2[[#This Row],[Column14]], SEARCH(" ", GCP_2[[#This Row],[Column14]] &amp; " ") - 1))</f>
        <v>6.5</v>
      </c>
    </row>
    <row r="33" spans="1:29" ht="409.5">
      <c r="A3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3" s="137" t="str">
        <f>GCP_2[[#This Row],[Column30]]</f>
        <v>6.6</v>
      </c>
      <c r="C33" s="137">
        <v>3.3</v>
      </c>
      <c r="D33" s="138" t="s">
        <v>182</v>
      </c>
      <c r="E33" s="162" t="s">
        <v>156</v>
      </c>
      <c r="F33" s="489" t="s">
        <v>2095</v>
      </c>
      <c r="G33" s="138" t="s">
        <v>196</v>
      </c>
      <c r="H33" s="163" t="s">
        <v>185</v>
      </c>
      <c r="I33" s="164" t="s">
        <v>185</v>
      </c>
      <c r="J33" s="200" t="s">
        <v>185</v>
      </c>
      <c r="K33" s="176" t="s">
        <v>185</v>
      </c>
      <c r="L33" s="176" t="s">
        <v>185</v>
      </c>
      <c r="M33" s="176" t="s">
        <v>185</v>
      </c>
      <c r="N33" s="222" t="s">
        <v>1098</v>
      </c>
      <c r="O33" s="212">
        <v>2</v>
      </c>
      <c r="P33" s="214" t="s">
        <v>1099</v>
      </c>
      <c r="Q33" s="457" t="s">
        <v>1100</v>
      </c>
      <c r="R33" s="451" t="s">
        <v>1101</v>
      </c>
      <c r="S33" s="214" t="s">
        <v>1102</v>
      </c>
      <c r="T33" s="214" t="s">
        <v>1103</v>
      </c>
      <c r="U33" s="158" t="s">
        <v>975</v>
      </c>
      <c r="V33" s="168" t="s">
        <v>1536</v>
      </c>
      <c r="W33" s="158" t="s">
        <v>967</v>
      </c>
      <c r="X33" s="158" t="s">
        <v>185</v>
      </c>
      <c r="Y33" s="158" t="s">
        <v>185</v>
      </c>
      <c r="Z33" s="158"/>
      <c r="AA33" s="158" t="str">
        <f>IF(GCP_2[[#This Row],[Column14]]="-","", "v")</f>
        <v>v</v>
      </c>
      <c r="AB33" s="158" t="str">
        <f>IF(GCP_2[[#This Row],[Column8]]="x","1",(IF(OR(GCP_2[[#This Row],[Column25]]=2,GCP_2[[#This Row],[Column26]]=2,GCP_2[[#This Row],[Column27]]=2),"1",(IF(GCP_2[[#This Row],[Column9]]="x","2",(IF(GCP_2[[#This Row],[Column10]]="x","3","")))))))</f>
        <v>1</v>
      </c>
      <c r="AC33" s="454" t="str">
        <f>IF(GCP_2[[#This Row],[Column14]] = "-", GCP_2[[#This Row],[Column14]], LEFT(GCP_2[[#This Row],[Column14]], SEARCH(" ", GCP_2[[#This Row],[Column14]] &amp; " ") - 1))</f>
        <v>6.6</v>
      </c>
    </row>
    <row r="34" spans="1:29" ht="409.5">
      <c r="A3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4" s="137" t="str">
        <f>GCP_2[[#This Row],[Column30]]</f>
        <v>7.1</v>
      </c>
      <c r="C34" s="137">
        <v>3.3</v>
      </c>
      <c r="D34" s="138" t="s">
        <v>182</v>
      </c>
      <c r="E34" s="162" t="s">
        <v>156</v>
      </c>
      <c r="F34" s="489" t="s">
        <v>2095</v>
      </c>
      <c r="G34" s="138" t="s">
        <v>196</v>
      </c>
      <c r="H34" s="163" t="s">
        <v>185</v>
      </c>
      <c r="I34" s="164" t="s">
        <v>185</v>
      </c>
      <c r="J34" s="200" t="s">
        <v>185</v>
      </c>
      <c r="K34" s="176" t="s">
        <v>185</v>
      </c>
      <c r="L34" s="176" t="s">
        <v>185</v>
      </c>
      <c r="M34" s="176" t="s">
        <v>185</v>
      </c>
      <c r="N34" s="222" t="s">
        <v>1104</v>
      </c>
      <c r="O34" s="212">
        <v>1</v>
      </c>
      <c r="P34" s="214" t="s">
        <v>1105</v>
      </c>
      <c r="Q34" s="457" t="s">
        <v>1106</v>
      </c>
      <c r="R34" s="451" t="s">
        <v>1107</v>
      </c>
      <c r="S34" s="214" t="s">
        <v>1108</v>
      </c>
      <c r="T34" s="214" t="s">
        <v>1109</v>
      </c>
      <c r="U34" s="158" t="s">
        <v>975</v>
      </c>
      <c r="V34" s="168" t="s">
        <v>1536</v>
      </c>
      <c r="W34" s="158" t="s">
        <v>967</v>
      </c>
      <c r="X34" s="158" t="s">
        <v>185</v>
      </c>
      <c r="Y34" s="158" t="s">
        <v>185</v>
      </c>
      <c r="Z34" s="158"/>
      <c r="AA34" s="158" t="str">
        <f>IF(GCP_2[[#This Row],[Column14]]="-","", "v")</f>
        <v>v</v>
      </c>
      <c r="AB34" s="158" t="str">
        <f>IF(GCP_2[[#This Row],[Column8]]="x","1",(IF(OR(GCP_2[[#This Row],[Column25]]=2,GCP_2[[#This Row],[Column26]]=2,GCP_2[[#This Row],[Column27]]=2),"1",(IF(GCP_2[[#This Row],[Column9]]="x","2",(IF(GCP_2[[#This Row],[Column10]]="x","3","")))))))</f>
        <v>1</v>
      </c>
      <c r="AC34" s="454" t="str">
        <f>IF(GCP_2[[#This Row],[Column14]] = "-", GCP_2[[#This Row],[Column14]], LEFT(GCP_2[[#This Row],[Column14]], SEARCH(" ", GCP_2[[#This Row],[Column14]] &amp; " ") - 1))</f>
        <v>7.1</v>
      </c>
    </row>
    <row r="35" spans="1:29" ht="30">
      <c r="A3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5" s="137" t="str">
        <f>GCP_2[[#This Row],[Column30]]</f>
        <v>-</v>
      </c>
      <c r="C35" s="137">
        <v>3.4</v>
      </c>
      <c r="D35" s="138" t="s">
        <v>182</v>
      </c>
      <c r="E35" s="162" t="s">
        <v>156</v>
      </c>
      <c r="F35" s="489" t="s">
        <v>2096</v>
      </c>
      <c r="G35" s="138" t="s">
        <v>267</v>
      </c>
      <c r="H35" s="163" t="s">
        <v>185</v>
      </c>
      <c r="I35" s="164" t="s">
        <v>185</v>
      </c>
      <c r="J35" s="200" t="s">
        <v>185</v>
      </c>
      <c r="K35" s="176" t="s">
        <v>185</v>
      </c>
      <c r="L35" s="176" t="s">
        <v>185</v>
      </c>
      <c r="M35" s="176" t="s">
        <v>185</v>
      </c>
      <c r="N35" s="222" t="s">
        <v>162</v>
      </c>
      <c r="O35" s="222" t="s">
        <v>162</v>
      </c>
      <c r="P35" s="222" t="s">
        <v>162</v>
      </c>
      <c r="Q35" s="222" t="s">
        <v>162</v>
      </c>
      <c r="R35" s="451"/>
      <c r="S35" s="222" t="s">
        <v>162</v>
      </c>
      <c r="T35" s="222" t="s">
        <v>162</v>
      </c>
      <c r="U35" s="258" t="s">
        <v>162</v>
      </c>
      <c r="V35" s="168"/>
      <c r="W35" s="158" t="s">
        <v>966</v>
      </c>
      <c r="X35" s="158" t="s">
        <v>185</v>
      </c>
      <c r="Y35" s="158" t="s">
        <v>185</v>
      </c>
      <c r="Z35" s="158"/>
      <c r="AA35" s="158" t="str">
        <f>IF(GCP_2[[#This Row],[Column14]]="-","", "v")</f>
        <v/>
      </c>
      <c r="AB35" s="158" t="str">
        <f>IF(GCP_2[[#This Row],[Column8]]="x","1",(IF(OR(GCP_2[[#This Row],[Column25]]=2,GCP_2[[#This Row],[Column26]]=2,GCP_2[[#This Row],[Column27]]=2),"1",(IF(GCP_2[[#This Row],[Column9]]="x","2",(IF(GCP_2[[#This Row],[Column10]]="x","3","")))))))</f>
        <v>1</v>
      </c>
      <c r="AC35" s="454" t="str">
        <f>IF(GCP_2[[#This Row],[Column14]] = "-", GCP_2[[#This Row],[Column14]], LEFT(GCP_2[[#This Row],[Column14]], SEARCH(" ", GCP_2[[#This Row],[Column14]] &amp; " ") - 1))</f>
        <v>-</v>
      </c>
    </row>
    <row r="36" spans="1:29" ht="45">
      <c r="A3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6" s="137" t="str">
        <f>GCP_2[[#This Row],[Column30]]</f>
        <v>-</v>
      </c>
      <c r="C36" s="137">
        <v>3.5</v>
      </c>
      <c r="D36" s="138" t="s">
        <v>182</v>
      </c>
      <c r="E36" s="162" t="s">
        <v>156</v>
      </c>
      <c r="F36" s="489" t="s">
        <v>2097</v>
      </c>
      <c r="G36" s="138" t="s">
        <v>269</v>
      </c>
      <c r="H36" s="163" t="s">
        <v>185</v>
      </c>
      <c r="I36" s="164" t="s">
        <v>185</v>
      </c>
      <c r="J36" s="200" t="s">
        <v>185</v>
      </c>
      <c r="K36" s="176" t="s">
        <v>185</v>
      </c>
      <c r="L36" s="176" t="s">
        <v>185</v>
      </c>
      <c r="M36" s="176" t="s">
        <v>185</v>
      </c>
      <c r="N36" s="222" t="s">
        <v>162</v>
      </c>
      <c r="O36" s="222" t="s">
        <v>162</v>
      </c>
      <c r="P36" s="222" t="s">
        <v>162</v>
      </c>
      <c r="Q36" s="222" t="s">
        <v>162</v>
      </c>
      <c r="R36" s="451"/>
      <c r="S36" s="222" t="s">
        <v>162</v>
      </c>
      <c r="T36" s="222" t="s">
        <v>162</v>
      </c>
      <c r="U36" s="258" t="s">
        <v>162</v>
      </c>
      <c r="V36" s="168"/>
      <c r="W36" s="158" t="s">
        <v>966</v>
      </c>
      <c r="X36" s="158" t="s">
        <v>185</v>
      </c>
      <c r="Y36" s="158" t="s">
        <v>185</v>
      </c>
      <c r="Z36" s="158"/>
      <c r="AA36" s="158" t="str">
        <f>IF(GCP_2[[#This Row],[Column14]]="-","", "v")</f>
        <v/>
      </c>
      <c r="AB36" s="158" t="str">
        <f>IF(GCP_2[[#This Row],[Column8]]="x","1",(IF(OR(GCP_2[[#This Row],[Column25]]=2,GCP_2[[#This Row],[Column26]]=2,GCP_2[[#This Row],[Column27]]=2),"1",(IF(GCP_2[[#This Row],[Column9]]="x","2",(IF(GCP_2[[#This Row],[Column10]]="x","3","")))))))</f>
        <v>1</v>
      </c>
      <c r="AC36" s="454" t="str">
        <f>IF(GCP_2[[#This Row],[Column14]] = "-", GCP_2[[#This Row],[Column14]], LEFT(GCP_2[[#This Row],[Column14]], SEARCH(" ", GCP_2[[#This Row],[Column14]] &amp; " ") - 1))</f>
        <v>-</v>
      </c>
    </row>
    <row r="37" spans="1:29" ht="48">
      <c r="A3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37" s="137" t="str">
        <f>GCP_2[[#This Row],[Column30]]</f>
        <v>-</v>
      </c>
      <c r="C37" s="137">
        <v>3.6</v>
      </c>
      <c r="D37" s="138" t="s">
        <v>352</v>
      </c>
      <c r="E37" s="162" t="s">
        <v>156</v>
      </c>
      <c r="F37" s="489" t="s">
        <v>2098</v>
      </c>
      <c r="G37" s="139" t="s">
        <v>389</v>
      </c>
      <c r="H37" s="163" t="s">
        <v>185</v>
      </c>
      <c r="I37" s="164" t="s">
        <v>185</v>
      </c>
      <c r="J37" s="200" t="s">
        <v>185</v>
      </c>
      <c r="K37" s="158"/>
      <c r="L37" s="158"/>
      <c r="M37" s="158"/>
      <c r="N37" s="222" t="s">
        <v>162</v>
      </c>
      <c r="O37" s="222" t="s">
        <v>162</v>
      </c>
      <c r="P37" s="222" t="s">
        <v>162</v>
      </c>
      <c r="Q37" s="222" t="s">
        <v>162</v>
      </c>
      <c r="R37" s="451"/>
      <c r="S37" s="222" t="s">
        <v>162</v>
      </c>
      <c r="T37" s="222" t="s">
        <v>162</v>
      </c>
      <c r="U37" s="258" t="s">
        <v>162</v>
      </c>
      <c r="V37" s="168"/>
      <c r="W37" s="158" t="s">
        <v>966</v>
      </c>
      <c r="X37" s="158" t="s">
        <v>185</v>
      </c>
      <c r="Y37" s="158" t="s">
        <v>185</v>
      </c>
      <c r="Z37" s="158"/>
      <c r="AA37" s="158" t="str">
        <f>IF(GCP_2[[#This Row],[Column14]]="-","", "v")</f>
        <v/>
      </c>
      <c r="AB37" s="158" t="str">
        <f>IF(GCP_2[[#This Row],[Column8]]="x","1",(IF(OR(GCP_2[[#This Row],[Column25]]=2,GCP_2[[#This Row],[Column26]]=2,GCP_2[[#This Row],[Column27]]=2),"1",(IF(GCP_2[[#This Row],[Column9]]="x","2",(IF(GCP_2[[#This Row],[Column10]]="x","3","")))))))</f>
        <v>1</v>
      </c>
      <c r="AC37" s="454" t="str">
        <f>IF(GCP_2[[#This Row],[Column14]] = "-", GCP_2[[#This Row],[Column14]], LEFT(GCP_2[[#This Row],[Column14]], SEARCH(" ", GCP_2[[#This Row],[Column14]] &amp; " ") - 1))</f>
        <v>-</v>
      </c>
    </row>
    <row r="38" spans="1:29" ht="75">
      <c r="A3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8" s="137" t="str">
        <f>GCP_2[[#This Row],[Column30]]</f>
        <v>-</v>
      </c>
      <c r="C38" s="137">
        <v>3.7</v>
      </c>
      <c r="D38" s="138" t="s">
        <v>182</v>
      </c>
      <c r="E38" s="162" t="s">
        <v>154</v>
      </c>
      <c r="F38" s="489" t="s">
        <v>2099</v>
      </c>
      <c r="G38" s="139" t="s">
        <v>271</v>
      </c>
      <c r="H38" s="204"/>
      <c r="I38" s="164" t="s">
        <v>185</v>
      </c>
      <c r="J38" s="200" t="s">
        <v>185</v>
      </c>
      <c r="K38" s="176" t="s">
        <v>185</v>
      </c>
      <c r="L38" s="176" t="s">
        <v>185</v>
      </c>
      <c r="M38" s="176" t="s">
        <v>185</v>
      </c>
      <c r="N38" s="222" t="s">
        <v>162</v>
      </c>
      <c r="O38" s="222" t="s">
        <v>162</v>
      </c>
      <c r="P38" s="222" t="s">
        <v>162</v>
      </c>
      <c r="Q38" s="222" t="s">
        <v>162</v>
      </c>
      <c r="R38" s="451"/>
      <c r="S38" s="222" t="s">
        <v>162</v>
      </c>
      <c r="T38" s="222" t="s">
        <v>162</v>
      </c>
      <c r="U38" s="258" t="s">
        <v>162</v>
      </c>
      <c r="V38" s="168"/>
      <c r="W38" s="158" t="s">
        <v>966</v>
      </c>
      <c r="X38" s="158" t="s">
        <v>185</v>
      </c>
      <c r="Y38" s="158" t="s">
        <v>185</v>
      </c>
      <c r="Z38" s="158"/>
      <c r="AA38" s="158" t="str">
        <f>IF(GCP_2[[#This Row],[Column14]]="-","", "v")</f>
        <v/>
      </c>
      <c r="AB38" s="158" t="str">
        <f>IF(GCP_2[[#This Row],[Column8]]="x","1",(IF(OR(GCP_2[[#This Row],[Column25]]=2,GCP_2[[#This Row],[Column26]]=2,GCP_2[[#This Row],[Column27]]=2),"1",(IF(GCP_2[[#This Row],[Column9]]="x","2",(IF(GCP_2[[#This Row],[Column10]]="x","3","")))))))</f>
        <v>2</v>
      </c>
      <c r="AC38" s="454" t="str">
        <f>IF(GCP_2[[#This Row],[Column14]] = "-", GCP_2[[#This Row],[Column14]], LEFT(GCP_2[[#This Row],[Column14]], SEARCH(" ", GCP_2[[#This Row],[Column14]] &amp; " ") - 1))</f>
        <v>-</v>
      </c>
    </row>
    <row r="39" spans="1:29" ht="60">
      <c r="A3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39" s="137" t="str">
        <f>GCP_2[[#This Row],[Column30]]</f>
        <v>-</v>
      </c>
      <c r="C39" s="137">
        <v>3.8</v>
      </c>
      <c r="D39" s="138" t="s">
        <v>182</v>
      </c>
      <c r="E39" s="162" t="s">
        <v>154</v>
      </c>
      <c r="F39" s="489" t="s">
        <v>2100</v>
      </c>
      <c r="G39" s="138" t="s">
        <v>273</v>
      </c>
      <c r="H39" s="137"/>
      <c r="I39" s="164" t="s">
        <v>185</v>
      </c>
      <c r="J39" s="200" t="s">
        <v>185</v>
      </c>
      <c r="K39" s="176" t="s">
        <v>185</v>
      </c>
      <c r="L39" s="176" t="s">
        <v>185</v>
      </c>
      <c r="M39" s="176" t="s">
        <v>185</v>
      </c>
      <c r="N39" s="222" t="s">
        <v>162</v>
      </c>
      <c r="O39" s="222" t="s">
        <v>162</v>
      </c>
      <c r="P39" s="222" t="s">
        <v>162</v>
      </c>
      <c r="Q39" s="222" t="s">
        <v>162</v>
      </c>
      <c r="R39" s="451"/>
      <c r="S39" s="222" t="s">
        <v>162</v>
      </c>
      <c r="T39" s="222" t="s">
        <v>162</v>
      </c>
      <c r="U39" s="258" t="s">
        <v>162</v>
      </c>
      <c r="V39" s="168"/>
      <c r="W39" s="158" t="s">
        <v>966</v>
      </c>
      <c r="X39" s="158" t="s">
        <v>185</v>
      </c>
      <c r="Y39" s="158" t="s">
        <v>185</v>
      </c>
      <c r="Z39" s="158"/>
      <c r="AA39" s="158" t="str">
        <f>IF(GCP_2[[#This Row],[Column14]]="-","", "v")</f>
        <v/>
      </c>
      <c r="AB39" s="158" t="str">
        <f>IF(GCP_2[[#This Row],[Column8]]="x","1",(IF(OR(GCP_2[[#This Row],[Column25]]=2,GCP_2[[#This Row],[Column26]]=2,GCP_2[[#This Row],[Column27]]=2),"1",(IF(GCP_2[[#This Row],[Column9]]="x","2",(IF(GCP_2[[#This Row],[Column10]]="x","3","")))))))</f>
        <v>2</v>
      </c>
      <c r="AC39" s="454" t="str">
        <f>IF(GCP_2[[#This Row],[Column14]] = "-", GCP_2[[#This Row],[Column14]], LEFT(GCP_2[[#This Row],[Column14]], SEARCH(" ", GCP_2[[#This Row],[Column14]] &amp; " ") - 1))</f>
        <v>-</v>
      </c>
    </row>
    <row r="40" spans="1:29" ht="15.75">
      <c r="A4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40" s="137" t="str">
        <f>GCP_2[[#This Row],[Column30]]</f>
        <v>-</v>
      </c>
      <c r="C40" s="137">
        <v>3.9</v>
      </c>
      <c r="D40" s="138" t="s">
        <v>182</v>
      </c>
      <c r="E40" s="162" t="s">
        <v>156</v>
      </c>
      <c r="F40" s="489" t="s">
        <v>2101</v>
      </c>
      <c r="G40" s="138" t="s">
        <v>275</v>
      </c>
      <c r="H40" s="204"/>
      <c r="I40" s="164" t="s">
        <v>185</v>
      </c>
      <c r="J40" s="200" t="s">
        <v>185</v>
      </c>
      <c r="K40" s="158"/>
      <c r="L40" s="158"/>
      <c r="M40" s="158"/>
      <c r="N40" s="222" t="s">
        <v>162</v>
      </c>
      <c r="O40" s="222" t="s">
        <v>162</v>
      </c>
      <c r="P40" s="222" t="s">
        <v>162</v>
      </c>
      <c r="Q40" s="222" t="s">
        <v>162</v>
      </c>
      <c r="R40" s="451"/>
      <c r="S40" s="222" t="s">
        <v>162</v>
      </c>
      <c r="T40" s="222" t="s">
        <v>162</v>
      </c>
      <c r="U40" s="258" t="s">
        <v>162</v>
      </c>
      <c r="V40" s="168"/>
      <c r="W40" s="158" t="s">
        <v>966</v>
      </c>
      <c r="X40" s="158" t="s">
        <v>185</v>
      </c>
      <c r="Y40" s="158" t="s">
        <v>185</v>
      </c>
      <c r="Z40" s="158"/>
      <c r="AA40" s="158" t="str">
        <f>IF(GCP_2[[#This Row],[Column14]]="-","", "v")</f>
        <v/>
      </c>
      <c r="AB40" s="158" t="str">
        <f>IF(GCP_2[[#This Row],[Column8]]="x","1",(IF(OR(GCP_2[[#This Row],[Column25]]=2,GCP_2[[#This Row],[Column26]]=2,GCP_2[[#This Row],[Column27]]=2),"1",(IF(GCP_2[[#This Row],[Column9]]="x","2",(IF(GCP_2[[#This Row],[Column10]]="x","3","")))))))</f>
        <v>2</v>
      </c>
      <c r="AC40" s="454" t="str">
        <f>IF(GCP_2[[#This Row],[Column14]] = "-", GCP_2[[#This Row],[Column14]], LEFT(GCP_2[[#This Row],[Column14]], SEARCH(" ", GCP_2[[#This Row],[Column14]] &amp; " ") - 1))</f>
        <v>-</v>
      </c>
    </row>
    <row r="41" spans="1:29" ht="409.5">
      <c r="A4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1" s="137" t="str">
        <f>GCP_2[[#This Row],[Column30]]</f>
        <v>3.9</v>
      </c>
      <c r="C41" s="140">
        <v>3.1</v>
      </c>
      <c r="D41" s="138" t="s">
        <v>182</v>
      </c>
      <c r="E41" s="162" t="s">
        <v>156</v>
      </c>
      <c r="F41" s="489" t="s">
        <v>2102</v>
      </c>
      <c r="G41" s="139" t="s">
        <v>277</v>
      </c>
      <c r="H41" s="137"/>
      <c r="I41" s="164" t="s">
        <v>185</v>
      </c>
      <c r="J41" s="200" t="s">
        <v>185</v>
      </c>
      <c r="K41" s="176" t="s">
        <v>185</v>
      </c>
      <c r="L41" s="176" t="s">
        <v>185</v>
      </c>
      <c r="M41" s="176" t="s">
        <v>185</v>
      </c>
      <c r="N41" s="222" t="s">
        <v>1110</v>
      </c>
      <c r="O41" s="212">
        <v>1</v>
      </c>
      <c r="P41" s="214" t="s">
        <v>1111</v>
      </c>
      <c r="Q41" s="214" t="s">
        <v>1112</v>
      </c>
      <c r="R41" s="451" t="s">
        <v>1113</v>
      </c>
      <c r="S41" s="214" t="s">
        <v>1114</v>
      </c>
      <c r="T41" s="214" t="s">
        <v>1115</v>
      </c>
      <c r="U41" s="158" t="s">
        <v>975</v>
      </c>
      <c r="V41" s="168" t="s">
        <v>1537</v>
      </c>
      <c r="W41" s="158" t="s">
        <v>966</v>
      </c>
      <c r="X41" s="158" t="s">
        <v>185</v>
      </c>
      <c r="Y41" s="158" t="s">
        <v>185</v>
      </c>
      <c r="Z41" s="158"/>
      <c r="AA41" s="158" t="str">
        <f>IF(GCP_2[[#This Row],[Column14]]="-","", "v")</f>
        <v>v</v>
      </c>
      <c r="AB41" s="158" t="str">
        <f>IF(GCP_2[[#This Row],[Column8]]="x","1",(IF(OR(GCP_2[[#This Row],[Column25]]=2,GCP_2[[#This Row],[Column26]]=2,GCP_2[[#This Row],[Column27]]=2),"1",(IF(GCP_2[[#This Row],[Column9]]="x","2",(IF(GCP_2[[#This Row],[Column10]]="x","3","")))))))</f>
        <v>2</v>
      </c>
      <c r="AC41" s="454" t="str">
        <f>IF(GCP_2[[#This Row],[Column14]] = "-", GCP_2[[#This Row],[Column14]], LEFT(GCP_2[[#This Row],[Column14]], SEARCH(" ", GCP_2[[#This Row],[Column14]] &amp; " ") - 1))</f>
        <v>3.9</v>
      </c>
    </row>
    <row r="42" spans="1:29" ht="409.5">
      <c r="A4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2" s="137" t="str">
        <f>GCP_2[[#This Row],[Column30]]</f>
        <v>4.3</v>
      </c>
      <c r="C42" s="140">
        <v>3.1</v>
      </c>
      <c r="D42" s="138" t="s">
        <v>182</v>
      </c>
      <c r="E42" s="162" t="s">
        <v>156</v>
      </c>
      <c r="F42" s="489" t="s">
        <v>2102</v>
      </c>
      <c r="G42" s="139" t="s">
        <v>277</v>
      </c>
      <c r="H42" s="137"/>
      <c r="I42" s="164" t="s">
        <v>185</v>
      </c>
      <c r="J42" s="200" t="s">
        <v>185</v>
      </c>
      <c r="K42" s="176" t="s">
        <v>185</v>
      </c>
      <c r="L42" s="176" t="s">
        <v>185</v>
      </c>
      <c r="M42" s="176" t="s">
        <v>185</v>
      </c>
      <c r="N42" s="222" t="s">
        <v>1116</v>
      </c>
      <c r="O42" s="212">
        <v>1</v>
      </c>
      <c r="P42" s="214" t="s">
        <v>1117</v>
      </c>
      <c r="Q42" s="214" t="s">
        <v>1118</v>
      </c>
      <c r="R42" s="451" t="s">
        <v>1119</v>
      </c>
      <c r="S42" s="214" t="s">
        <v>1120</v>
      </c>
      <c r="T42" s="214" t="s">
        <v>1121</v>
      </c>
      <c r="U42" s="158" t="s">
        <v>162</v>
      </c>
      <c r="V42" s="168" t="s">
        <v>1538</v>
      </c>
      <c r="W42" s="158" t="s">
        <v>967</v>
      </c>
      <c r="X42" s="158" t="s">
        <v>185</v>
      </c>
      <c r="Y42" s="158" t="s">
        <v>185</v>
      </c>
      <c r="Z42" s="158"/>
      <c r="AA42" s="158" t="str">
        <f>IF(GCP_2[[#This Row],[Column14]]="-","", "v")</f>
        <v>v</v>
      </c>
      <c r="AB42" s="158" t="str">
        <f>IF(GCP_2[[#This Row],[Column8]]="x","1",(IF(OR(GCP_2[[#This Row],[Column25]]=2,GCP_2[[#This Row],[Column26]]=2,GCP_2[[#This Row],[Column27]]=2),"1",(IF(GCP_2[[#This Row],[Column9]]="x","2",(IF(GCP_2[[#This Row],[Column10]]="x","3","")))))))</f>
        <v>2</v>
      </c>
      <c r="AC42" s="454" t="str">
        <f>IF(GCP_2[[#This Row],[Column14]] = "-", GCP_2[[#This Row],[Column14]], LEFT(GCP_2[[#This Row],[Column14]], SEARCH(" ", GCP_2[[#This Row],[Column14]] &amp; " ") - 1))</f>
        <v>4.3</v>
      </c>
    </row>
    <row r="43" spans="1:29" ht="228">
      <c r="A4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3" s="137" t="str">
        <f>GCP_2[[#This Row],[Column30]]</f>
        <v>4.10</v>
      </c>
      <c r="C43" s="140">
        <v>3.1</v>
      </c>
      <c r="D43" s="138" t="s">
        <v>182</v>
      </c>
      <c r="E43" s="162" t="s">
        <v>156</v>
      </c>
      <c r="F43" s="489" t="s">
        <v>2102</v>
      </c>
      <c r="G43" s="139" t="s">
        <v>277</v>
      </c>
      <c r="H43" s="137"/>
      <c r="I43" s="164" t="s">
        <v>185</v>
      </c>
      <c r="J43" s="200" t="s">
        <v>185</v>
      </c>
      <c r="K43" s="176" t="s">
        <v>185</v>
      </c>
      <c r="L43" s="176" t="s">
        <v>185</v>
      </c>
      <c r="M43" s="176" t="s">
        <v>185</v>
      </c>
      <c r="N43" s="222" t="s">
        <v>1122</v>
      </c>
      <c r="O43" s="212">
        <v>2</v>
      </c>
      <c r="P43" s="214" t="s">
        <v>1123</v>
      </c>
      <c r="Q43" s="214" t="s">
        <v>1124</v>
      </c>
      <c r="R43" s="451" t="s">
        <v>1125</v>
      </c>
      <c r="S43" s="214" t="s">
        <v>1126</v>
      </c>
      <c r="T43" s="214" t="s">
        <v>1127</v>
      </c>
      <c r="U43" s="158" t="s">
        <v>162</v>
      </c>
      <c r="V43" s="168" t="s">
        <v>1539</v>
      </c>
      <c r="W43" s="158" t="s">
        <v>967</v>
      </c>
      <c r="X43" s="158" t="s">
        <v>185</v>
      </c>
      <c r="Y43" s="158" t="s">
        <v>185</v>
      </c>
      <c r="Z43" s="158"/>
      <c r="AA43" s="158" t="str">
        <f>IF(GCP_2[[#This Row],[Column14]]="-","", "v")</f>
        <v>v</v>
      </c>
      <c r="AB43" s="158" t="str">
        <f>IF(GCP_2[[#This Row],[Column8]]="x","1",(IF(OR(GCP_2[[#This Row],[Column25]]=2,GCP_2[[#This Row],[Column26]]=2,GCP_2[[#This Row],[Column27]]=2),"1",(IF(GCP_2[[#This Row],[Column9]]="x","2",(IF(GCP_2[[#This Row],[Column10]]="x","3","")))))))</f>
        <v>2</v>
      </c>
      <c r="AC43" s="454" t="str">
        <f>IF(GCP_2[[#This Row],[Column14]] = "-", GCP_2[[#This Row],[Column14]], LEFT(GCP_2[[#This Row],[Column14]], SEARCH(" ", GCP_2[[#This Row],[Column14]] &amp; " ") - 1))</f>
        <v>4.10</v>
      </c>
    </row>
    <row r="44" spans="1:29" ht="409.5">
      <c r="A4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4" s="137" t="str">
        <f>GCP_2[[#This Row],[Column30]]</f>
        <v>6.4</v>
      </c>
      <c r="C44" s="140">
        <v>3.1</v>
      </c>
      <c r="D44" s="138" t="s">
        <v>182</v>
      </c>
      <c r="E44" s="162" t="s">
        <v>156</v>
      </c>
      <c r="F44" s="489" t="s">
        <v>2102</v>
      </c>
      <c r="G44" s="139" t="s">
        <v>277</v>
      </c>
      <c r="H44" s="137"/>
      <c r="I44" s="164" t="s">
        <v>185</v>
      </c>
      <c r="J44" s="200" t="s">
        <v>185</v>
      </c>
      <c r="K44" s="176" t="s">
        <v>185</v>
      </c>
      <c r="L44" s="176" t="s">
        <v>185</v>
      </c>
      <c r="M44" s="176" t="s">
        <v>185</v>
      </c>
      <c r="N44" s="222" t="s">
        <v>1128</v>
      </c>
      <c r="O44" s="212">
        <v>1</v>
      </c>
      <c r="P44" s="214" t="s">
        <v>1129</v>
      </c>
      <c r="Q44" s="214" t="s">
        <v>1130</v>
      </c>
      <c r="R44" s="451" t="s">
        <v>1131</v>
      </c>
      <c r="S44" s="214" t="s">
        <v>1132</v>
      </c>
      <c r="T44" s="214" t="s">
        <v>1133</v>
      </c>
      <c r="U44" s="158" t="s">
        <v>162</v>
      </c>
      <c r="V44" s="168" t="s">
        <v>1540</v>
      </c>
      <c r="W44" s="158" t="s">
        <v>967</v>
      </c>
      <c r="X44" s="158" t="s">
        <v>185</v>
      </c>
      <c r="Y44" s="158"/>
      <c r="Z44" s="158"/>
      <c r="AA44" s="158" t="str">
        <f>IF(GCP_2[[#This Row],[Column14]]="-","", "v")</f>
        <v>v</v>
      </c>
      <c r="AB44" s="158" t="str">
        <f>IF(GCP_2[[#This Row],[Column8]]="x","1",(IF(OR(GCP_2[[#This Row],[Column25]]=2,GCP_2[[#This Row],[Column26]]=2,GCP_2[[#This Row],[Column27]]=2),"1",(IF(GCP_2[[#This Row],[Column9]]="x","2",(IF(GCP_2[[#This Row],[Column10]]="x","3","")))))))</f>
        <v>2</v>
      </c>
      <c r="AC44" s="454" t="str">
        <f>IF(GCP_2[[#This Row],[Column14]] = "-", GCP_2[[#This Row],[Column14]], LEFT(GCP_2[[#This Row],[Column14]], SEARCH(" ", GCP_2[[#This Row],[Column14]] &amp; " ") - 1))</f>
        <v>6.4</v>
      </c>
    </row>
    <row r="45" spans="1:29" ht="409.5">
      <c r="A4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5" s="137" t="str">
        <f>GCP_2[[#This Row],[Column30]]</f>
        <v>1.10</v>
      </c>
      <c r="C45" s="137">
        <v>3.11</v>
      </c>
      <c r="D45" s="138" t="s">
        <v>182</v>
      </c>
      <c r="E45" s="162" t="s">
        <v>156</v>
      </c>
      <c r="F45" s="489" t="s">
        <v>2103</v>
      </c>
      <c r="G45" s="139" t="s">
        <v>285</v>
      </c>
      <c r="H45" s="204"/>
      <c r="I45" s="164" t="s">
        <v>185</v>
      </c>
      <c r="J45" s="200" t="s">
        <v>185</v>
      </c>
      <c r="K45" s="176" t="s">
        <v>185</v>
      </c>
      <c r="L45" s="176" t="s">
        <v>185</v>
      </c>
      <c r="M45" s="158"/>
      <c r="N45" s="222" t="s">
        <v>1134</v>
      </c>
      <c r="O45" s="212">
        <v>1</v>
      </c>
      <c r="P45" s="214" t="s">
        <v>1135</v>
      </c>
      <c r="Q45" s="214" t="s">
        <v>1136</v>
      </c>
      <c r="R45" s="451" t="s">
        <v>1137</v>
      </c>
      <c r="S45" s="214" t="s">
        <v>1138</v>
      </c>
      <c r="T45" s="214" t="s">
        <v>1139</v>
      </c>
      <c r="U45" s="158" t="s">
        <v>162</v>
      </c>
      <c r="V45" s="168" t="s">
        <v>1541</v>
      </c>
      <c r="W45" s="158" t="s">
        <v>967</v>
      </c>
      <c r="X45" s="158" t="s">
        <v>185</v>
      </c>
      <c r="Y45" s="158" t="s">
        <v>185</v>
      </c>
      <c r="Z45" s="158"/>
      <c r="AA45" s="158" t="str">
        <f>IF(GCP_2[[#This Row],[Column14]]="-","", "v")</f>
        <v>v</v>
      </c>
      <c r="AB45" s="158" t="str">
        <f>IF(GCP_2[[#This Row],[Column8]]="x","1",(IF(OR(GCP_2[[#This Row],[Column25]]=2,GCP_2[[#This Row],[Column26]]=2,GCP_2[[#This Row],[Column27]]=2),"1",(IF(GCP_2[[#This Row],[Column9]]="x","2",(IF(GCP_2[[#This Row],[Column10]]="x","3","")))))))</f>
        <v>2</v>
      </c>
      <c r="AC45" s="454" t="str">
        <f>IF(GCP_2[[#This Row],[Column14]] = "-", GCP_2[[#This Row],[Column14]], LEFT(GCP_2[[#This Row],[Column14]], SEARCH(" ", GCP_2[[#This Row],[Column14]] &amp; " ") - 1))</f>
        <v>1.10</v>
      </c>
    </row>
    <row r="46" spans="1:29" ht="409.5">
      <c r="A4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6" s="137" t="str">
        <f>GCP_2[[#This Row],[Column30]]</f>
        <v>1.17</v>
      </c>
      <c r="C46" s="137">
        <v>3.11</v>
      </c>
      <c r="D46" s="138" t="s">
        <v>182</v>
      </c>
      <c r="E46" s="162" t="s">
        <v>156</v>
      </c>
      <c r="F46" s="489" t="s">
        <v>2103</v>
      </c>
      <c r="G46" s="139" t="s">
        <v>285</v>
      </c>
      <c r="H46" s="204"/>
      <c r="I46" s="164" t="s">
        <v>185</v>
      </c>
      <c r="J46" s="200" t="s">
        <v>185</v>
      </c>
      <c r="K46" s="176" t="s">
        <v>185</v>
      </c>
      <c r="L46" s="176" t="s">
        <v>185</v>
      </c>
      <c r="M46" s="158"/>
      <c r="N46" s="222" t="s">
        <v>1140</v>
      </c>
      <c r="O46" s="212">
        <v>2</v>
      </c>
      <c r="P46" s="214" t="s">
        <v>1141</v>
      </c>
      <c r="Q46" s="214" t="s">
        <v>1142</v>
      </c>
      <c r="R46" s="451" t="s">
        <v>1143</v>
      </c>
      <c r="S46" s="214" t="s">
        <v>1144</v>
      </c>
      <c r="T46" s="214" t="s">
        <v>1145</v>
      </c>
      <c r="U46" s="158" t="s">
        <v>162</v>
      </c>
      <c r="V46" s="168" t="s">
        <v>1542</v>
      </c>
      <c r="W46" s="158" t="s">
        <v>967</v>
      </c>
      <c r="X46" s="158" t="s">
        <v>185</v>
      </c>
      <c r="Y46" s="158" t="s">
        <v>185</v>
      </c>
      <c r="Z46" s="158"/>
      <c r="AA46" s="158" t="str">
        <f>IF(GCP_2[[#This Row],[Column14]]="-","", "v")</f>
        <v>v</v>
      </c>
      <c r="AB46" s="158" t="str">
        <f>IF(GCP_2[[#This Row],[Column8]]="x","1",(IF(OR(GCP_2[[#This Row],[Column25]]=2,GCP_2[[#This Row],[Column26]]=2,GCP_2[[#This Row],[Column27]]=2),"1",(IF(GCP_2[[#This Row],[Column9]]="x","2",(IF(GCP_2[[#This Row],[Column10]]="x","3","")))))))</f>
        <v>2</v>
      </c>
      <c r="AC46" s="454" t="str">
        <f>IF(GCP_2[[#This Row],[Column14]] = "-", GCP_2[[#This Row],[Column14]], LEFT(GCP_2[[#This Row],[Column14]], SEARCH(" ", GCP_2[[#This Row],[Column14]] &amp; " ") - 1))</f>
        <v>1.17</v>
      </c>
    </row>
    <row r="47" spans="1:29" ht="409.5">
      <c r="A4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7" s="137" t="str">
        <f>GCP_2[[#This Row],[Column30]]</f>
        <v>1.18</v>
      </c>
      <c r="C47" s="137">
        <v>3.11</v>
      </c>
      <c r="D47" s="138" t="s">
        <v>182</v>
      </c>
      <c r="E47" s="162" t="s">
        <v>156</v>
      </c>
      <c r="F47" s="489" t="s">
        <v>2103</v>
      </c>
      <c r="G47" s="139" t="s">
        <v>285</v>
      </c>
      <c r="H47" s="204"/>
      <c r="I47" s="164" t="s">
        <v>185</v>
      </c>
      <c r="J47" s="200" t="s">
        <v>185</v>
      </c>
      <c r="K47" s="176" t="s">
        <v>185</v>
      </c>
      <c r="L47" s="176" t="s">
        <v>185</v>
      </c>
      <c r="M47" s="158"/>
      <c r="N47" s="222" t="s">
        <v>1146</v>
      </c>
      <c r="O47" s="212">
        <v>1</v>
      </c>
      <c r="P47" s="457" t="s">
        <v>1147</v>
      </c>
      <c r="Q47" s="214" t="s">
        <v>1148</v>
      </c>
      <c r="R47" s="451" t="s">
        <v>1149</v>
      </c>
      <c r="S47" s="214" t="s">
        <v>1150</v>
      </c>
      <c r="T47" s="214" t="s">
        <v>1151</v>
      </c>
      <c r="U47" s="158" t="s">
        <v>162</v>
      </c>
      <c r="V47" s="168" t="s">
        <v>1543</v>
      </c>
      <c r="W47" s="158" t="s">
        <v>967</v>
      </c>
      <c r="X47" s="158" t="s">
        <v>185</v>
      </c>
      <c r="Y47" s="158" t="s">
        <v>185</v>
      </c>
      <c r="Z47" s="158"/>
      <c r="AA47" s="158" t="str">
        <f>IF(GCP_2[[#This Row],[Column14]]="-","", "v")</f>
        <v>v</v>
      </c>
      <c r="AB47" s="158" t="str">
        <f>IF(GCP_2[[#This Row],[Column8]]="x","1",(IF(OR(GCP_2[[#This Row],[Column25]]=2,GCP_2[[#This Row],[Column26]]=2,GCP_2[[#This Row],[Column27]]=2),"1",(IF(GCP_2[[#This Row],[Column9]]="x","2",(IF(GCP_2[[#This Row],[Column10]]="x","3","")))))))</f>
        <v>2</v>
      </c>
      <c r="AC47" s="454" t="str">
        <f>IF(GCP_2[[#This Row],[Column14]] = "-", GCP_2[[#This Row],[Column14]], LEFT(GCP_2[[#This Row],[Column14]], SEARCH(" ", GCP_2[[#This Row],[Column14]] &amp; " ") - 1))</f>
        <v>1.18</v>
      </c>
    </row>
    <row r="48" spans="1:29" ht="409.5">
      <c r="A4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8" s="137" t="str">
        <f>GCP_2[[#This Row],[Column30]]</f>
        <v>4.7</v>
      </c>
      <c r="C48" s="137">
        <v>3.11</v>
      </c>
      <c r="D48" s="138" t="s">
        <v>182</v>
      </c>
      <c r="E48" s="162" t="s">
        <v>156</v>
      </c>
      <c r="F48" s="489" t="s">
        <v>2103</v>
      </c>
      <c r="G48" s="139" t="s">
        <v>285</v>
      </c>
      <c r="H48" s="204"/>
      <c r="I48" s="164" t="s">
        <v>185</v>
      </c>
      <c r="J48" s="200" t="s">
        <v>185</v>
      </c>
      <c r="K48" s="176" t="s">
        <v>185</v>
      </c>
      <c r="L48" s="176" t="s">
        <v>185</v>
      </c>
      <c r="M48" s="158"/>
      <c r="N48" s="222" t="s">
        <v>1152</v>
      </c>
      <c r="O48" s="212">
        <v>2</v>
      </c>
      <c r="P48" s="457" t="s">
        <v>1153</v>
      </c>
      <c r="Q48" s="214" t="s">
        <v>1154</v>
      </c>
      <c r="R48" s="451" t="s">
        <v>1155</v>
      </c>
      <c r="S48" s="214" t="s">
        <v>1156</v>
      </c>
      <c r="T48" s="214" t="s">
        <v>1157</v>
      </c>
      <c r="U48" s="158" t="s">
        <v>162</v>
      </c>
      <c r="V48" s="168" t="s">
        <v>1544</v>
      </c>
      <c r="W48" s="158" t="s">
        <v>967</v>
      </c>
      <c r="X48" s="158" t="s">
        <v>185</v>
      </c>
      <c r="Y48" s="158" t="s">
        <v>185</v>
      </c>
      <c r="Z48" s="158"/>
      <c r="AA48" s="158" t="str">
        <f>IF(GCP_2[[#This Row],[Column14]]="-","", "v")</f>
        <v>v</v>
      </c>
      <c r="AB48" s="158" t="str">
        <f>IF(GCP_2[[#This Row],[Column8]]="x","1",(IF(OR(GCP_2[[#This Row],[Column25]]=2,GCP_2[[#This Row],[Column26]]=2,GCP_2[[#This Row],[Column27]]=2),"1",(IF(GCP_2[[#This Row],[Column9]]="x","2",(IF(GCP_2[[#This Row],[Column10]]="x","3","")))))))</f>
        <v>2</v>
      </c>
      <c r="AC48" s="454" t="str">
        <f>IF(GCP_2[[#This Row],[Column14]] = "-", GCP_2[[#This Row],[Column14]], LEFT(GCP_2[[#This Row],[Column14]], SEARCH(" ", GCP_2[[#This Row],[Column14]] &amp; " ") - 1))</f>
        <v>4.7</v>
      </c>
    </row>
    <row r="49" spans="1:29" ht="409.5">
      <c r="A4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NOT(ISBLANK(K49)),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NOT(ISBLANK(L49)),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NOT(ISBLANK(M49)),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49" s="137" t="str">
        <f>GCP_2[[#This Row],[Column30]]</f>
        <v>4.11</v>
      </c>
      <c r="C49" s="137">
        <v>3.11</v>
      </c>
      <c r="D49" s="138" t="s">
        <v>182</v>
      </c>
      <c r="E49" s="162" t="s">
        <v>156</v>
      </c>
      <c r="F49" s="489" t="s">
        <v>2103</v>
      </c>
      <c r="G49" s="139" t="s">
        <v>285</v>
      </c>
      <c r="H49" s="204"/>
      <c r="I49" s="164" t="s">
        <v>185</v>
      </c>
      <c r="J49" s="200" t="s">
        <v>185</v>
      </c>
      <c r="K49" s="176" t="s">
        <v>185</v>
      </c>
      <c r="L49" s="176" t="s">
        <v>185</v>
      </c>
      <c r="M49" s="158"/>
      <c r="N49" s="222" t="s">
        <v>1158</v>
      </c>
      <c r="O49" s="212">
        <v>2</v>
      </c>
      <c r="P49" s="457" t="s">
        <v>1159</v>
      </c>
      <c r="Q49" s="214" t="s">
        <v>1160</v>
      </c>
      <c r="R49" s="451" t="s">
        <v>1161</v>
      </c>
      <c r="S49" s="214" t="s">
        <v>1162</v>
      </c>
      <c r="T49" s="214" t="s">
        <v>1163</v>
      </c>
      <c r="U49" s="158" t="s">
        <v>162</v>
      </c>
      <c r="V49" s="168" t="s">
        <v>1545</v>
      </c>
      <c r="W49" s="158" t="s">
        <v>967</v>
      </c>
      <c r="X49" s="158" t="s">
        <v>185</v>
      </c>
      <c r="Y49" s="158" t="s">
        <v>185</v>
      </c>
      <c r="Z49" s="158"/>
      <c r="AA49" s="158" t="str">
        <f>IF(GCP_2[[#This Row],[Column14]]="-","", "v")</f>
        <v>v</v>
      </c>
      <c r="AB49" s="158" t="str">
        <f>IF(GCP_2[[#This Row],[Column8]]="x","1",(IF(OR(GCP_2[[#This Row],[Column25]]=2,GCP_2[[#This Row],[Column26]]=2,GCP_2[[#This Row],[Column27]]=2),"1",(IF(GCP_2[[#This Row],[Column9]]="x","2",(IF(GCP_2[[#This Row],[Column10]]="x","3","")))))))</f>
        <v>2</v>
      </c>
      <c r="AC49" s="454" t="str">
        <f>IF(GCP_2[[#This Row],[Column14]] = "-", GCP_2[[#This Row],[Column14]], LEFT(GCP_2[[#This Row],[Column14]], SEARCH(" ", GCP_2[[#This Row],[Column14]] &amp; " ") - 1))</f>
        <v>4.11</v>
      </c>
    </row>
    <row r="50" spans="1:29" ht="409.5">
      <c r="A5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0" s="137" t="str">
        <f>GCP_2[[#This Row],[Column30]]</f>
        <v>7.2</v>
      </c>
      <c r="C50" s="137">
        <v>3.11</v>
      </c>
      <c r="D50" s="138" t="s">
        <v>182</v>
      </c>
      <c r="E50" s="162" t="s">
        <v>156</v>
      </c>
      <c r="F50" s="489" t="s">
        <v>2103</v>
      </c>
      <c r="G50" s="139" t="s">
        <v>285</v>
      </c>
      <c r="H50" s="204"/>
      <c r="I50" s="164" t="s">
        <v>185</v>
      </c>
      <c r="J50" s="200" t="s">
        <v>185</v>
      </c>
      <c r="K50" s="176" t="s">
        <v>185</v>
      </c>
      <c r="L50" s="176" t="s">
        <v>185</v>
      </c>
      <c r="M50" s="158"/>
      <c r="N50" s="222" t="s">
        <v>1164</v>
      </c>
      <c r="O50" s="212">
        <v>2</v>
      </c>
      <c r="P50" s="214" t="s">
        <v>1165</v>
      </c>
      <c r="Q50" s="214" t="s">
        <v>1166</v>
      </c>
      <c r="R50" s="451" t="s">
        <v>1167</v>
      </c>
      <c r="S50" s="214" t="s">
        <v>1168</v>
      </c>
      <c r="T50" s="214" t="s">
        <v>1169</v>
      </c>
      <c r="U50" s="168" t="s">
        <v>162</v>
      </c>
      <c r="V50" s="168" t="s">
        <v>1546</v>
      </c>
      <c r="W50" s="158" t="s">
        <v>967</v>
      </c>
      <c r="X50" s="158" t="s">
        <v>185</v>
      </c>
      <c r="Y50" s="158" t="s">
        <v>185</v>
      </c>
      <c r="Z50" s="158"/>
      <c r="AA50" s="158" t="str">
        <f>IF(GCP_2[[#This Row],[Column14]]="-","", "v")</f>
        <v>v</v>
      </c>
      <c r="AB50" s="158" t="str">
        <f>IF(GCP_2[[#This Row],[Column8]]="x","1",(IF(OR(GCP_2[[#This Row],[Column25]]=2,GCP_2[[#This Row],[Column26]]=2,GCP_2[[#This Row],[Column27]]=2),"1",(IF(GCP_2[[#This Row],[Column9]]="x","2",(IF(GCP_2[[#This Row],[Column10]]="x","3","")))))))</f>
        <v>2</v>
      </c>
      <c r="AC50" s="454" t="str">
        <f>IF(GCP_2[[#This Row],[Column14]] = "-", GCP_2[[#This Row],[Column14]], LEFT(GCP_2[[#This Row],[Column14]], SEARCH(" ", GCP_2[[#This Row],[Column14]] &amp; " ") - 1))</f>
        <v>7.2</v>
      </c>
    </row>
    <row r="51" spans="1:29" ht="409.5">
      <c r="A5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1" s="137" t="str">
        <f>GCP_2[[#This Row],[Column30]]</f>
        <v>7.3</v>
      </c>
      <c r="C51" s="137">
        <v>3.11</v>
      </c>
      <c r="D51" s="138" t="s">
        <v>182</v>
      </c>
      <c r="E51" s="162" t="s">
        <v>156</v>
      </c>
      <c r="F51" s="489" t="s">
        <v>2103</v>
      </c>
      <c r="G51" s="139" t="s">
        <v>285</v>
      </c>
      <c r="H51" s="204"/>
      <c r="I51" s="164" t="s">
        <v>185</v>
      </c>
      <c r="J51" s="200" t="s">
        <v>185</v>
      </c>
      <c r="K51" s="176" t="s">
        <v>185</v>
      </c>
      <c r="L51" s="176" t="s">
        <v>185</v>
      </c>
      <c r="M51" s="158"/>
      <c r="N51" s="222" t="s">
        <v>1170</v>
      </c>
      <c r="O51" s="212">
        <v>2</v>
      </c>
      <c r="P51" s="214" t="s">
        <v>1171</v>
      </c>
      <c r="Q51" s="214" t="s">
        <v>1172</v>
      </c>
      <c r="R51" s="451" t="s">
        <v>1173</v>
      </c>
      <c r="S51" s="214" t="s">
        <v>1174</v>
      </c>
      <c r="T51" s="214" t="s">
        <v>1169</v>
      </c>
      <c r="U51" s="158" t="s">
        <v>162</v>
      </c>
      <c r="V51" s="168" t="s">
        <v>1547</v>
      </c>
      <c r="W51" s="158" t="s">
        <v>967</v>
      </c>
      <c r="X51" s="158" t="s">
        <v>185</v>
      </c>
      <c r="Y51" s="158" t="s">
        <v>185</v>
      </c>
      <c r="Z51" s="158"/>
      <c r="AA51" s="158" t="str">
        <f>IF(GCP_2[[#This Row],[Column14]]="-","", "v")</f>
        <v>v</v>
      </c>
      <c r="AB51" s="158" t="str">
        <f>IF(GCP_2[[#This Row],[Column8]]="x","1",(IF(OR(GCP_2[[#This Row],[Column25]]=2,GCP_2[[#This Row],[Column26]]=2,GCP_2[[#This Row],[Column27]]=2),"1",(IF(GCP_2[[#This Row],[Column9]]="x","2",(IF(GCP_2[[#This Row],[Column10]]="x","3","")))))))</f>
        <v>2</v>
      </c>
      <c r="AC51" s="454" t="str">
        <f>IF(GCP_2[[#This Row],[Column14]] = "-", GCP_2[[#This Row],[Column14]], LEFT(GCP_2[[#This Row],[Column14]], SEARCH(" ", GCP_2[[#This Row],[Column14]] &amp; " ") - 1))</f>
        <v>7.3</v>
      </c>
    </row>
    <row r="52" spans="1:29" ht="409.5">
      <c r="A5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2" s="137" t="str">
        <f>GCP_2[[#This Row],[Column30]]</f>
        <v>1.7</v>
      </c>
      <c r="C52" s="137">
        <v>3.11</v>
      </c>
      <c r="D52" s="138" t="s">
        <v>182</v>
      </c>
      <c r="E52" s="162" t="s">
        <v>156</v>
      </c>
      <c r="F52" s="489" t="s">
        <v>2103</v>
      </c>
      <c r="G52" s="139" t="s">
        <v>285</v>
      </c>
      <c r="H52" s="204"/>
      <c r="I52" s="164" t="s">
        <v>185</v>
      </c>
      <c r="J52" s="200" t="s">
        <v>185</v>
      </c>
      <c r="K52" s="176" t="s">
        <v>185</v>
      </c>
      <c r="L52" s="176" t="s">
        <v>185</v>
      </c>
      <c r="M52" s="158"/>
      <c r="N52" s="256" t="s">
        <v>1488</v>
      </c>
      <c r="O52" s="212">
        <v>1</v>
      </c>
      <c r="P52" s="214" t="s">
        <v>1489</v>
      </c>
      <c r="Q52" s="214" t="s">
        <v>1490</v>
      </c>
      <c r="R52" s="451" t="s">
        <v>1491</v>
      </c>
      <c r="S52" s="214" t="s">
        <v>1492</v>
      </c>
      <c r="T52" s="214" t="s">
        <v>1493</v>
      </c>
      <c r="U52" s="258" t="s">
        <v>162</v>
      </c>
      <c r="V52" s="168" t="s">
        <v>1547</v>
      </c>
      <c r="W52" s="158" t="s">
        <v>967</v>
      </c>
      <c r="X52" s="158" t="s">
        <v>185</v>
      </c>
      <c r="Y52" s="158" t="s">
        <v>185</v>
      </c>
      <c r="Z52" s="158"/>
      <c r="AA52" s="158" t="str">
        <f>IF(GCP_2[[#This Row],[Column14]]="-","", "v")</f>
        <v>v</v>
      </c>
      <c r="AB52" s="158" t="str">
        <f>IF(GCP_2[[#This Row],[Column8]]="x","1",(IF(OR(GCP_2[[#This Row],[Column25]]=2,GCP_2[[#This Row],[Column26]]=2,GCP_2[[#This Row],[Column27]]=2),"1",(IF(GCP_2[[#This Row],[Column9]]="x","2",(IF(GCP_2[[#This Row],[Column10]]="x","3","")))))))</f>
        <v>2</v>
      </c>
      <c r="AC52" s="454" t="str">
        <f>IF(GCP_2[[#This Row],[Column14]] = "-", GCP_2[[#This Row],[Column14]], LEFT(GCP_2[[#This Row],[Column14]], SEARCH(" ", GCP_2[[#This Row],[Column14]] &amp; " ") - 1))</f>
        <v>1.7</v>
      </c>
    </row>
    <row r="53" spans="1:29" ht="30">
      <c r="A5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3" s="137" t="str">
        <f>GCP_2[[#This Row],[Column30]]</f>
        <v>-</v>
      </c>
      <c r="C53" s="137">
        <v>3.12</v>
      </c>
      <c r="D53" s="138" t="s">
        <v>390</v>
      </c>
      <c r="E53" s="162" t="s">
        <v>156</v>
      </c>
      <c r="F53" s="489" t="s">
        <v>2104</v>
      </c>
      <c r="G53" s="139" t="s">
        <v>392</v>
      </c>
      <c r="H53" s="137"/>
      <c r="I53" s="164" t="s">
        <v>185</v>
      </c>
      <c r="J53" s="200" t="s">
        <v>185</v>
      </c>
      <c r="K53" s="176" t="s">
        <v>185</v>
      </c>
      <c r="L53" s="158"/>
      <c r="M53" s="158"/>
      <c r="N53" s="222" t="s">
        <v>162</v>
      </c>
      <c r="O53" s="222" t="s">
        <v>162</v>
      </c>
      <c r="P53" s="222" t="s">
        <v>162</v>
      </c>
      <c r="Q53" s="222" t="s">
        <v>162</v>
      </c>
      <c r="R53" s="451"/>
      <c r="S53" s="222" t="s">
        <v>162</v>
      </c>
      <c r="T53" s="222" t="s">
        <v>162</v>
      </c>
      <c r="U53" s="258" t="s">
        <v>162</v>
      </c>
      <c r="V53" s="168"/>
      <c r="W53" s="158" t="s">
        <v>966</v>
      </c>
      <c r="X53" s="158" t="s">
        <v>185</v>
      </c>
      <c r="Y53" s="158" t="s">
        <v>185</v>
      </c>
      <c r="Z53" s="158"/>
      <c r="AA53" s="158" t="str">
        <f>IF(GCP_2[[#This Row],[Column14]]="-","", "v")</f>
        <v/>
      </c>
      <c r="AB53" s="158" t="str">
        <f>IF(GCP_2[[#This Row],[Column8]]="x","1",(IF(OR(GCP_2[[#This Row],[Column25]]=2,GCP_2[[#This Row],[Column26]]=2,GCP_2[[#This Row],[Column27]]=2),"1",(IF(GCP_2[[#This Row],[Column9]]="x","2",(IF(GCP_2[[#This Row],[Column10]]="x","3","")))))))</f>
        <v>2</v>
      </c>
      <c r="AC53" s="454" t="str">
        <f>IF(GCP_2[[#This Row],[Column14]] = "-", GCP_2[[#This Row],[Column14]], LEFT(GCP_2[[#This Row],[Column14]], SEARCH(" ", GCP_2[[#This Row],[Column14]] &amp; " ") - 1))</f>
        <v>-</v>
      </c>
    </row>
    <row r="54" spans="1:29" ht="60">
      <c r="A5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54" s="137" t="str">
        <f>GCP_2[[#This Row],[Column30]]</f>
        <v>-</v>
      </c>
      <c r="C54" s="137">
        <v>3.13</v>
      </c>
      <c r="D54" s="138" t="s">
        <v>182</v>
      </c>
      <c r="E54" s="162" t="s">
        <v>156</v>
      </c>
      <c r="F54" s="489" t="s">
        <v>2105</v>
      </c>
      <c r="G54" s="138" t="s">
        <v>323</v>
      </c>
      <c r="H54" s="204"/>
      <c r="I54" s="204"/>
      <c r="J54" s="200" t="s">
        <v>185</v>
      </c>
      <c r="K54" s="176" t="s">
        <v>185</v>
      </c>
      <c r="L54" s="158"/>
      <c r="M54" s="158"/>
      <c r="N54" s="222" t="s">
        <v>162</v>
      </c>
      <c r="O54" s="222" t="s">
        <v>162</v>
      </c>
      <c r="P54" s="222" t="s">
        <v>162</v>
      </c>
      <c r="Q54" s="222" t="s">
        <v>162</v>
      </c>
      <c r="R54" s="451"/>
      <c r="S54" s="222" t="s">
        <v>162</v>
      </c>
      <c r="T54" s="222" t="s">
        <v>162</v>
      </c>
      <c r="U54" s="258" t="s">
        <v>162</v>
      </c>
      <c r="V54" s="168"/>
      <c r="W54" s="158" t="s">
        <v>967</v>
      </c>
      <c r="X54" s="158" t="s">
        <v>185</v>
      </c>
      <c r="Y54" s="158" t="s">
        <v>185</v>
      </c>
      <c r="Z54" s="158"/>
      <c r="AA54" s="158" t="str">
        <f>IF(GCP_2[[#This Row],[Column14]]="-","", "v")</f>
        <v/>
      </c>
      <c r="AB54" s="158" t="str">
        <f>IF(GCP_2[[#This Row],[Column8]]="x","1",(IF(OR(GCP_2[[#This Row],[Column25]]=2,GCP_2[[#This Row],[Column26]]=2,GCP_2[[#This Row],[Column27]]=2),"1",(IF(GCP_2[[#This Row],[Column9]]="x","2",(IF(GCP_2[[#This Row],[Column10]]="x","3","")))))))</f>
        <v>3</v>
      </c>
      <c r="AC54" s="454" t="str">
        <f>IF(GCP_2[[#This Row],[Column14]] = "-", GCP_2[[#This Row],[Column14]], LEFT(GCP_2[[#This Row],[Column14]], SEARCH(" ", GCP_2[[#This Row],[Column14]] &amp; " ") - 1))</f>
        <v>-</v>
      </c>
    </row>
    <row r="55" spans="1:29" ht="15.75">
      <c r="A5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55" s="137" t="str">
        <f>GCP_2[[#This Row],[Column30]]</f>
        <v>-</v>
      </c>
      <c r="C55" s="137">
        <v>3.14</v>
      </c>
      <c r="D55" s="138" t="s">
        <v>182</v>
      </c>
      <c r="E55" s="162" t="s">
        <v>155</v>
      </c>
      <c r="F55" s="489" t="s">
        <v>2106</v>
      </c>
      <c r="G55" s="138" t="s">
        <v>325</v>
      </c>
      <c r="H55" s="137"/>
      <c r="I55" s="137"/>
      <c r="J55" s="200" t="s">
        <v>185</v>
      </c>
      <c r="K55" s="176" t="s">
        <v>185</v>
      </c>
      <c r="L55" s="176" t="s">
        <v>185</v>
      </c>
      <c r="M55" s="176" t="s">
        <v>185</v>
      </c>
      <c r="N55" s="222" t="s">
        <v>162</v>
      </c>
      <c r="O55" s="222" t="s">
        <v>162</v>
      </c>
      <c r="P55" s="222" t="s">
        <v>162</v>
      </c>
      <c r="Q55" s="222" t="s">
        <v>162</v>
      </c>
      <c r="R55" s="451"/>
      <c r="S55" s="222" t="s">
        <v>162</v>
      </c>
      <c r="T55" s="222" t="s">
        <v>162</v>
      </c>
      <c r="U55" s="258" t="s">
        <v>162</v>
      </c>
      <c r="V55" s="168"/>
      <c r="W55" s="158" t="s">
        <v>967</v>
      </c>
      <c r="X55" s="158" t="s">
        <v>185</v>
      </c>
      <c r="Y55" s="158" t="s">
        <v>185</v>
      </c>
      <c r="Z55" s="158"/>
      <c r="AA55" s="158" t="str">
        <f>IF(GCP_2[[#This Row],[Column14]]="-","", "v")</f>
        <v/>
      </c>
      <c r="AB55" s="158" t="str">
        <f>IF(GCP_2[[#This Row],[Column8]]="x","1",(IF(OR(GCP_2[[#This Row],[Column25]]=2,GCP_2[[#This Row],[Column26]]=2,GCP_2[[#This Row],[Column27]]=2),"1",(IF(GCP_2[[#This Row],[Column9]]="x","2",(IF(GCP_2[[#This Row],[Column10]]="x","3","")))))))</f>
        <v>3</v>
      </c>
      <c r="AC55" s="454" t="str">
        <f>IF(GCP_2[[#This Row],[Column14]] = "-", GCP_2[[#This Row],[Column14]], LEFT(GCP_2[[#This Row],[Column14]], SEARCH(" ", GCP_2[[#This Row],[Column14]] &amp; " ") - 1))</f>
        <v>-</v>
      </c>
    </row>
    <row r="56" spans="1:29" ht="60">
      <c r="A56" s="221" t="s">
        <v>942</v>
      </c>
      <c r="B56" s="217" t="s">
        <v>162</v>
      </c>
      <c r="C56" s="217" t="s">
        <v>162</v>
      </c>
      <c r="D56" s="218" t="s">
        <v>162</v>
      </c>
      <c r="E56" s="218" t="s">
        <v>162</v>
      </c>
      <c r="F56" s="488" t="s">
        <v>2107</v>
      </c>
      <c r="G56" s="220" t="s">
        <v>394</v>
      </c>
      <c r="H56" s="218" t="s">
        <v>162</v>
      </c>
      <c r="I56" s="218" t="s">
        <v>162</v>
      </c>
      <c r="J56" s="218" t="s">
        <v>162</v>
      </c>
      <c r="K56" s="218" t="s">
        <v>162</v>
      </c>
      <c r="L56" s="218" t="s">
        <v>162</v>
      </c>
      <c r="M56" s="218" t="s">
        <v>162</v>
      </c>
      <c r="N56" s="260" t="s">
        <v>162</v>
      </c>
      <c r="O56" s="218" t="s">
        <v>162</v>
      </c>
      <c r="P56" s="218" t="s">
        <v>162</v>
      </c>
      <c r="Q56" s="218" t="s">
        <v>162</v>
      </c>
      <c r="R56" s="154"/>
      <c r="S56" s="218" t="s">
        <v>162</v>
      </c>
      <c r="T56" s="218" t="s">
        <v>162</v>
      </c>
      <c r="U56" s="217" t="s">
        <v>162</v>
      </c>
      <c r="V56" s="217" t="s">
        <v>162</v>
      </c>
      <c r="W56" s="217" t="s">
        <v>162</v>
      </c>
      <c r="X56" s="217" t="s">
        <v>162</v>
      </c>
      <c r="Y56" s="217" t="s">
        <v>162</v>
      </c>
      <c r="Z56" s="217" t="s">
        <v>162</v>
      </c>
      <c r="AA56" s="218" t="s">
        <v>162</v>
      </c>
      <c r="AB56" s="218" t="s">
        <v>162</v>
      </c>
      <c r="AC56" s="454" t="str">
        <f>IF(GCP_2[[#This Row],[Column14]] = "-", GCP_2[[#This Row],[Column14]], LEFT(GCP_2[[#This Row],[Column14]], SEARCH(" ", GCP_2[[#This Row],[Column14]] &amp; " ") - 1))</f>
        <v>-</v>
      </c>
    </row>
    <row r="57" spans="1:29" ht="409.5">
      <c r="A5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7" s="137" t="str">
        <f>GCP_2[[#This Row],[Column30]]</f>
        <v>6.3.3</v>
      </c>
      <c r="C57" s="137">
        <v>4.0999999999999996</v>
      </c>
      <c r="D57" s="138" t="s">
        <v>371</v>
      </c>
      <c r="E57" s="162" t="s">
        <v>156</v>
      </c>
      <c r="F57" s="489" t="s">
        <v>2108</v>
      </c>
      <c r="G57" s="139" t="s">
        <v>396</v>
      </c>
      <c r="H57" s="163" t="s">
        <v>185</v>
      </c>
      <c r="I57" s="164" t="s">
        <v>185</v>
      </c>
      <c r="J57" s="200" t="s">
        <v>185</v>
      </c>
      <c r="K57" s="176" t="s">
        <v>185</v>
      </c>
      <c r="L57" s="176" t="s">
        <v>185</v>
      </c>
      <c r="M57" s="176" t="s">
        <v>185</v>
      </c>
      <c r="N57" s="222" t="s">
        <v>1175</v>
      </c>
      <c r="O57" s="212">
        <v>1</v>
      </c>
      <c r="P57" s="214" t="s">
        <v>1176</v>
      </c>
      <c r="Q57" s="214" t="s">
        <v>1177</v>
      </c>
      <c r="R57" s="451" t="s">
        <v>1178</v>
      </c>
      <c r="S57" s="214" t="s">
        <v>1179</v>
      </c>
      <c r="T57" s="214" t="s">
        <v>1180</v>
      </c>
      <c r="U57" s="158" t="s">
        <v>162</v>
      </c>
      <c r="V57" s="168" t="s">
        <v>2028</v>
      </c>
      <c r="W57" s="158" t="s">
        <v>967</v>
      </c>
      <c r="X57" s="158" t="s">
        <v>185</v>
      </c>
      <c r="Y57" s="158" t="s">
        <v>185</v>
      </c>
      <c r="Z57" s="158" t="s">
        <v>185</v>
      </c>
      <c r="AA57" s="158" t="str">
        <f>IF(GCP_2[[#This Row],[Column14]]="-","", "v")</f>
        <v>v</v>
      </c>
      <c r="AB57" s="158" t="str">
        <f>IF(GCP_2[[#This Row],[Column8]]="x","1",(IF(OR(GCP_2[[#This Row],[Column25]]=2,GCP_2[[#This Row],[Column26]]=2,GCP_2[[#This Row],[Column27]]=2),"1",(IF(GCP_2[[#This Row],[Column9]]="x","2",(IF(GCP_2[[#This Row],[Column10]]="x","3","")))))))</f>
        <v>1</v>
      </c>
      <c r="AC57" s="454" t="str">
        <f>IF(GCP_2[[#This Row],[Column14]] = "-", GCP_2[[#This Row],[Column14]], LEFT(GCP_2[[#This Row],[Column14]], SEARCH(" ", GCP_2[[#This Row],[Column14]] &amp; " ") - 1))</f>
        <v>6.3.3</v>
      </c>
    </row>
    <row r="58" spans="1:29" ht="409.5">
      <c r="A5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8" s="137" t="str">
        <f>GCP_2[[#This Row],[Column30]]</f>
        <v>6.3.4</v>
      </c>
      <c r="C58" s="137">
        <v>4.0999999999999996</v>
      </c>
      <c r="D58" s="138" t="s">
        <v>371</v>
      </c>
      <c r="E58" s="162" t="s">
        <v>156</v>
      </c>
      <c r="F58" s="489" t="s">
        <v>2108</v>
      </c>
      <c r="G58" s="139" t="s">
        <v>396</v>
      </c>
      <c r="H58" s="163" t="s">
        <v>185</v>
      </c>
      <c r="I58" s="164" t="s">
        <v>185</v>
      </c>
      <c r="J58" s="200" t="s">
        <v>185</v>
      </c>
      <c r="K58" s="176" t="s">
        <v>185</v>
      </c>
      <c r="L58" s="176" t="s">
        <v>185</v>
      </c>
      <c r="M58" s="176" t="s">
        <v>185</v>
      </c>
      <c r="N58" s="222" t="s">
        <v>1181</v>
      </c>
      <c r="O58" s="212">
        <v>1</v>
      </c>
      <c r="P58" s="214" t="s">
        <v>1182</v>
      </c>
      <c r="Q58" s="214" t="s">
        <v>1183</v>
      </c>
      <c r="R58" s="451" t="s">
        <v>1184</v>
      </c>
      <c r="S58" s="214" t="s">
        <v>1185</v>
      </c>
      <c r="T58" s="214" t="s">
        <v>1186</v>
      </c>
      <c r="U58" s="258" t="s">
        <v>162</v>
      </c>
      <c r="V58" s="168" t="s">
        <v>2028</v>
      </c>
      <c r="W58" s="158" t="s">
        <v>967</v>
      </c>
      <c r="X58" s="158" t="s">
        <v>185</v>
      </c>
      <c r="Y58" s="158" t="s">
        <v>185</v>
      </c>
      <c r="Z58" s="158" t="s">
        <v>185</v>
      </c>
      <c r="AA58" s="158" t="str">
        <f>IF(GCP_2[[#This Row],[Column14]]="-","", "v")</f>
        <v>v</v>
      </c>
      <c r="AB58" s="158" t="str">
        <f>IF(GCP_2[[#This Row],[Column8]]="x","1",(IF(OR(GCP_2[[#This Row],[Column25]]=2,GCP_2[[#This Row],[Column26]]=2,GCP_2[[#This Row],[Column27]]=2),"1",(IF(GCP_2[[#This Row],[Column9]]="x","2",(IF(GCP_2[[#This Row],[Column10]]="x","3","")))))))</f>
        <v>1</v>
      </c>
      <c r="AC58" s="454" t="str">
        <f>IF(GCP_2[[#This Row],[Column14]] = "-", GCP_2[[#This Row],[Column14]], LEFT(GCP_2[[#This Row],[Column14]], SEARCH(" ", GCP_2[[#This Row],[Column14]] &amp; " ") - 1))</f>
        <v>6.3.4</v>
      </c>
    </row>
    <row r="59" spans="1:29" ht="409.5">
      <c r="A5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NOT(ISBLANK(K59)),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NOT(ISBLANK(L59)),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NOT(ISBLANK(M59)),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59" s="137" t="str">
        <f>GCP_2[[#This Row],[Column30]]</f>
        <v>6.3.6</v>
      </c>
      <c r="C59" s="137">
        <v>4.0999999999999996</v>
      </c>
      <c r="D59" s="138" t="s">
        <v>371</v>
      </c>
      <c r="E59" s="162" t="s">
        <v>156</v>
      </c>
      <c r="F59" s="489" t="s">
        <v>2108</v>
      </c>
      <c r="G59" s="139" t="s">
        <v>396</v>
      </c>
      <c r="H59" s="163" t="s">
        <v>185</v>
      </c>
      <c r="I59" s="164" t="s">
        <v>185</v>
      </c>
      <c r="J59" s="200" t="s">
        <v>185</v>
      </c>
      <c r="K59" s="176" t="s">
        <v>185</v>
      </c>
      <c r="L59" s="176" t="s">
        <v>185</v>
      </c>
      <c r="M59" s="176" t="s">
        <v>185</v>
      </c>
      <c r="N59" s="222" t="s">
        <v>1187</v>
      </c>
      <c r="O59" s="212">
        <v>1</v>
      </c>
      <c r="P59" s="214" t="s">
        <v>1188</v>
      </c>
      <c r="Q59" s="214" t="s">
        <v>1189</v>
      </c>
      <c r="R59" s="451" t="s">
        <v>1190</v>
      </c>
      <c r="S59" s="214" t="s">
        <v>1191</v>
      </c>
      <c r="T59" s="214" t="s">
        <v>1192</v>
      </c>
      <c r="U59" s="258" t="s">
        <v>162</v>
      </c>
      <c r="V59" s="168" t="s">
        <v>2028</v>
      </c>
      <c r="W59" s="158" t="s">
        <v>967</v>
      </c>
      <c r="X59" s="158" t="s">
        <v>185</v>
      </c>
      <c r="Y59" s="158" t="s">
        <v>185</v>
      </c>
      <c r="Z59" s="158" t="s">
        <v>185</v>
      </c>
      <c r="AA59" s="158" t="str">
        <f>IF(GCP_2[[#This Row],[Column14]]="-","", "v")</f>
        <v>v</v>
      </c>
      <c r="AB59" s="158" t="str">
        <f>IF(GCP_2[[#This Row],[Column8]]="x","1",(IF(OR(GCP_2[[#This Row],[Column25]]=2,GCP_2[[#This Row],[Column26]]=2,GCP_2[[#This Row],[Column27]]=2),"1",(IF(GCP_2[[#This Row],[Column9]]="x","2",(IF(GCP_2[[#This Row],[Column10]]="x","3","")))))))</f>
        <v>1</v>
      </c>
      <c r="AC59" s="454" t="str">
        <f>IF(GCP_2[[#This Row],[Column14]] = "-", GCP_2[[#This Row],[Column14]], LEFT(GCP_2[[#This Row],[Column14]], SEARCH(" ", GCP_2[[#This Row],[Column14]] &amp; " ") - 1))</f>
        <v>6.3.6</v>
      </c>
    </row>
    <row r="60" spans="1:29" ht="409.5">
      <c r="A6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0" s="137" t="str">
        <f>GCP_2[[#This Row],[Column30]]</f>
        <v>3.1</v>
      </c>
      <c r="C60" s="137">
        <v>4.2</v>
      </c>
      <c r="D60" s="138" t="s">
        <v>390</v>
      </c>
      <c r="E60" s="162" t="s">
        <v>156</v>
      </c>
      <c r="F60" s="489" t="s">
        <v>2109</v>
      </c>
      <c r="G60" s="138" t="s">
        <v>398</v>
      </c>
      <c r="H60" s="163" t="s">
        <v>185</v>
      </c>
      <c r="I60" s="164" t="s">
        <v>185</v>
      </c>
      <c r="J60" s="200" t="s">
        <v>185</v>
      </c>
      <c r="K60" s="176" t="s">
        <v>185</v>
      </c>
      <c r="L60" s="176" t="s">
        <v>185</v>
      </c>
      <c r="M60" s="176"/>
      <c r="N60" s="222" t="s">
        <v>1193</v>
      </c>
      <c r="O60" s="212">
        <v>2</v>
      </c>
      <c r="P60" s="214" t="s">
        <v>1194</v>
      </c>
      <c r="Q60" s="214" t="s">
        <v>1195</v>
      </c>
      <c r="R60" s="451" t="s">
        <v>1196</v>
      </c>
      <c r="S60" s="214" t="s">
        <v>1197</v>
      </c>
      <c r="T60" s="214" t="s">
        <v>1198</v>
      </c>
      <c r="U60" s="158" t="s">
        <v>975</v>
      </c>
      <c r="V60" s="168" t="s">
        <v>1548</v>
      </c>
      <c r="W60" s="158" t="s">
        <v>966</v>
      </c>
      <c r="X60" s="158" t="s">
        <v>185</v>
      </c>
      <c r="Y60" s="158" t="s">
        <v>185</v>
      </c>
      <c r="Z60" s="158" t="s">
        <v>185</v>
      </c>
      <c r="AA60" s="158" t="str">
        <f>IF(GCP_2[[#This Row],[Column14]]="-","", "v")</f>
        <v>v</v>
      </c>
      <c r="AB60" s="158" t="str">
        <f>IF(GCP_2[[#This Row],[Column8]]="x","1",(IF(OR(GCP_2[[#This Row],[Column25]]=2,GCP_2[[#This Row],[Column26]]=2,GCP_2[[#This Row],[Column27]]=2),"1",(IF(GCP_2[[#This Row],[Column9]]="x","2",(IF(GCP_2[[#This Row],[Column10]]="x","3","")))))))</f>
        <v>1</v>
      </c>
      <c r="AC60" s="454" t="str">
        <f>IF(GCP_2[[#This Row],[Column14]] = "-", GCP_2[[#This Row],[Column14]], LEFT(GCP_2[[#This Row],[Column14]], SEARCH(" ", GCP_2[[#This Row],[Column14]] &amp; " ") - 1))</f>
        <v>3.1</v>
      </c>
    </row>
    <row r="61" spans="1:29" ht="409.5">
      <c r="A6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1" s="137" t="str">
        <f>GCP_2[[#This Row],[Column30]]</f>
        <v>3.2</v>
      </c>
      <c r="C61" s="137">
        <v>4.2</v>
      </c>
      <c r="D61" s="138" t="s">
        <v>390</v>
      </c>
      <c r="E61" s="162" t="s">
        <v>156</v>
      </c>
      <c r="F61" s="489" t="s">
        <v>2109</v>
      </c>
      <c r="G61" s="138" t="s">
        <v>398</v>
      </c>
      <c r="H61" s="163" t="s">
        <v>185</v>
      </c>
      <c r="I61" s="164" t="s">
        <v>185</v>
      </c>
      <c r="J61" s="200" t="s">
        <v>185</v>
      </c>
      <c r="K61" s="176" t="s">
        <v>185</v>
      </c>
      <c r="L61" s="176" t="s">
        <v>185</v>
      </c>
      <c r="M61" s="176"/>
      <c r="N61" s="222" t="s">
        <v>1199</v>
      </c>
      <c r="O61" s="212">
        <v>1</v>
      </c>
      <c r="P61" s="214" t="s">
        <v>1200</v>
      </c>
      <c r="Q61" s="214" t="s">
        <v>1201</v>
      </c>
      <c r="R61" s="451" t="s">
        <v>1202</v>
      </c>
      <c r="S61" s="214" t="s">
        <v>1203</v>
      </c>
      <c r="T61" s="214" t="s">
        <v>1204</v>
      </c>
      <c r="U61" s="258" t="s">
        <v>162</v>
      </c>
      <c r="V61" s="168" t="s">
        <v>1549</v>
      </c>
      <c r="W61" s="158" t="s">
        <v>967</v>
      </c>
      <c r="X61" s="158" t="s">
        <v>185</v>
      </c>
      <c r="Y61" s="158" t="s">
        <v>185</v>
      </c>
      <c r="Z61" s="158" t="s">
        <v>185</v>
      </c>
      <c r="AA61" s="158" t="str">
        <f>IF(GCP_2[[#This Row],[Column14]]="-","", "v")</f>
        <v>v</v>
      </c>
      <c r="AB61" s="158" t="str">
        <f>IF(GCP_2[[#This Row],[Column8]]="x","1",(IF(OR(GCP_2[[#This Row],[Column25]]=2,GCP_2[[#This Row],[Column26]]=2,GCP_2[[#This Row],[Column27]]=2),"1",(IF(GCP_2[[#This Row],[Column9]]="x","2",(IF(GCP_2[[#This Row],[Column10]]="x","3","")))))))</f>
        <v>1</v>
      </c>
      <c r="AC61" s="454" t="str">
        <f>IF(GCP_2[[#This Row],[Column14]] = "-", GCP_2[[#This Row],[Column14]], LEFT(GCP_2[[#This Row],[Column14]], SEARCH(" ", GCP_2[[#This Row],[Column14]] &amp; " ") - 1))</f>
        <v>3.2</v>
      </c>
    </row>
    <row r="62" spans="1:29" ht="409.5">
      <c r="A6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2" s="137" t="str">
        <f>GCP_2[[#This Row],[Column30]]</f>
        <v>3.3</v>
      </c>
      <c r="C62" s="137">
        <v>4.2</v>
      </c>
      <c r="D62" s="138" t="s">
        <v>390</v>
      </c>
      <c r="E62" s="162" t="s">
        <v>156</v>
      </c>
      <c r="F62" s="489" t="s">
        <v>2109</v>
      </c>
      <c r="G62" s="138" t="s">
        <v>398</v>
      </c>
      <c r="H62" s="163" t="s">
        <v>185</v>
      </c>
      <c r="I62" s="164" t="s">
        <v>185</v>
      </c>
      <c r="J62" s="200" t="s">
        <v>185</v>
      </c>
      <c r="K62" s="176" t="s">
        <v>185</v>
      </c>
      <c r="L62" s="176" t="s">
        <v>185</v>
      </c>
      <c r="M62" s="176"/>
      <c r="N62" s="222" t="s">
        <v>1205</v>
      </c>
      <c r="O62" s="212">
        <v>1</v>
      </c>
      <c r="P62" s="214" t="s">
        <v>1206</v>
      </c>
      <c r="Q62" s="214" t="s">
        <v>1207</v>
      </c>
      <c r="R62" s="451" t="s">
        <v>1208</v>
      </c>
      <c r="S62" s="214" t="s">
        <v>1209</v>
      </c>
      <c r="T62" s="214" t="s">
        <v>1210</v>
      </c>
      <c r="U62" s="158" t="s">
        <v>162</v>
      </c>
      <c r="V62" s="168" t="s">
        <v>1550</v>
      </c>
      <c r="W62" s="158" t="s">
        <v>967</v>
      </c>
      <c r="X62" s="158" t="s">
        <v>185</v>
      </c>
      <c r="Y62" s="158" t="s">
        <v>185</v>
      </c>
      <c r="Z62" s="158" t="s">
        <v>185</v>
      </c>
      <c r="AA62" s="158" t="str">
        <f>IF(GCP_2[[#This Row],[Column14]]="-","", "v")</f>
        <v>v</v>
      </c>
      <c r="AB62" s="158" t="str">
        <f>IF(GCP_2[[#This Row],[Column8]]="x","1",(IF(OR(GCP_2[[#This Row],[Column25]]=2,GCP_2[[#This Row],[Column26]]=2,GCP_2[[#This Row],[Column27]]=2),"1",(IF(GCP_2[[#This Row],[Column9]]="x","2",(IF(GCP_2[[#This Row],[Column10]]="x","3","")))))))</f>
        <v>1</v>
      </c>
      <c r="AC62" s="454" t="str">
        <f>IF(GCP_2[[#This Row],[Column14]] = "-", GCP_2[[#This Row],[Column14]], LEFT(GCP_2[[#This Row],[Column14]], SEARCH(" ", GCP_2[[#This Row],[Column14]] &amp; " ") - 1))</f>
        <v>3.3</v>
      </c>
    </row>
    <row r="63" spans="1:29" ht="409.5">
      <c r="A6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3" s="137" t="str">
        <f>GCP_2[[#This Row],[Column30]]</f>
        <v>3.5</v>
      </c>
      <c r="C63" s="137">
        <v>4.2</v>
      </c>
      <c r="D63" s="138" t="s">
        <v>390</v>
      </c>
      <c r="E63" s="162" t="s">
        <v>156</v>
      </c>
      <c r="F63" s="489" t="s">
        <v>2109</v>
      </c>
      <c r="G63" s="138" t="s">
        <v>398</v>
      </c>
      <c r="H63" s="163" t="s">
        <v>185</v>
      </c>
      <c r="I63" s="164" t="s">
        <v>185</v>
      </c>
      <c r="J63" s="200" t="s">
        <v>185</v>
      </c>
      <c r="K63" s="176" t="s">
        <v>185</v>
      </c>
      <c r="L63" s="176" t="s">
        <v>185</v>
      </c>
      <c r="M63" s="176"/>
      <c r="N63" s="222" t="s">
        <v>1211</v>
      </c>
      <c r="O63" s="212">
        <v>1</v>
      </c>
      <c r="P63" s="214" t="s">
        <v>1212</v>
      </c>
      <c r="Q63" s="214" t="s">
        <v>1213</v>
      </c>
      <c r="R63" s="451" t="s">
        <v>1214</v>
      </c>
      <c r="S63" s="214" t="s">
        <v>1215</v>
      </c>
      <c r="T63" s="214" t="s">
        <v>1216</v>
      </c>
      <c r="U63" s="258" t="s">
        <v>162</v>
      </c>
      <c r="V63" s="168" t="s">
        <v>1550</v>
      </c>
      <c r="W63" s="158" t="s">
        <v>967</v>
      </c>
      <c r="X63" s="158" t="s">
        <v>185</v>
      </c>
      <c r="Y63" s="158" t="s">
        <v>185</v>
      </c>
      <c r="Z63" s="158" t="s">
        <v>185</v>
      </c>
      <c r="AA63" s="158" t="str">
        <f>IF(GCP_2[[#This Row],[Column14]]="-","", "v")</f>
        <v>v</v>
      </c>
      <c r="AB63" s="158" t="str">
        <f>IF(GCP_2[[#This Row],[Column8]]="x","1",(IF(OR(GCP_2[[#This Row],[Column25]]=2,GCP_2[[#This Row],[Column26]]=2,GCP_2[[#This Row],[Column27]]=2),"1",(IF(GCP_2[[#This Row],[Column9]]="x","2",(IF(GCP_2[[#This Row],[Column10]]="x","3","")))))))</f>
        <v>1</v>
      </c>
      <c r="AC63" s="454" t="str">
        <f>IF(GCP_2[[#This Row],[Column14]] = "-", GCP_2[[#This Row],[Column14]], LEFT(GCP_2[[#This Row],[Column14]], SEARCH(" ", GCP_2[[#This Row],[Column14]] &amp; " ") - 1))</f>
        <v>3.5</v>
      </c>
    </row>
    <row r="64" spans="1:29" ht="409.5">
      <c r="A6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4" s="137" t="str">
        <f>GCP_2[[#This Row],[Column30]]</f>
        <v>3.4</v>
      </c>
      <c r="C64" s="137">
        <v>4.2</v>
      </c>
      <c r="D64" s="138" t="s">
        <v>390</v>
      </c>
      <c r="E64" s="162" t="s">
        <v>156</v>
      </c>
      <c r="F64" s="489" t="s">
        <v>2109</v>
      </c>
      <c r="G64" s="138" t="s">
        <v>398</v>
      </c>
      <c r="H64" s="163" t="s">
        <v>185</v>
      </c>
      <c r="I64" s="164" t="s">
        <v>185</v>
      </c>
      <c r="J64" s="200" t="s">
        <v>185</v>
      </c>
      <c r="K64" s="176" t="s">
        <v>185</v>
      </c>
      <c r="L64" s="176" t="s">
        <v>185</v>
      </c>
      <c r="M64" s="176"/>
      <c r="N64" s="222" t="s">
        <v>1217</v>
      </c>
      <c r="O64" s="212">
        <v>1</v>
      </c>
      <c r="P64" s="214" t="s">
        <v>1212</v>
      </c>
      <c r="Q64" s="214" t="s">
        <v>1218</v>
      </c>
      <c r="R64" s="451" t="s">
        <v>1219</v>
      </c>
      <c r="S64" s="214" t="s">
        <v>1220</v>
      </c>
      <c r="T64" s="214" t="s">
        <v>1216</v>
      </c>
      <c r="U64" s="258" t="s">
        <v>162</v>
      </c>
      <c r="V64" s="168" t="s">
        <v>1550</v>
      </c>
      <c r="W64" s="158" t="s">
        <v>967</v>
      </c>
      <c r="X64" s="158" t="s">
        <v>185</v>
      </c>
      <c r="Y64" s="158" t="s">
        <v>185</v>
      </c>
      <c r="Z64" s="158" t="s">
        <v>185</v>
      </c>
      <c r="AA64" s="158" t="str">
        <f>IF(GCP_2[[#This Row],[Column14]]="-","", "v")</f>
        <v>v</v>
      </c>
      <c r="AB64" s="158" t="str">
        <f>IF(GCP_2[[#This Row],[Column8]]="x","1",(IF(OR(GCP_2[[#This Row],[Column25]]=2,GCP_2[[#This Row],[Column26]]=2,GCP_2[[#This Row],[Column27]]=2),"1",(IF(GCP_2[[#This Row],[Column9]]="x","2",(IF(GCP_2[[#This Row],[Column10]]="x","3","")))))))</f>
        <v>1</v>
      </c>
      <c r="AC64" s="454" t="str">
        <f>IF(GCP_2[[#This Row],[Column14]] = "-", GCP_2[[#This Row],[Column14]], LEFT(GCP_2[[#This Row],[Column14]], SEARCH(" ", GCP_2[[#This Row],[Column14]] &amp; " ") - 1))</f>
        <v>3.4</v>
      </c>
    </row>
    <row r="65" spans="1:29" ht="45">
      <c r="A6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5" s="137" t="str">
        <f>GCP_2[[#This Row],[Column30]]</f>
        <v>-</v>
      </c>
      <c r="C65" s="137">
        <v>4.3</v>
      </c>
      <c r="D65" s="138" t="s">
        <v>399</v>
      </c>
      <c r="E65" s="162" t="s">
        <v>156</v>
      </c>
      <c r="F65" s="489" t="s">
        <v>2110</v>
      </c>
      <c r="G65" s="138" t="s">
        <v>401</v>
      </c>
      <c r="H65" s="163" t="s">
        <v>185</v>
      </c>
      <c r="I65" s="164" t="s">
        <v>185</v>
      </c>
      <c r="J65" s="200" t="s">
        <v>185</v>
      </c>
      <c r="K65" s="176" t="s">
        <v>185</v>
      </c>
      <c r="L65" s="176"/>
      <c r="M65" s="176"/>
      <c r="N65" s="222" t="s">
        <v>162</v>
      </c>
      <c r="O65" s="222" t="s">
        <v>162</v>
      </c>
      <c r="P65" s="222" t="s">
        <v>162</v>
      </c>
      <c r="Q65" s="222" t="s">
        <v>162</v>
      </c>
      <c r="R65" s="451"/>
      <c r="S65" s="222" t="s">
        <v>162</v>
      </c>
      <c r="T65" s="222" t="s">
        <v>162</v>
      </c>
      <c r="U65" s="258" t="s">
        <v>162</v>
      </c>
      <c r="V65" s="168"/>
      <c r="W65" s="158" t="s">
        <v>967</v>
      </c>
      <c r="X65" s="158" t="s">
        <v>185</v>
      </c>
      <c r="Y65" s="158" t="s">
        <v>185</v>
      </c>
      <c r="Z65" s="158" t="s">
        <v>185</v>
      </c>
      <c r="AA65" s="158" t="str">
        <f>IF(GCP_2[[#This Row],[Column14]]="-","", "v")</f>
        <v/>
      </c>
      <c r="AB65" s="158" t="str">
        <f>IF(GCP_2[[#This Row],[Column8]]="x","1",(IF(OR(GCP_2[[#This Row],[Column25]]=2,GCP_2[[#This Row],[Column26]]=2,GCP_2[[#This Row],[Column27]]=2),"1",(IF(GCP_2[[#This Row],[Column9]]="x","2",(IF(GCP_2[[#This Row],[Column10]]="x","3","")))))))</f>
        <v>1</v>
      </c>
      <c r="AC65" s="454" t="str">
        <f>IF(GCP_2[[#This Row],[Column14]] = "-", GCP_2[[#This Row],[Column14]], LEFT(GCP_2[[#This Row],[Column14]], SEARCH(" ", GCP_2[[#This Row],[Column14]] &amp; " ") - 1))</f>
        <v>-</v>
      </c>
    </row>
    <row r="66" spans="1:29" ht="409.5">
      <c r="A6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6" s="137" t="str">
        <f>GCP_2[[#This Row],[Column30]]</f>
        <v>3.6</v>
      </c>
      <c r="C66" s="137">
        <v>4.4000000000000004</v>
      </c>
      <c r="D66" s="138" t="s">
        <v>352</v>
      </c>
      <c r="E66" s="162" t="s">
        <v>156</v>
      </c>
      <c r="F66" s="489" t="s">
        <v>2111</v>
      </c>
      <c r="G66" s="138" t="s">
        <v>403</v>
      </c>
      <c r="H66" s="163" t="s">
        <v>185</v>
      </c>
      <c r="I66" s="164" t="s">
        <v>185</v>
      </c>
      <c r="J66" s="200" t="s">
        <v>185</v>
      </c>
      <c r="K66" s="176" t="s">
        <v>185</v>
      </c>
      <c r="L66" s="176" t="s">
        <v>185</v>
      </c>
      <c r="M66" s="176"/>
      <c r="N66" s="222" t="s">
        <v>1221</v>
      </c>
      <c r="O66" s="212">
        <v>2</v>
      </c>
      <c r="P66" s="214" t="s">
        <v>1222</v>
      </c>
      <c r="Q66" s="214" t="s">
        <v>1223</v>
      </c>
      <c r="R66" s="451" t="s">
        <v>1224</v>
      </c>
      <c r="S66" s="214" t="s">
        <v>1225</v>
      </c>
      <c r="T66" s="214" t="s">
        <v>1226</v>
      </c>
      <c r="U66" s="158" t="s">
        <v>975</v>
      </c>
      <c r="V66" s="168" t="s">
        <v>1538</v>
      </c>
      <c r="W66" s="158" t="s">
        <v>967</v>
      </c>
      <c r="X66" s="158" t="s">
        <v>185</v>
      </c>
      <c r="Y66" s="158" t="s">
        <v>185</v>
      </c>
      <c r="Z66" s="158" t="s">
        <v>185</v>
      </c>
      <c r="AA66" s="158" t="str">
        <f>IF(GCP_2[[#This Row],[Column14]]="-","", "v")</f>
        <v>v</v>
      </c>
      <c r="AB66" s="158" t="str">
        <f>IF(GCP_2[[#This Row],[Column8]]="x","1",(IF(OR(GCP_2[[#This Row],[Column25]]=2,GCP_2[[#This Row],[Column26]]=2,GCP_2[[#This Row],[Column27]]=2),"1",(IF(GCP_2[[#This Row],[Column9]]="x","2",(IF(GCP_2[[#This Row],[Column10]]="x","3","")))))))</f>
        <v>1</v>
      </c>
      <c r="AC66" s="454" t="str">
        <f>IF(GCP_2[[#This Row],[Column14]] = "-", GCP_2[[#This Row],[Column14]], LEFT(GCP_2[[#This Row],[Column14]], SEARCH(" ", GCP_2[[#This Row],[Column14]] &amp; " ") - 1))</f>
        <v>3.6</v>
      </c>
    </row>
    <row r="67" spans="1:29" ht="409.5">
      <c r="A6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7" s="137" t="str">
        <f>GCP_2[[#This Row],[Column30]]</f>
        <v>3.7</v>
      </c>
      <c r="C67" s="137">
        <v>4.4000000000000004</v>
      </c>
      <c r="D67" s="138" t="s">
        <v>352</v>
      </c>
      <c r="E67" s="162" t="s">
        <v>156</v>
      </c>
      <c r="F67" s="489" t="s">
        <v>2111</v>
      </c>
      <c r="G67" s="138" t="s">
        <v>403</v>
      </c>
      <c r="H67" s="163" t="s">
        <v>185</v>
      </c>
      <c r="I67" s="164" t="s">
        <v>185</v>
      </c>
      <c r="J67" s="200" t="s">
        <v>185</v>
      </c>
      <c r="K67" s="176" t="s">
        <v>185</v>
      </c>
      <c r="L67" s="176" t="s">
        <v>185</v>
      </c>
      <c r="M67" s="176"/>
      <c r="N67" s="222" t="s">
        <v>1227</v>
      </c>
      <c r="O67" s="212">
        <v>2</v>
      </c>
      <c r="P67" s="214" t="s">
        <v>1228</v>
      </c>
      <c r="Q67" s="214" t="s">
        <v>1229</v>
      </c>
      <c r="R67" s="451" t="s">
        <v>1230</v>
      </c>
      <c r="S67" s="214" t="s">
        <v>1231</v>
      </c>
      <c r="T67" s="214" t="s">
        <v>1226</v>
      </c>
      <c r="U67" s="158" t="s">
        <v>975</v>
      </c>
      <c r="V67" s="168" t="s">
        <v>2029</v>
      </c>
      <c r="W67" s="158" t="s">
        <v>966</v>
      </c>
      <c r="X67" s="158" t="s">
        <v>185</v>
      </c>
      <c r="Y67" s="158" t="s">
        <v>185</v>
      </c>
      <c r="Z67" s="158" t="s">
        <v>185</v>
      </c>
      <c r="AA67" s="158" t="str">
        <f>IF(GCP_2[[#This Row],[Column14]]="-","", "v")</f>
        <v>v</v>
      </c>
      <c r="AB67" s="158" t="str">
        <f>IF(GCP_2[[#This Row],[Column8]]="x","1",(IF(OR(GCP_2[[#This Row],[Column25]]=2,GCP_2[[#This Row],[Column26]]=2,GCP_2[[#This Row],[Column27]]=2),"1",(IF(GCP_2[[#This Row],[Column9]]="x","2",(IF(GCP_2[[#This Row],[Column10]]="x","3","")))))))</f>
        <v>1</v>
      </c>
      <c r="AC67" s="454" t="str">
        <f>IF(GCP_2[[#This Row],[Column14]] = "-", GCP_2[[#This Row],[Column14]], LEFT(GCP_2[[#This Row],[Column14]], SEARCH(" ", GCP_2[[#This Row],[Column14]] &amp; " ") - 1))</f>
        <v>3.7</v>
      </c>
    </row>
    <row r="68" spans="1:29" ht="409.5">
      <c r="A6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8" s="137" t="str">
        <f>GCP_2[[#This Row],[Column30]]</f>
        <v>4.6</v>
      </c>
      <c r="C68" s="137">
        <v>4.4000000000000004</v>
      </c>
      <c r="D68" s="138" t="s">
        <v>352</v>
      </c>
      <c r="E68" s="162" t="s">
        <v>156</v>
      </c>
      <c r="F68" s="489" t="s">
        <v>2111</v>
      </c>
      <c r="G68" s="138" t="s">
        <v>403</v>
      </c>
      <c r="H68" s="163" t="s">
        <v>185</v>
      </c>
      <c r="I68" s="164" t="s">
        <v>185</v>
      </c>
      <c r="J68" s="200" t="s">
        <v>185</v>
      </c>
      <c r="K68" s="176" t="s">
        <v>185</v>
      </c>
      <c r="L68" s="176" t="s">
        <v>185</v>
      </c>
      <c r="M68" s="176"/>
      <c r="N68" s="222" t="s">
        <v>1232</v>
      </c>
      <c r="O68" s="212">
        <v>1</v>
      </c>
      <c r="P68" s="214" t="s">
        <v>1233</v>
      </c>
      <c r="Q68" s="214" t="s">
        <v>1234</v>
      </c>
      <c r="R68" s="451" t="s">
        <v>1235</v>
      </c>
      <c r="S68" s="214" t="s">
        <v>1236</v>
      </c>
      <c r="T68" s="214" t="s">
        <v>1237</v>
      </c>
      <c r="U68" s="258" t="s">
        <v>162</v>
      </c>
      <c r="V68" s="168" t="s">
        <v>1551</v>
      </c>
      <c r="W68" s="158" t="s">
        <v>967</v>
      </c>
      <c r="X68" s="158" t="s">
        <v>185</v>
      </c>
      <c r="Y68" s="158" t="s">
        <v>185</v>
      </c>
      <c r="Z68" s="158" t="s">
        <v>185</v>
      </c>
      <c r="AA68" s="158" t="str">
        <f>IF(GCP_2[[#This Row],[Column14]]="-","", "v")</f>
        <v>v</v>
      </c>
      <c r="AB68" s="158" t="str">
        <f>IF(GCP_2[[#This Row],[Column8]]="x","1",(IF(OR(GCP_2[[#This Row],[Column25]]=2,GCP_2[[#This Row],[Column26]]=2,GCP_2[[#This Row],[Column27]]=2),"1",(IF(GCP_2[[#This Row],[Column9]]="x","2",(IF(GCP_2[[#This Row],[Column10]]="x","3","")))))))</f>
        <v>1</v>
      </c>
      <c r="AC68" s="454" t="str">
        <f>IF(GCP_2[[#This Row],[Column14]] = "-", GCP_2[[#This Row],[Column14]], LEFT(GCP_2[[#This Row],[Column14]], SEARCH(" ", GCP_2[[#This Row],[Column14]] &amp; " ") - 1))</f>
        <v>4.6</v>
      </c>
    </row>
    <row r="69" spans="1:29" ht="409.5">
      <c r="A6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NOT(ISBLANK(K69)),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NOT(ISBLANK(L69)),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NOT(ISBLANK(M69)),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69" s="137" t="str">
        <f>GCP_2[[#This Row],[Column30]]</f>
        <v>3.6</v>
      </c>
      <c r="C69" s="137">
        <v>4.5</v>
      </c>
      <c r="D69" s="138" t="s">
        <v>352</v>
      </c>
      <c r="E69" s="162" t="s">
        <v>156</v>
      </c>
      <c r="F69" s="489" t="s">
        <v>2112</v>
      </c>
      <c r="G69" s="138" t="s">
        <v>405</v>
      </c>
      <c r="H69" s="163" t="s">
        <v>185</v>
      </c>
      <c r="I69" s="164" t="s">
        <v>185</v>
      </c>
      <c r="J69" s="200" t="s">
        <v>185</v>
      </c>
      <c r="K69" s="176" t="s">
        <v>185</v>
      </c>
      <c r="L69" s="176" t="s">
        <v>185</v>
      </c>
      <c r="M69" s="176"/>
      <c r="N69" s="222" t="s">
        <v>1221</v>
      </c>
      <c r="O69" s="212">
        <v>2</v>
      </c>
      <c r="P69" s="214" t="s">
        <v>1222</v>
      </c>
      <c r="Q69" s="214" t="s">
        <v>1223</v>
      </c>
      <c r="R69" s="451" t="s">
        <v>1224</v>
      </c>
      <c r="S69" s="214" t="s">
        <v>1225</v>
      </c>
      <c r="T69" s="214" t="s">
        <v>1226</v>
      </c>
      <c r="U69" s="258" t="s">
        <v>162</v>
      </c>
      <c r="V69" s="168" t="s">
        <v>1538</v>
      </c>
      <c r="W69" s="158" t="s">
        <v>966</v>
      </c>
      <c r="X69" s="158" t="s">
        <v>185</v>
      </c>
      <c r="Y69" s="158" t="s">
        <v>185</v>
      </c>
      <c r="Z69" s="158" t="s">
        <v>185</v>
      </c>
      <c r="AA69" s="158" t="str">
        <f>IF(GCP_2[[#This Row],[Column14]]="-","", "v")</f>
        <v>v</v>
      </c>
      <c r="AB69" s="158" t="str">
        <f>IF(GCP_2[[#This Row],[Column8]]="x","1",(IF(OR(GCP_2[[#This Row],[Column25]]=2,GCP_2[[#This Row],[Column26]]=2,GCP_2[[#This Row],[Column27]]=2),"1",(IF(GCP_2[[#This Row],[Column9]]="x","2",(IF(GCP_2[[#This Row],[Column10]]="x","3","")))))))</f>
        <v>1</v>
      </c>
      <c r="AC69" s="454" t="str">
        <f>IF(GCP_2[[#This Row],[Column14]] = "-", GCP_2[[#This Row],[Column14]], LEFT(GCP_2[[#This Row],[Column14]], SEARCH(" ", GCP_2[[#This Row],[Column14]] &amp; " ") - 1))</f>
        <v>3.6</v>
      </c>
    </row>
    <row r="70" spans="1:29" ht="409.5">
      <c r="A7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0" s="137" t="str">
        <f>GCP_2[[#This Row],[Column30]]</f>
        <v>3.7</v>
      </c>
      <c r="C70" s="137">
        <v>4.5</v>
      </c>
      <c r="D70" s="138" t="s">
        <v>352</v>
      </c>
      <c r="E70" s="162" t="s">
        <v>156</v>
      </c>
      <c r="F70" s="489" t="s">
        <v>2112</v>
      </c>
      <c r="G70" s="138" t="s">
        <v>405</v>
      </c>
      <c r="H70" s="163" t="s">
        <v>185</v>
      </c>
      <c r="I70" s="164" t="s">
        <v>185</v>
      </c>
      <c r="J70" s="200" t="s">
        <v>185</v>
      </c>
      <c r="K70" s="176" t="s">
        <v>185</v>
      </c>
      <c r="L70" s="176" t="s">
        <v>185</v>
      </c>
      <c r="M70" s="176"/>
      <c r="N70" s="222" t="s">
        <v>1227</v>
      </c>
      <c r="O70" s="212">
        <v>2</v>
      </c>
      <c r="P70" s="214" t="s">
        <v>1228</v>
      </c>
      <c r="Q70" s="214" t="s">
        <v>1229</v>
      </c>
      <c r="R70" s="451" t="s">
        <v>1238</v>
      </c>
      <c r="S70" s="214" t="s">
        <v>1231</v>
      </c>
      <c r="T70" s="214" t="s">
        <v>1226</v>
      </c>
      <c r="U70" s="258" t="s">
        <v>162</v>
      </c>
      <c r="V70" s="168" t="s">
        <v>1552</v>
      </c>
      <c r="W70" s="158" t="s">
        <v>966</v>
      </c>
      <c r="X70" s="158" t="s">
        <v>185</v>
      </c>
      <c r="Y70" s="158" t="s">
        <v>185</v>
      </c>
      <c r="Z70" s="158" t="s">
        <v>185</v>
      </c>
      <c r="AA70" s="158" t="str">
        <f>IF(GCP_2[[#This Row],[Column14]]="-","", "v")</f>
        <v>v</v>
      </c>
      <c r="AB70" s="158" t="str">
        <f>IF(GCP_2[[#This Row],[Column8]]="x","1",(IF(OR(GCP_2[[#This Row],[Column25]]=2,GCP_2[[#This Row],[Column26]]=2,GCP_2[[#This Row],[Column27]]=2),"1",(IF(GCP_2[[#This Row],[Column9]]="x","2",(IF(GCP_2[[#This Row],[Column10]]="x","3","")))))))</f>
        <v>1</v>
      </c>
      <c r="AC70" s="454" t="str">
        <f>IF(GCP_2[[#This Row],[Column14]] = "-", GCP_2[[#This Row],[Column14]], LEFT(GCP_2[[#This Row],[Column14]], SEARCH(" ", GCP_2[[#This Row],[Column14]] &amp; " ") - 1))</f>
        <v>3.7</v>
      </c>
    </row>
    <row r="71" spans="1:29" ht="409.5">
      <c r="A7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1" s="137" t="str">
        <f>GCP_2[[#This Row],[Column30]]</f>
        <v>4.6</v>
      </c>
      <c r="C71" s="137">
        <v>4.5</v>
      </c>
      <c r="D71" s="138" t="s">
        <v>352</v>
      </c>
      <c r="E71" s="162" t="s">
        <v>156</v>
      </c>
      <c r="F71" s="489" t="s">
        <v>2112</v>
      </c>
      <c r="G71" s="138" t="s">
        <v>405</v>
      </c>
      <c r="H71" s="163" t="s">
        <v>185</v>
      </c>
      <c r="I71" s="164" t="s">
        <v>185</v>
      </c>
      <c r="J71" s="200" t="s">
        <v>185</v>
      </c>
      <c r="K71" s="176" t="s">
        <v>185</v>
      </c>
      <c r="L71" s="176" t="s">
        <v>185</v>
      </c>
      <c r="M71" s="176"/>
      <c r="N71" s="222" t="s">
        <v>1232</v>
      </c>
      <c r="O71" s="212">
        <v>1</v>
      </c>
      <c r="P71" s="214" t="s">
        <v>1233</v>
      </c>
      <c r="Q71" s="214" t="s">
        <v>1234</v>
      </c>
      <c r="R71" s="451" t="s">
        <v>1235</v>
      </c>
      <c r="S71" s="214" t="s">
        <v>1236</v>
      </c>
      <c r="T71" s="214" t="s">
        <v>1237</v>
      </c>
      <c r="U71" s="258" t="s">
        <v>162</v>
      </c>
      <c r="V71" s="168" t="s">
        <v>1551</v>
      </c>
      <c r="W71" s="158" t="s">
        <v>967</v>
      </c>
      <c r="X71" s="158" t="s">
        <v>185</v>
      </c>
      <c r="Y71" s="158" t="s">
        <v>185</v>
      </c>
      <c r="Z71" s="158" t="s">
        <v>185</v>
      </c>
      <c r="AA71" s="158" t="str">
        <f>IF(GCP_2[[#This Row],[Column14]]="-","", "v")</f>
        <v>v</v>
      </c>
      <c r="AB71" s="158" t="str">
        <f>IF(GCP_2[[#This Row],[Column8]]="x","1",(IF(OR(GCP_2[[#This Row],[Column25]]=2,GCP_2[[#This Row],[Column26]]=2,GCP_2[[#This Row],[Column27]]=2),"1",(IF(GCP_2[[#This Row],[Column9]]="x","2",(IF(GCP_2[[#This Row],[Column10]]="x","3","")))))))</f>
        <v>1</v>
      </c>
      <c r="AC71" s="454" t="str">
        <f>IF(GCP_2[[#This Row],[Column14]] = "-", GCP_2[[#This Row],[Column14]], LEFT(GCP_2[[#This Row],[Column14]], SEARCH(" ", GCP_2[[#This Row],[Column14]] &amp; " ") - 1))</f>
        <v>4.6</v>
      </c>
    </row>
    <row r="72" spans="1:29" ht="409.5">
      <c r="A7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2" s="137" t="str">
        <f>GCP_2[[#This Row],[Column30]]</f>
        <v>6.2.9</v>
      </c>
      <c r="C72" s="137">
        <v>4.5999999999999996</v>
      </c>
      <c r="D72" s="138" t="s">
        <v>390</v>
      </c>
      <c r="E72" s="162" t="s">
        <v>156</v>
      </c>
      <c r="F72" s="489" t="s">
        <v>2113</v>
      </c>
      <c r="G72" s="139" t="s">
        <v>407</v>
      </c>
      <c r="H72" s="163" t="s">
        <v>185</v>
      </c>
      <c r="I72" s="164" t="s">
        <v>185</v>
      </c>
      <c r="J72" s="200" t="s">
        <v>185</v>
      </c>
      <c r="K72" s="176" t="s">
        <v>185</v>
      </c>
      <c r="L72" s="176" t="s">
        <v>185</v>
      </c>
      <c r="M72" s="176" t="s">
        <v>185</v>
      </c>
      <c r="N72" s="222" t="s">
        <v>1239</v>
      </c>
      <c r="O72" s="212">
        <v>1</v>
      </c>
      <c r="P72" s="214" t="s">
        <v>1240</v>
      </c>
      <c r="Q72" s="214" t="s">
        <v>1241</v>
      </c>
      <c r="R72" s="451" t="s">
        <v>1242</v>
      </c>
      <c r="S72" s="214" t="s">
        <v>1243</v>
      </c>
      <c r="T72" s="214" t="s">
        <v>1244</v>
      </c>
      <c r="U72" s="158" t="s">
        <v>975</v>
      </c>
      <c r="V72" s="168" t="s">
        <v>1527</v>
      </c>
      <c r="W72" s="158" t="s">
        <v>967</v>
      </c>
      <c r="X72" s="158" t="s">
        <v>185</v>
      </c>
      <c r="Y72" s="158" t="s">
        <v>185</v>
      </c>
      <c r="Z72" s="158" t="s">
        <v>185</v>
      </c>
      <c r="AA72" s="158" t="str">
        <f>IF(GCP_2[[#This Row],[Column14]]="-","", "v")</f>
        <v>v</v>
      </c>
      <c r="AB72" s="158" t="str">
        <f>IF(GCP_2[[#This Row],[Column8]]="x","1",(IF(OR(GCP_2[[#This Row],[Column25]]=2,GCP_2[[#This Row],[Column26]]=2,GCP_2[[#This Row],[Column27]]=2),"1",(IF(GCP_2[[#This Row],[Column9]]="x","2",(IF(GCP_2[[#This Row],[Column10]]="x","3","")))))))</f>
        <v>1</v>
      </c>
      <c r="AC72" s="454" t="str">
        <f>IF(GCP_2[[#This Row],[Column14]] = "-", GCP_2[[#This Row],[Column14]], LEFT(GCP_2[[#This Row],[Column14]], SEARCH(" ", GCP_2[[#This Row],[Column14]] &amp; " ") - 1))</f>
        <v>6.2.9</v>
      </c>
    </row>
    <row r="73" spans="1:29" ht="409.5">
      <c r="A7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3" s="137" t="str">
        <f>GCP_2[[#This Row],[Column30]]</f>
        <v>4.1</v>
      </c>
      <c r="C73" s="137">
        <v>4.7</v>
      </c>
      <c r="D73" s="138" t="s">
        <v>399</v>
      </c>
      <c r="E73" s="162" t="s">
        <v>156</v>
      </c>
      <c r="F73" s="489" t="s">
        <v>2114</v>
      </c>
      <c r="G73" s="139" t="s">
        <v>409</v>
      </c>
      <c r="H73" s="163" t="s">
        <v>185</v>
      </c>
      <c r="I73" s="164" t="s">
        <v>185</v>
      </c>
      <c r="J73" s="200" t="s">
        <v>185</v>
      </c>
      <c r="K73" s="176" t="s">
        <v>185</v>
      </c>
      <c r="L73" s="176" t="s">
        <v>185</v>
      </c>
      <c r="M73" s="176" t="s">
        <v>185</v>
      </c>
      <c r="N73" s="222" t="s">
        <v>1245</v>
      </c>
      <c r="O73" s="212">
        <v>1</v>
      </c>
      <c r="P73" s="214" t="s">
        <v>1246</v>
      </c>
      <c r="Q73" s="214" t="s">
        <v>1247</v>
      </c>
      <c r="R73" s="451" t="s">
        <v>1248</v>
      </c>
      <c r="S73" s="214" t="s">
        <v>1249</v>
      </c>
      <c r="T73" s="214" t="s">
        <v>1250</v>
      </c>
      <c r="U73" s="158" t="s">
        <v>975</v>
      </c>
      <c r="V73" s="168" t="s">
        <v>1553</v>
      </c>
      <c r="W73" s="158" t="s">
        <v>967</v>
      </c>
      <c r="X73" s="158" t="s">
        <v>185</v>
      </c>
      <c r="Y73" s="158" t="s">
        <v>185</v>
      </c>
      <c r="Z73" s="158" t="s">
        <v>185</v>
      </c>
      <c r="AA73" s="158" t="str">
        <f>IF(GCP_2[[#This Row],[Column14]]="-","", "v")</f>
        <v>v</v>
      </c>
      <c r="AB73" s="158" t="str">
        <f>IF(GCP_2[[#This Row],[Column8]]="x","1",(IF(OR(GCP_2[[#This Row],[Column25]]=2,GCP_2[[#This Row],[Column26]]=2,GCP_2[[#This Row],[Column27]]=2),"1",(IF(GCP_2[[#This Row],[Column9]]="x","2",(IF(GCP_2[[#This Row],[Column10]]="x","3","")))))))</f>
        <v>1</v>
      </c>
      <c r="AC73" s="454" t="str">
        <f>IF(GCP_2[[#This Row],[Column14]] = "-", GCP_2[[#This Row],[Column14]], LEFT(GCP_2[[#This Row],[Column14]], SEARCH(" ", GCP_2[[#This Row],[Column14]] &amp; " ") - 1))</f>
        <v>4.1</v>
      </c>
    </row>
    <row r="74" spans="1:29" ht="409.5">
      <c r="A7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4" s="137" t="str">
        <f>GCP_2[[#This Row],[Column30]]</f>
        <v>4.2</v>
      </c>
      <c r="C74" s="137">
        <v>4.7</v>
      </c>
      <c r="D74" s="138" t="s">
        <v>399</v>
      </c>
      <c r="E74" s="162" t="s">
        <v>156</v>
      </c>
      <c r="F74" s="489" t="s">
        <v>2114</v>
      </c>
      <c r="G74" s="139" t="s">
        <v>409</v>
      </c>
      <c r="H74" s="163" t="s">
        <v>185</v>
      </c>
      <c r="I74" s="164" t="s">
        <v>185</v>
      </c>
      <c r="J74" s="200" t="s">
        <v>185</v>
      </c>
      <c r="K74" s="176" t="s">
        <v>185</v>
      </c>
      <c r="L74" s="176" t="s">
        <v>185</v>
      </c>
      <c r="M74" s="176" t="s">
        <v>185</v>
      </c>
      <c r="N74" s="222" t="s">
        <v>1251</v>
      </c>
      <c r="O74" s="212">
        <v>1</v>
      </c>
      <c r="P74" s="214" t="s">
        <v>1252</v>
      </c>
      <c r="Q74" s="214" t="s">
        <v>1253</v>
      </c>
      <c r="R74" s="451" t="s">
        <v>1254</v>
      </c>
      <c r="S74" s="214" t="s">
        <v>1255</v>
      </c>
      <c r="T74" s="214" t="s">
        <v>1256</v>
      </c>
      <c r="U74" s="158" t="s">
        <v>975</v>
      </c>
      <c r="V74" s="168" t="s">
        <v>1554</v>
      </c>
      <c r="W74" s="158" t="s">
        <v>967</v>
      </c>
      <c r="X74" s="158" t="s">
        <v>185</v>
      </c>
      <c r="Y74" s="158" t="s">
        <v>185</v>
      </c>
      <c r="Z74" s="158" t="s">
        <v>185</v>
      </c>
      <c r="AA74" s="158" t="str">
        <f>IF(GCP_2[[#This Row],[Column14]]="-","", "v")</f>
        <v>v</v>
      </c>
      <c r="AB74" s="158" t="str">
        <f>IF(GCP_2[[#This Row],[Column8]]="x","1",(IF(OR(GCP_2[[#This Row],[Column25]]=2,GCP_2[[#This Row],[Column26]]=2,GCP_2[[#This Row],[Column27]]=2),"1",(IF(GCP_2[[#This Row],[Column9]]="x","2",(IF(GCP_2[[#This Row],[Column10]]="x","3","")))))))</f>
        <v>1</v>
      </c>
      <c r="AC74" s="454" t="str">
        <f>IF(GCP_2[[#This Row],[Column14]] = "-", GCP_2[[#This Row],[Column14]], LEFT(GCP_2[[#This Row],[Column14]], SEARCH(" ", GCP_2[[#This Row],[Column14]] &amp; " ") - 1))</f>
        <v>4.2</v>
      </c>
    </row>
    <row r="75" spans="1:29" ht="370.5">
      <c r="A7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5" s="137" t="str">
        <f>GCP_2[[#This Row],[Column30]]</f>
        <v>6.1.1</v>
      </c>
      <c r="C75" s="137">
        <v>4.7</v>
      </c>
      <c r="D75" s="138" t="s">
        <v>399</v>
      </c>
      <c r="E75" s="162" t="s">
        <v>156</v>
      </c>
      <c r="F75" s="489" t="s">
        <v>2114</v>
      </c>
      <c r="G75" s="139" t="s">
        <v>409</v>
      </c>
      <c r="H75" s="163" t="s">
        <v>185</v>
      </c>
      <c r="I75" s="164" t="s">
        <v>185</v>
      </c>
      <c r="J75" s="200" t="s">
        <v>185</v>
      </c>
      <c r="K75" s="176" t="s">
        <v>185</v>
      </c>
      <c r="L75" s="176" t="s">
        <v>185</v>
      </c>
      <c r="M75" s="176" t="s">
        <v>185</v>
      </c>
      <c r="N75" s="222" t="s">
        <v>1257</v>
      </c>
      <c r="O75" s="212">
        <v>1</v>
      </c>
      <c r="P75" s="214" t="s">
        <v>1258</v>
      </c>
      <c r="Q75" s="214" t="s">
        <v>1259</v>
      </c>
      <c r="R75" s="451" t="s">
        <v>1260</v>
      </c>
      <c r="S75" s="214" t="s">
        <v>1261</v>
      </c>
      <c r="T75" s="214" t="s">
        <v>1262</v>
      </c>
      <c r="U75" s="158" t="s">
        <v>162</v>
      </c>
      <c r="V75" s="168" t="s">
        <v>899</v>
      </c>
      <c r="W75" s="158" t="s">
        <v>967</v>
      </c>
      <c r="X75" s="158" t="s">
        <v>185</v>
      </c>
      <c r="Y75" s="158" t="s">
        <v>185</v>
      </c>
      <c r="Z75" s="158" t="s">
        <v>185</v>
      </c>
      <c r="AA75" s="158" t="str">
        <f>IF(GCP_2[[#This Row],[Column14]]="-","", "v")</f>
        <v>v</v>
      </c>
      <c r="AB75" s="158" t="str">
        <f>IF(GCP_2[[#This Row],[Column8]]="x","1",(IF(OR(GCP_2[[#This Row],[Column25]]=2,GCP_2[[#This Row],[Column26]]=2,GCP_2[[#This Row],[Column27]]=2),"1",(IF(GCP_2[[#This Row],[Column9]]="x","2",(IF(GCP_2[[#This Row],[Column10]]="x","3","")))))))</f>
        <v>1</v>
      </c>
      <c r="AC75" s="454" t="str">
        <f>IF(GCP_2[[#This Row],[Column14]] = "-", GCP_2[[#This Row],[Column14]], LEFT(GCP_2[[#This Row],[Column14]], SEARCH(" ", GCP_2[[#This Row],[Column14]] &amp; " ") - 1))</f>
        <v>6.1.1</v>
      </c>
    </row>
    <row r="76" spans="1:29" ht="409.5">
      <c r="A7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6" s="137" t="str">
        <f>GCP_2[[#This Row],[Column30]]</f>
        <v>4.5</v>
      </c>
      <c r="C76" s="137">
        <v>4.8</v>
      </c>
      <c r="D76" s="138" t="s">
        <v>352</v>
      </c>
      <c r="E76" s="162" t="s">
        <v>156</v>
      </c>
      <c r="F76" s="489" t="s">
        <v>2115</v>
      </c>
      <c r="G76" s="139" t="s">
        <v>411</v>
      </c>
      <c r="H76" s="137"/>
      <c r="I76" s="164" t="s">
        <v>185</v>
      </c>
      <c r="J76" s="200" t="s">
        <v>185</v>
      </c>
      <c r="K76" s="176" t="s">
        <v>185</v>
      </c>
      <c r="L76" s="176" t="s">
        <v>185</v>
      </c>
      <c r="M76" s="176"/>
      <c r="N76" s="222" t="s">
        <v>1263</v>
      </c>
      <c r="O76" s="212">
        <v>1</v>
      </c>
      <c r="P76" s="214" t="s">
        <v>1264</v>
      </c>
      <c r="Q76" s="214" t="s">
        <v>1265</v>
      </c>
      <c r="R76" s="451" t="s">
        <v>1266</v>
      </c>
      <c r="S76" s="214" t="s">
        <v>1267</v>
      </c>
      <c r="T76" s="214" t="s">
        <v>1268</v>
      </c>
      <c r="U76" s="158" t="s">
        <v>975</v>
      </c>
      <c r="V76" s="168" t="s">
        <v>1555</v>
      </c>
      <c r="W76" s="158" t="s">
        <v>967</v>
      </c>
      <c r="X76" s="158" t="s">
        <v>185</v>
      </c>
      <c r="Y76" s="158" t="s">
        <v>185</v>
      </c>
      <c r="Z76" s="158" t="s">
        <v>185</v>
      </c>
      <c r="AA76" s="158" t="str">
        <f>IF(GCP_2[[#This Row],[Column14]]="-","", "v")</f>
        <v>v</v>
      </c>
      <c r="AB76" s="158" t="str">
        <f>IF(GCP_2[[#This Row],[Column8]]="x","1",(IF(OR(GCP_2[[#This Row],[Column25]]=2,GCP_2[[#This Row],[Column26]]=2,GCP_2[[#This Row],[Column27]]=2),"1",(IF(GCP_2[[#This Row],[Column9]]="x","2",(IF(GCP_2[[#This Row],[Column10]]="x","3","")))))))</f>
        <v>2</v>
      </c>
      <c r="AC76" s="454" t="str">
        <f>IF(GCP_2[[#This Row],[Column14]] = "-", GCP_2[[#This Row],[Column14]], LEFT(GCP_2[[#This Row],[Column14]], SEARCH(" ", GCP_2[[#This Row],[Column14]] &amp; " ") - 1))</f>
        <v>4.5</v>
      </c>
    </row>
    <row r="77" spans="1:29" ht="409.5">
      <c r="A7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7" s="137" t="str">
        <f>GCP_2[[#This Row],[Column30]]</f>
        <v>6.3.5</v>
      </c>
      <c r="C77" s="137">
        <v>4.8</v>
      </c>
      <c r="D77" s="138" t="s">
        <v>352</v>
      </c>
      <c r="E77" s="162" t="s">
        <v>156</v>
      </c>
      <c r="F77" s="489" t="s">
        <v>2115</v>
      </c>
      <c r="G77" s="139" t="s">
        <v>411</v>
      </c>
      <c r="H77" s="137"/>
      <c r="I77" s="164" t="s">
        <v>185</v>
      </c>
      <c r="J77" s="200" t="s">
        <v>185</v>
      </c>
      <c r="K77" s="176" t="s">
        <v>185</v>
      </c>
      <c r="L77" s="176" t="s">
        <v>185</v>
      </c>
      <c r="M77" s="176"/>
      <c r="N77" s="222" t="s">
        <v>1269</v>
      </c>
      <c r="O77" s="212">
        <v>1</v>
      </c>
      <c r="P77" s="214" t="s">
        <v>1270</v>
      </c>
      <c r="Q77" s="214" t="s">
        <v>1271</v>
      </c>
      <c r="R77" s="451" t="s">
        <v>1272</v>
      </c>
      <c r="S77" s="214" t="s">
        <v>1273</v>
      </c>
      <c r="T77" s="214" t="s">
        <v>1274</v>
      </c>
      <c r="U77" s="258" t="s">
        <v>162</v>
      </c>
      <c r="V77" s="168" t="s">
        <v>1556</v>
      </c>
      <c r="W77" s="158" t="s">
        <v>967</v>
      </c>
      <c r="X77" s="158" t="s">
        <v>185</v>
      </c>
      <c r="Y77" s="158" t="s">
        <v>185</v>
      </c>
      <c r="Z77" s="158" t="s">
        <v>185</v>
      </c>
      <c r="AA77" s="158" t="str">
        <f>IF(GCP_2[[#This Row],[Column14]]="-","", "v")</f>
        <v>v</v>
      </c>
      <c r="AB77" s="158" t="str">
        <f>IF(GCP_2[[#This Row],[Column8]]="x","1",(IF(OR(GCP_2[[#This Row],[Column25]]=2,GCP_2[[#This Row],[Column26]]=2,GCP_2[[#This Row],[Column27]]=2),"1",(IF(GCP_2[[#This Row],[Column9]]="x","2",(IF(GCP_2[[#This Row],[Column10]]="x","3","")))))))</f>
        <v>2</v>
      </c>
      <c r="AC77" s="454" t="str">
        <f>IF(GCP_2[[#This Row],[Column14]] = "-", GCP_2[[#This Row],[Column14]], LEFT(GCP_2[[#This Row],[Column14]], SEARCH(" ", GCP_2[[#This Row],[Column14]] &amp; " ") - 1))</f>
        <v>6.3.5</v>
      </c>
    </row>
    <row r="78" spans="1:29" ht="45">
      <c r="A7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8" s="137" t="str">
        <f>GCP_2[[#This Row],[Column30]]</f>
        <v>-</v>
      </c>
      <c r="C78" s="137">
        <v>4.9000000000000004</v>
      </c>
      <c r="D78" s="138" t="s">
        <v>352</v>
      </c>
      <c r="E78" s="162" t="s">
        <v>156</v>
      </c>
      <c r="F78" s="489" t="s">
        <v>2116</v>
      </c>
      <c r="G78" s="139" t="s">
        <v>413</v>
      </c>
      <c r="H78" s="204"/>
      <c r="I78" s="164" t="s">
        <v>185</v>
      </c>
      <c r="J78" s="200" t="s">
        <v>185</v>
      </c>
      <c r="K78" s="176" t="s">
        <v>185</v>
      </c>
      <c r="L78" s="176" t="s">
        <v>185</v>
      </c>
      <c r="M78" s="176"/>
      <c r="N78" s="222" t="s">
        <v>162</v>
      </c>
      <c r="O78" s="222" t="s">
        <v>162</v>
      </c>
      <c r="P78" s="222" t="s">
        <v>162</v>
      </c>
      <c r="Q78" s="222" t="s">
        <v>162</v>
      </c>
      <c r="R78" s="451"/>
      <c r="S78" s="222" t="s">
        <v>162</v>
      </c>
      <c r="T78" s="222" t="s">
        <v>162</v>
      </c>
      <c r="U78" s="258" t="s">
        <v>162</v>
      </c>
      <c r="V78" s="168"/>
      <c r="W78" s="158" t="s">
        <v>967</v>
      </c>
      <c r="X78" s="158" t="s">
        <v>185</v>
      </c>
      <c r="Y78" s="158" t="s">
        <v>185</v>
      </c>
      <c r="Z78" s="158" t="s">
        <v>185</v>
      </c>
      <c r="AA78" s="158" t="str">
        <f>IF(GCP_2[[#This Row],[Column14]]="-","", "v")</f>
        <v/>
      </c>
      <c r="AB78" s="158" t="str">
        <f>IF(GCP_2[[#This Row],[Column8]]="x","1",(IF(OR(GCP_2[[#This Row],[Column25]]=2,GCP_2[[#This Row],[Column26]]=2,GCP_2[[#This Row],[Column27]]=2),"1",(IF(GCP_2[[#This Row],[Column9]]="x","2",(IF(GCP_2[[#This Row],[Column10]]="x","3","")))))))</f>
        <v>2</v>
      </c>
      <c r="AC78" s="454" t="str">
        <f>IF(GCP_2[[#This Row],[Column14]] = "-", GCP_2[[#This Row],[Column14]], LEFT(GCP_2[[#This Row],[Column14]], SEARCH(" ", GCP_2[[#This Row],[Column14]] &amp; " ") - 1))</f>
        <v>-</v>
      </c>
    </row>
    <row r="79" spans="1:29" ht="90">
      <c r="A7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NOT(ISBLANK(K79)),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NOT(ISBLANK(L79)),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NOT(ISBLANK(M79)),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79" s="137" t="str">
        <f>GCP_2[[#This Row],[Column30]]</f>
        <v>-</v>
      </c>
      <c r="C79" s="141">
        <v>4.0999999999999996</v>
      </c>
      <c r="D79" s="138" t="s">
        <v>352</v>
      </c>
      <c r="E79" s="162" t="s">
        <v>157</v>
      </c>
      <c r="F79" s="489" t="s">
        <v>2117</v>
      </c>
      <c r="G79" s="139" t="s">
        <v>415</v>
      </c>
      <c r="H79" s="137"/>
      <c r="I79" s="164" t="s">
        <v>185</v>
      </c>
      <c r="J79" s="200" t="s">
        <v>185</v>
      </c>
      <c r="K79" s="176" t="s">
        <v>185</v>
      </c>
      <c r="L79" s="176" t="s">
        <v>185</v>
      </c>
      <c r="M79" s="176"/>
      <c r="N79" s="222" t="s">
        <v>162</v>
      </c>
      <c r="O79" s="222" t="s">
        <v>162</v>
      </c>
      <c r="P79" s="222" t="s">
        <v>162</v>
      </c>
      <c r="Q79" s="222" t="s">
        <v>162</v>
      </c>
      <c r="R79" s="451"/>
      <c r="S79" s="222" t="s">
        <v>162</v>
      </c>
      <c r="T79" s="222" t="s">
        <v>162</v>
      </c>
      <c r="U79" s="258" t="s">
        <v>162</v>
      </c>
      <c r="V79" s="168"/>
      <c r="W79" s="158" t="s">
        <v>967</v>
      </c>
      <c r="X79" s="158" t="s">
        <v>185</v>
      </c>
      <c r="Y79" s="158" t="s">
        <v>185</v>
      </c>
      <c r="Z79" s="158" t="s">
        <v>185</v>
      </c>
      <c r="AA79" s="158" t="str">
        <f>IF(GCP_2[[#This Row],[Column14]]="-","", "v")</f>
        <v/>
      </c>
      <c r="AB79" s="158" t="str">
        <f>IF(GCP_2[[#This Row],[Column8]]="x","1",(IF(OR(GCP_2[[#This Row],[Column25]]=2,GCP_2[[#This Row],[Column26]]=2,GCP_2[[#This Row],[Column27]]=2),"1",(IF(GCP_2[[#This Row],[Column9]]="x","2",(IF(GCP_2[[#This Row],[Column10]]="x","3","")))))))</f>
        <v>2</v>
      </c>
      <c r="AC79" s="454" t="str">
        <f>IF(GCP_2[[#This Row],[Column14]] = "-", GCP_2[[#This Row],[Column14]], LEFT(GCP_2[[#This Row],[Column14]], SEARCH(" ", GCP_2[[#This Row],[Column14]] &amp; " ") - 1))</f>
        <v>-</v>
      </c>
    </row>
    <row r="80" spans="1:29" ht="45">
      <c r="A8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0" s="137" t="str">
        <f>GCP_2[[#This Row],[Column30]]</f>
        <v>-</v>
      </c>
      <c r="C80" s="137">
        <v>4.1100000000000003</v>
      </c>
      <c r="D80" s="138" t="s">
        <v>352</v>
      </c>
      <c r="E80" s="162" t="s">
        <v>156</v>
      </c>
      <c r="F80" s="489" t="s">
        <v>2118</v>
      </c>
      <c r="G80" s="139" t="s">
        <v>417</v>
      </c>
      <c r="H80" s="204"/>
      <c r="I80" s="164" t="s">
        <v>185</v>
      </c>
      <c r="J80" s="200" t="s">
        <v>185</v>
      </c>
      <c r="K80" s="176" t="s">
        <v>185</v>
      </c>
      <c r="L80" s="176" t="s">
        <v>185</v>
      </c>
      <c r="M80" s="176"/>
      <c r="N80" s="222" t="s">
        <v>162</v>
      </c>
      <c r="O80" s="222" t="s">
        <v>162</v>
      </c>
      <c r="P80" s="222" t="s">
        <v>162</v>
      </c>
      <c r="Q80" s="222" t="s">
        <v>162</v>
      </c>
      <c r="R80" s="451"/>
      <c r="S80" s="222" t="s">
        <v>162</v>
      </c>
      <c r="T80" s="222" t="s">
        <v>162</v>
      </c>
      <c r="U80" s="258" t="s">
        <v>162</v>
      </c>
      <c r="V80" s="168"/>
      <c r="W80" s="158" t="s">
        <v>967</v>
      </c>
      <c r="X80" s="158" t="s">
        <v>185</v>
      </c>
      <c r="Y80" s="158" t="s">
        <v>185</v>
      </c>
      <c r="Z80" s="158" t="s">
        <v>185</v>
      </c>
      <c r="AA80" s="158" t="str">
        <f>IF(GCP_2[[#This Row],[Column14]]="-","", "v")</f>
        <v/>
      </c>
      <c r="AB80" s="158" t="str">
        <f>IF(GCP_2[[#This Row],[Column8]]="x","1",(IF(OR(GCP_2[[#This Row],[Column25]]=2,GCP_2[[#This Row],[Column26]]=2,GCP_2[[#This Row],[Column27]]=2),"1",(IF(GCP_2[[#This Row],[Column9]]="x","2",(IF(GCP_2[[#This Row],[Column10]]="x","3","")))))))</f>
        <v>2</v>
      </c>
      <c r="AC80" s="454" t="str">
        <f>IF(GCP_2[[#This Row],[Column14]] = "-", GCP_2[[#This Row],[Column14]], LEFT(GCP_2[[#This Row],[Column14]], SEARCH(" ", GCP_2[[#This Row],[Column14]] &amp; " ") - 1))</f>
        <v>-</v>
      </c>
    </row>
    <row r="81" spans="1:29" ht="60">
      <c r="A8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1" s="137" t="str">
        <f>GCP_2[[#This Row],[Column30]]</f>
        <v>-</v>
      </c>
      <c r="C81" s="137">
        <v>4.12</v>
      </c>
      <c r="D81" s="138" t="s">
        <v>352</v>
      </c>
      <c r="E81" s="162" t="s">
        <v>156</v>
      </c>
      <c r="F81" s="489" t="s">
        <v>2119</v>
      </c>
      <c r="G81" s="139" t="s">
        <v>419</v>
      </c>
      <c r="H81" s="137"/>
      <c r="I81" s="137"/>
      <c r="J81" s="200" t="s">
        <v>185</v>
      </c>
      <c r="K81" s="176" t="s">
        <v>185</v>
      </c>
      <c r="L81" s="176" t="s">
        <v>185</v>
      </c>
      <c r="M81" s="176"/>
      <c r="N81" s="222" t="s">
        <v>162</v>
      </c>
      <c r="O81" s="222" t="s">
        <v>162</v>
      </c>
      <c r="P81" s="222" t="s">
        <v>162</v>
      </c>
      <c r="Q81" s="222" t="s">
        <v>162</v>
      </c>
      <c r="R81" s="451"/>
      <c r="S81" s="222" t="s">
        <v>162</v>
      </c>
      <c r="T81" s="222" t="s">
        <v>162</v>
      </c>
      <c r="U81" s="258" t="s">
        <v>162</v>
      </c>
      <c r="V81" s="168"/>
      <c r="W81" s="158" t="s">
        <v>967</v>
      </c>
      <c r="X81" s="158" t="s">
        <v>185</v>
      </c>
      <c r="Y81" s="158" t="s">
        <v>185</v>
      </c>
      <c r="Z81" s="158" t="s">
        <v>185</v>
      </c>
      <c r="AA81" s="158" t="str">
        <f>IF(GCP_2[[#This Row],[Column14]]="-","", "v")</f>
        <v/>
      </c>
      <c r="AB81" s="158" t="str">
        <f>IF(GCP_2[[#This Row],[Column8]]="x","1",(IF(OR(GCP_2[[#This Row],[Column25]]=2,GCP_2[[#This Row],[Column26]]=2,GCP_2[[#This Row],[Column27]]=2),"1",(IF(GCP_2[[#This Row],[Column9]]="x","2",(IF(GCP_2[[#This Row],[Column10]]="x","3","")))))))</f>
        <v>3</v>
      </c>
      <c r="AC81" s="454" t="str">
        <f>IF(GCP_2[[#This Row],[Column14]] = "-", GCP_2[[#This Row],[Column14]], LEFT(GCP_2[[#This Row],[Column14]], SEARCH(" ", GCP_2[[#This Row],[Column14]] &amp; " ") - 1))</f>
        <v>-</v>
      </c>
    </row>
    <row r="82" spans="1:29" ht="45">
      <c r="A82" s="221" t="s">
        <v>942</v>
      </c>
      <c r="B82" s="217" t="s">
        <v>162</v>
      </c>
      <c r="C82" s="217" t="s">
        <v>162</v>
      </c>
      <c r="D82" s="218" t="s">
        <v>162</v>
      </c>
      <c r="E82" s="218" t="s">
        <v>162</v>
      </c>
      <c r="F82" s="488" t="s">
        <v>2120</v>
      </c>
      <c r="G82" s="220" t="s">
        <v>421</v>
      </c>
      <c r="H82" s="218" t="s">
        <v>162</v>
      </c>
      <c r="I82" s="218" t="s">
        <v>162</v>
      </c>
      <c r="J82" s="218" t="s">
        <v>162</v>
      </c>
      <c r="K82" s="218" t="s">
        <v>162</v>
      </c>
      <c r="L82" s="218" t="s">
        <v>162</v>
      </c>
      <c r="M82" s="218" t="s">
        <v>162</v>
      </c>
      <c r="N82" s="260" t="s">
        <v>162</v>
      </c>
      <c r="O82" s="218" t="s">
        <v>162</v>
      </c>
      <c r="P82" s="218" t="s">
        <v>162</v>
      </c>
      <c r="Q82" s="218" t="s">
        <v>162</v>
      </c>
      <c r="R82" s="167"/>
      <c r="S82" s="218" t="s">
        <v>162</v>
      </c>
      <c r="T82" s="218" t="s">
        <v>162</v>
      </c>
      <c r="U82" s="217" t="s">
        <v>162</v>
      </c>
      <c r="V82" s="217" t="s">
        <v>162</v>
      </c>
      <c r="W82" s="217" t="s">
        <v>162</v>
      </c>
      <c r="X82" s="217" t="s">
        <v>162</v>
      </c>
      <c r="Y82" s="217" t="s">
        <v>162</v>
      </c>
      <c r="Z82" s="217" t="s">
        <v>162</v>
      </c>
      <c r="AA82" s="218" t="s">
        <v>162</v>
      </c>
      <c r="AB82" s="218" t="s">
        <v>162</v>
      </c>
      <c r="AC82" s="454" t="str">
        <f>IF(GCP_2[[#This Row],[Column14]] = "-", GCP_2[[#This Row],[Column14]], LEFT(GCP_2[[#This Row],[Column14]], SEARCH(" ", GCP_2[[#This Row],[Column14]] &amp; " ") - 1))</f>
        <v>-</v>
      </c>
    </row>
    <row r="83" spans="1:29" ht="75">
      <c r="A8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3" s="137" t="str">
        <f>GCP_2[[#This Row],[Column30]]</f>
        <v>-</v>
      </c>
      <c r="C83" s="137">
        <v>5.0999999999999996</v>
      </c>
      <c r="D83" s="138" t="s">
        <v>399</v>
      </c>
      <c r="E83" s="162" t="s">
        <v>154</v>
      </c>
      <c r="F83" s="489" t="s">
        <v>2121</v>
      </c>
      <c r="G83" s="138" t="s">
        <v>447</v>
      </c>
      <c r="H83" s="163" t="s">
        <v>185</v>
      </c>
      <c r="I83" s="164" t="s">
        <v>185</v>
      </c>
      <c r="J83" s="200" t="s">
        <v>185</v>
      </c>
      <c r="K83" s="176" t="s">
        <v>185</v>
      </c>
      <c r="L83" s="176" t="s">
        <v>185</v>
      </c>
      <c r="M83" s="176" t="s">
        <v>185</v>
      </c>
      <c r="N83" s="222" t="s">
        <v>162</v>
      </c>
      <c r="O83" s="222" t="s">
        <v>162</v>
      </c>
      <c r="P83" s="222" t="s">
        <v>162</v>
      </c>
      <c r="Q83" s="222" t="s">
        <v>162</v>
      </c>
      <c r="R83" s="451"/>
      <c r="S83" s="222" t="s">
        <v>162</v>
      </c>
      <c r="T83" s="222" t="s">
        <v>162</v>
      </c>
      <c r="U83" s="258" t="s">
        <v>162</v>
      </c>
      <c r="V83" s="168"/>
      <c r="W83" s="158" t="s">
        <v>966</v>
      </c>
      <c r="X83" s="158" t="s">
        <v>185</v>
      </c>
      <c r="Y83" s="158"/>
      <c r="Z83" s="158" t="s">
        <v>185</v>
      </c>
      <c r="AA83" s="158" t="str">
        <f>IF(GCP_2[[#This Row],[Column14]]="-","", "v")</f>
        <v/>
      </c>
      <c r="AB83" s="158" t="str">
        <f>IF(GCP_2[[#This Row],[Column8]]="x","1",(IF(OR(GCP_2[[#This Row],[Column25]]=2,GCP_2[[#This Row],[Column26]]=2,GCP_2[[#This Row],[Column27]]=2),"1",(IF(GCP_2[[#This Row],[Column9]]="x","2",(IF(GCP_2[[#This Row],[Column10]]="x","3","")))))))</f>
        <v>1</v>
      </c>
      <c r="AC83" s="454" t="str">
        <f>IF(GCP_2[[#This Row],[Column14]] = "-", GCP_2[[#This Row],[Column14]], LEFT(GCP_2[[#This Row],[Column14]], SEARCH(" ", GCP_2[[#This Row],[Column14]] &amp; " ") - 1))</f>
        <v>-</v>
      </c>
    </row>
    <row r="84" spans="1:29" ht="409.5">
      <c r="A8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4" s="137" t="str">
        <f>GCP_2[[#This Row],[Column30]]</f>
        <v>4.3</v>
      </c>
      <c r="C84" s="137">
        <v>5.2</v>
      </c>
      <c r="D84" s="138" t="s">
        <v>399</v>
      </c>
      <c r="E84" s="162" t="s">
        <v>156</v>
      </c>
      <c r="F84" s="489" t="s">
        <v>2122</v>
      </c>
      <c r="G84" s="138" t="s">
        <v>449</v>
      </c>
      <c r="H84" s="163" t="s">
        <v>185</v>
      </c>
      <c r="I84" s="164" t="s">
        <v>185</v>
      </c>
      <c r="J84" s="200" t="s">
        <v>185</v>
      </c>
      <c r="K84" s="176" t="s">
        <v>185</v>
      </c>
      <c r="L84" s="176" t="s">
        <v>185</v>
      </c>
      <c r="M84" s="176" t="s">
        <v>185</v>
      </c>
      <c r="N84" s="222" t="s">
        <v>1116</v>
      </c>
      <c r="O84" s="212">
        <v>1</v>
      </c>
      <c r="P84" s="214" t="s">
        <v>1117</v>
      </c>
      <c r="Q84" s="214" t="s">
        <v>1118</v>
      </c>
      <c r="R84" s="451" t="s">
        <v>1119</v>
      </c>
      <c r="S84" s="214" t="s">
        <v>1120</v>
      </c>
      <c r="T84" s="214" t="s">
        <v>1121</v>
      </c>
      <c r="U84" s="158" t="s">
        <v>162</v>
      </c>
      <c r="V84" s="168" t="s">
        <v>1557</v>
      </c>
      <c r="W84" s="158" t="s">
        <v>966</v>
      </c>
      <c r="X84" s="158" t="s">
        <v>185</v>
      </c>
      <c r="Y84" s="158"/>
      <c r="Z84" s="158" t="s">
        <v>185</v>
      </c>
      <c r="AA84" s="158" t="str">
        <f>IF(GCP_2[[#This Row],[Column14]]="-","", "v")</f>
        <v>v</v>
      </c>
      <c r="AB84" s="158" t="str">
        <f>IF(GCP_2[[#This Row],[Column8]]="x","1",(IF(OR(GCP_2[[#This Row],[Column25]]=2,GCP_2[[#This Row],[Column26]]=2,GCP_2[[#This Row],[Column27]]=2),"1",(IF(GCP_2[[#This Row],[Column9]]="x","2",(IF(GCP_2[[#This Row],[Column10]]="x","3","")))))))</f>
        <v>1</v>
      </c>
      <c r="AC84" s="454" t="str">
        <f>IF(GCP_2[[#This Row],[Column14]] = "-", GCP_2[[#This Row],[Column14]], LEFT(GCP_2[[#This Row],[Column14]], SEARCH(" ", GCP_2[[#This Row],[Column14]] &amp; " ") - 1))</f>
        <v>4.3</v>
      </c>
    </row>
    <row r="85" spans="1:29" ht="30">
      <c r="A8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5" s="137" t="str">
        <f>GCP_2[[#This Row],[Column30]]</f>
        <v>-</v>
      </c>
      <c r="C85" s="137">
        <v>5.3</v>
      </c>
      <c r="D85" s="138" t="s">
        <v>399</v>
      </c>
      <c r="E85" s="162" t="s">
        <v>157</v>
      </c>
      <c r="F85" s="489" t="s">
        <v>2123</v>
      </c>
      <c r="G85" s="138" t="s">
        <v>457</v>
      </c>
      <c r="H85" s="163" t="s">
        <v>185</v>
      </c>
      <c r="I85" s="164" t="s">
        <v>185</v>
      </c>
      <c r="J85" s="200" t="s">
        <v>185</v>
      </c>
      <c r="K85" s="176" t="s">
        <v>185</v>
      </c>
      <c r="L85" s="176" t="s">
        <v>185</v>
      </c>
      <c r="M85" s="176" t="s">
        <v>185</v>
      </c>
      <c r="N85" s="222" t="s">
        <v>162</v>
      </c>
      <c r="O85" s="222" t="s">
        <v>162</v>
      </c>
      <c r="P85" s="222" t="s">
        <v>162</v>
      </c>
      <c r="Q85" s="222" t="s">
        <v>162</v>
      </c>
      <c r="R85" s="451"/>
      <c r="S85" s="222" t="s">
        <v>162</v>
      </c>
      <c r="T85" s="222" t="s">
        <v>162</v>
      </c>
      <c r="U85" s="258" t="s">
        <v>162</v>
      </c>
      <c r="V85" s="168"/>
      <c r="W85" s="158" t="s">
        <v>966</v>
      </c>
      <c r="X85" s="158" t="s">
        <v>185</v>
      </c>
      <c r="Y85" s="158"/>
      <c r="Z85" s="158" t="s">
        <v>185</v>
      </c>
      <c r="AA85" s="158" t="str">
        <f>IF(GCP_2[[#This Row],[Column14]]="-","", "v")</f>
        <v/>
      </c>
      <c r="AB85" s="158" t="str">
        <f>IF(GCP_2[[#This Row],[Column8]]="x","1",(IF(OR(GCP_2[[#This Row],[Column25]]=2,GCP_2[[#This Row],[Column26]]=2,GCP_2[[#This Row],[Column27]]=2),"1",(IF(GCP_2[[#This Row],[Column9]]="x","2",(IF(GCP_2[[#This Row],[Column10]]="x","3","")))))))</f>
        <v>1</v>
      </c>
      <c r="AC85" s="454" t="str">
        <f>IF(GCP_2[[#This Row],[Column14]] = "-", GCP_2[[#This Row],[Column14]], LEFT(GCP_2[[#This Row],[Column14]], SEARCH(" ", GCP_2[[#This Row],[Column14]] &amp; " ") - 1))</f>
        <v>-</v>
      </c>
    </row>
    <row r="86" spans="1:29" ht="409.5">
      <c r="A8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6" s="137" t="str">
        <f>GCP_2[[#This Row],[Column30]]</f>
        <v>1.5</v>
      </c>
      <c r="C86" s="137">
        <v>5.4</v>
      </c>
      <c r="D86" s="138" t="s">
        <v>399</v>
      </c>
      <c r="E86" s="162" t="s">
        <v>156</v>
      </c>
      <c r="F86" s="489" t="s">
        <v>2124</v>
      </c>
      <c r="G86" s="139" t="s">
        <v>465</v>
      </c>
      <c r="H86" s="163" t="s">
        <v>185</v>
      </c>
      <c r="I86" s="164" t="s">
        <v>185</v>
      </c>
      <c r="J86" s="200" t="s">
        <v>185</v>
      </c>
      <c r="K86" s="176" t="s">
        <v>185</v>
      </c>
      <c r="L86" s="176" t="s">
        <v>185</v>
      </c>
      <c r="M86" s="176" t="s">
        <v>185</v>
      </c>
      <c r="N86" s="222" t="s">
        <v>1275</v>
      </c>
      <c r="O86" s="212">
        <v>1</v>
      </c>
      <c r="P86" s="214" t="s">
        <v>1276</v>
      </c>
      <c r="Q86" s="214" t="s">
        <v>1277</v>
      </c>
      <c r="R86" s="451" t="s">
        <v>1278</v>
      </c>
      <c r="S86" s="214" t="s">
        <v>1279</v>
      </c>
      <c r="T86" s="214" t="s">
        <v>1280</v>
      </c>
      <c r="U86" s="158" t="s">
        <v>162</v>
      </c>
      <c r="V86" s="168" t="s">
        <v>1558</v>
      </c>
      <c r="W86" s="158" t="s">
        <v>966</v>
      </c>
      <c r="X86" s="158" t="s">
        <v>185</v>
      </c>
      <c r="Y86" s="158"/>
      <c r="Z86" s="158" t="s">
        <v>185</v>
      </c>
      <c r="AA86" s="158" t="str">
        <f>IF(GCP_2[[#This Row],[Column14]]="-","", "v")</f>
        <v>v</v>
      </c>
      <c r="AB86" s="158" t="str">
        <f>IF(GCP_2[[#This Row],[Column8]]="x","1",(IF(OR(GCP_2[[#This Row],[Column25]]=2,GCP_2[[#This Row],[Column26]]=2,GCP_2[[#This Row],[Column27]]=2),"1",(IF(GCP_2[[#This Row],[Column9]]="x","2",(IF(GCP_2[[#This Row],[Column10]]="x","3","")))))))</f>
        <v>1</v>
      </c>
      <c r="AC86" s="454" t="str">
        <f>IF(GCP_2[[#This Row],[Column14]] = "-", GCP_2[[#This Row],[Column14]], LEFT(GCP_2[[#This Row],[Column14]], SEARCH(" ", GCP_2[[#This Row],[Column14]] &amp; " ") - 1))</f>
        <v>1.5</v>
      </c>
    </row>
    <row r="87" spans="1:29" ht="60">
      <c r="A8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7" s="137" t="str">
        <f>GCP_2[[#This Row],[Column30]]</f>
        <v>-</v>
      </c>
      <c r="C87" s="137">
        <v>5.5</v>
      </c>
      <c r="D87" s="138" t="s">
        <v>399</v>
      </c>
      <c r="E87" s="162" t="s">
        <v>154</v>
      </c>
      <c r="F87" s="489" t="s">
        <v>2125</v>
      </c>
      <c r="G87" s="139" t="s">
        <v>473</v>
      </c>
      <c r="H87" s="137"/>
      <c r="I87" s="164" t="s">
        <v>185</v>
      </c>
      <c r="J87" s="200" t="s">
        <v>185</v>
      </c>
      <c r="K87" s="176" t="s">
        <v>185</v>
      </c>
      <c r="L87" s="176" t="s">
        <v>185</v>
      </c>
      <c r="M87" s="176" t="s">
        <v>185</v>
      </c>
      <c r="N87" s="222" t="s">
        <v>162</v>
      </c>
      <c r="O87" s="222" t="s">
        <v>162</v>
      </c>
      <c r="P87" s="222" t="s">
        <v>162</v>
      </c>
      <c r="Q87" s="222" t="s">
        <v>162</v>
      </c>
      <c r="R87" s="451"/>
      <c r="S87" s="222" t="s">
        <v>162</v>
      </c>
      <c r="T87" s="222" t="s">
        <v>162</v>
      </c>
      <c r="U87" s="258" t="s">
        <v>162</v>
      </c>
      <c r="V87" s="168"/>
      <c r="W87" s="158" t="s">
        <v>966</v>
      </c>
      <c r="X87" s="158" t="s">
        <v>185</v>
      </c>
      <c r="Y87" s="158"/>
      <c r="Z87" s="158" t="s">
        <v>185</v>
      </c>
      <c r="AA87" s="158" t="str">
        <f>IF(GCP_2[[#This Row],[Column14]]="-","", "v")</f>
        <v/>
      </c>
      <c r="AB87" s="158" t="str">
        <f>IF(GCP_2[[#This Row],[Column8]]="x","1",(IF(OR(GCP_2[[#This Row],[Column25]]=2,GCP_2[[#This Row],[Column26]]=2,GCP_2[[#This Row],[Column27]]=2),"1",(IF(GCP_2[[#This Row],[Column9]]="x","2",(IF(GCP_2[[#This Row],[Column10]]="x","3","")))))))</f>
        <v>2</v>
      </c>
      <c r="AC87" s="454" t="str">
        <f>IF(GCP_2[[#This Row],[Column14]] = "-", GCP_2[[#This Row],[Column14]], LEFT(GCP_2[[#This Row],[Column14]], SEARCH(" ", GCP_2[[#This Row],[Column14]] &amp; " ") - 1))</f>
        <v>-</v>
      </c>
    </row>
    <row r="88" spans="1:29" ht="409.5">
      <c r="A8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8" s="137" t="str">
        <f>GCP_2[[#This Row],[Column30]]</f>
        <v>1.1</v>
      </c>
      <c r="C88" s="137">
        <v>5.6</v>
      </c>
      <c r="D88" s="138" t="s">
        <v>399</v>
      </c>
      <c r="E88" s="162" t="s">
        <v>156</v>
      </c>
      <c r="F88" s="489" t="s">
        <v>2126</v>
      </c>
      <c r="G88" s="138" t="s">
        <v>475</v>
      </c>
      <c r="H88" s="204"/>
      <c r="I88" s="164" t="s">
        <v>185</v>
      </c>
      <c r="J88" s="200" t="s">
        <v>185</v>
      </c>
      <c r="K88" s="176" t="s">
        <v>185</v>
      </c>
      <c r="L88" s="176" t="s">
        <v>185</v>
      </c>
      <c r="M88" s="176" t="s">
        <v>185</v>
      </c>
      <c r="N88" s="222" t="s">
        <v>1281</v>
      </c>
      <c r="O88" s="212">
        <v>1</v>
      </c>
      <c r="P88" s="214" t="s">
        <v>1282</v>
      </c>
      <c r="Q88" s="214" t="s">
        <v>1283</v>
      </c>
      <c r="R88" s="451" t="s">
        <v>1284</v>
      </c>
      <c r="S88" s="214" t="s">
        <v>1285</v>
      </c>
      <c r="T88" s="214" t="s">
        <v>1286</v>
      </c>
      <c r="U88" s="158" t="s">
        <v>162</v>
      </c>
      <c r="V88" s="168" t="s">
        <v>2030</v>
      </c>
      <c r="W88" s="158" t="s">
        <v>966</v>
      </c>
      <c r="X88" s="158" t="s">
        <v>185</v>
      </c>
      <c r="Y88" s="158"/>
      <c r="Z88" s="158" t="s">
        <v>185</v>
      </c>
      <c r="AA88" s="158" t="str">
        <f>IF(GCP_2[[#This Row],[Column14]]="-","", "v")</f>
        <v>v</v>
      </c>
      <c r="AB88" s="168" t="str">
        <f>IF(GCP_2[[#This Row],[Column8]]="x","1",(IF(OR(GCP_2[[#This Row],[Column25]]=2,GCP_2[[#This Row],[Column26]]=2,GCP_2[[#This Row],[Column27]]=2),"1",(IF(GCP_2[[#This Row],[Column9]]="x","2",(IF(GCP_2[[#This Row],[Column10]]="x","3","")))))))</f>
        <v>2</v>
      </c>
      <c r="AC88" s="454" t="str">
        <f>IF(GCP_2[[#This Row],[Column14]] = "-", GCP_2[[#This Row],[Column14]], LEFT(GCP_2[[#This Row],[Column14]], SEARCH(" ", GCP_2[[#This Row],[Column14]] &amp; " ") - 1))</f>
        <v>1.1</v>
      </c>
    </row>
    <row r="89" spans="1:29" ht="409.5">
      <c r="A8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NOT(ISBLANK(K89)),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NOT(ISBLANK(L89)),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NOT(ISBLANK(M89)),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89" s="137" t="str">
        <f>GCP_2[[#This Row],[Column30]]</f>
        <v>3.10</v>
      </c>
      <c r="C89" s="137">
        <v>5.6</v>
      </c>
      <c r="D89" s="138" t="s">
        <v>399</v>
      </c>
      <c r="E89" s="162" t="s">
        <v>156</v>
      </c>
      <c r="F89" s="489" t="s">
        <v>2126</v>
      </c>
      <c r="G89" s="138" t="s">
        <v>475</v>
      </c>
      <c r="H89" s="204"/>
      <c r="I89" s="164" t="s">
        <v>185</v>
      </c>
      <c r="J89" s="200" t="s">
        <v>185</v>
      </c>
      <c r="K89" s="176" t="s">
        <v>185</v>
      </c>
      <c r="L89" s="176" t="s">
        <v>185</v>
      </c>
      <c r="M89" s="176" t="s">
        <v>185</v>
      </c>
      <c r="N89" s="222" t="s">
        <v>1287</v>
      </c>
      <c r="O89" s="212">
        <v>2</v>
      </c>
      <c r="P89" s="214" t="s">
        <v>1288</v>
      </c>
      <c r="Q89" s="214" t="s">
        <v>1289</v>
      </c>
      <c r="R89" s="451" t="s">
        <v>1290</v>
      </c>
      <c r="S89" s="214" t="s">
        <v>1291</v>
      </c>
      <c r="T89" s="214" t="s">
        <v>1292</v>
      </c>
      <c r="U89" s="158" t="s">
        <v>162</v>
      </c>
      <c r="V89" s="168" t="s">
        <v>1559</v>
      </c>
      <c r="W89" s="158" t="s">
        <v>966</v>
      </c>
      <c r="X89" s="158" t="s">
        <v>185</v>
      </c>
      <c r="Y89" s="158"/>
      <c r="Z89" s="158" t="s">
        <v>185</v>
      </c>
      <c r="AA89" s="158" t="str">
        <f>IF(GCP_2[[#This Row],[Column14]]="-","", "v")</f>
        <v>v</v>
      </c>
      <c r="AB89" s="168" t="str">
        <f>IF(GCP_2[[#This Row],[Column8]]="x","1",(IF(OR(GCP_2[[#This Row],[Column25]]=2,GCP_2[[#This Row],[Column26]]=2,GCP_2[[#This Row],[Column27]]=2),"1",(IF(GCP_2[[#This Row],[Column9]]="x","2",(IF(GCP_2[[#This Row],[Column10]]="x","3","")))))))</f>
        <v>2</v>
      </c>
      <c r="AC89" s="454" t="str">
        <f>IF(GCP_2[[#This Row],[Column14]] = "-", GCP_2[[#This Row],[Column14]], LEFT(GCP_2[[#This Row],[Column14]], SEARCH(" ", GCP_2[[#This Row],[Column14]] &amp; " ") - 1))</f>
        <v>3.10</v>
      </c>
    </row>
    <row r="90" spans="1:29" ht="409.5">
      <c r="A9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0" s="137" t="str">
        <f>GCP_2[[#This Row],[Column30]]</f>
        <v>4.4</v>
      </c>
      <c r="C90" s="137">
        <v>5.6</v>
      </c>
      <c r="D90" s="138" t="s">
        <v>399</v>
      </c>
      <c r="E90" s="162" t="s">
        <v>156</v>
      </c>
      <c r="F90" s="489" t="s">
        <v>2126</v>
      </c>
      <c r="G90" s="138" t="s">
        <v>475</v>
      </c>
      <c r="H90" s="204"/>
      <c r="I90" s="164" t="s">
        <v>185</v>
      </c>
      <c r="J90" s="200" t="s">
        <v>185</v>
      </c>
      <c r="K90" s="176" t="s">
        <v>185</v>
      </c>
      <c r="L90" s="176" t="s">
        <v>185</v>
      </c>
      <c r="M90" s="176" t="s">
        <v>185</v>
      </c>
      <c r="N90" s="222" t="s">
        <v>1293</v>
      </c>
      <c r="O90" s="212">
        <v>1</v>
      </c>
      <c r="P90" s="214" t="s">
        <v>1294</v>
      </c>
      <c r="Q90" s="214" t="s">
        <v>1295</v>
      </c>
      <c r="R90" s="451" t="s">
        <v>1296</v>
      </c>
      <c r="S90" s="214" t="s">
        <v>1297</v>
      </c>
      <c r="T90" s="214" t="s">
        <v>1298</v>
      </c>
      <c r="U90" s="158" t="s">
        <v>975</v>
      </c>
      <c r="V90" s="168" t="s">
        <v>1560</v>
      </c>
      <c r="W90" s="158" t="s">
        <v>966</v>
      </c>
      <c r="X90" s="158" t="s">
        <v>185</v>
      </c>
      <c r="Y90" s="158"/>
      <c r="Z90" s="158" t="s">
        <v>185</v>
      </c>
      <c r="AA90" s="158" t="str">
        <f>IF(GCP_2[[#This Row],[Column14]]="-","", "v")</f>
        <v>v</v>
      </c>
      <c r="AB90" s="168" t="str">
        <f>IF(GCP_2[[#This Row],[Column8]]="x","1",(IF(OR(GCP_2[[#This Row],[Column25]]=2,GCP_2[[#This Row],[Column26]]=2,GCP_2[[#This Row],[Column27]]=2),"1",(IF(GCP_2[[#This Row],[Column9]]="x","2",(IF(GCP_2[[#This Row],[Column10]]="x","3","")))))))</f>
        <v>2</v>
      </c>
      <c r="AC90" s="454" t="str">
        <f>IF(GCP_2[[#This Row],[Column14]] = "-", GCP_2[[#This Row],[Column14]], LEFT(GCP_2[[#This Row],[Column14]], SEARCH(" ", GCP_2[[#This Row],[Column14]] &amp; " ") - 1))</f>
        <v>4.4</v>
      </c>
    </row>
    <row r="91" spans="1:29" ht="409.5">
      <c r="A9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1" s="137" t="str">
        <f>GCP_2[[#This Row],[Column30]]</f>
        <v>1.4</v>
      </c>
      <c r="C91" s="137">
        <v>5.6</v>
      </c>
      <c r="D91" s="138" t="s">
        <v>399</v>
      </c>
      <c r="E91" s="162" t="s">
        <v>156</v>
      </c>
      <c r="F91" s="489" t="s">
        <v>2126</v>
      </c>
      <c r="G91" s="138" t="s">
        <v>475</v>
      </c>
      <c r="H91" s="204"/>
      <c r="I91" s="164" t="s">
        <v>185</v>
      </c>
      <c r="J91" s="200" t="s">
        <v>185</v>
      </c>
      <c r="K91" s="176" t="s">
        <v>185</v>
      </c>
      <c r="L91" s="176" t="s">
        <v>185</v>
      </c>
      <c r="M91" s="176" t="s">
        <v>185</v>
      </c>
      <c r="N91" s="222" t="s">
        <v>1482</v>
      </c>
      <c r="O91" s="212">
        <v>1</v>
      </c>
      <c r="P91" s="214" t="s">
        <v>1483</v>
      </c>
      <c r="Q91" s="214" t="s">
        <v>1484</v>
      </c>
      <c r="R91" s="451" t="s">
        <v>1485</v>
      </c>
      <c r="S91" s="214" t="s">
        <v>1486</v>
      </c>
      <c r="T91" s="214" t="s">
        <v>1487</v>
      </c>
      <c r="U91" s="158" t="s">
        <v>975</v>
      </c>
      <c r="V91" s="168" t="s">
        <v>1561</v>
      </c>
      <c r="W91" s="158" t="s">
        <v>966</v>
      </c>
      <c r="X91" s="158" t="s">
        <v>185</v>
      </c>
      <c r="Y91" s="158"/>
      <c r="Z91" s="158" t="s">
        <v>185</v>
      </c>
      <c r="AA91" s="158" t="str">
        <f>IF(GCP_2[[#This Row],[Column14]]="-","", "v")</f>
        <v>v</v>
      </c>
      <c r="AB91" s="168" t="str">
        <f>IF(GCP_2[[#This Row],[Column8]]="x","1",(IF(OR(GCP_2[[#This Row],[Column25]]=2,GCP_2[[#This Row],[Column26]]=2,GCP_2[[#This Row],[Column27]]=2),"1",(IF(GCP_2[[#This Row],[Column9]]="x","2",(IF(GCP_2[[#This Row],[Column10]]="x","3","")))))))</f>
        <v>2</v>
      </c>
      <c r="AC91" s="454" t="str">
        <f>IF(GCP_2[[#This Row],[Column14]] = "-", GCP_2[[#This Row],[Column14]], LEFT(GCP_2[[#This Row],[Column14]], SEARCH(" ", GCP_2[[#This Row],[Column14]] &amp; " ") - 1))</f>
        <v>1.4</v>
      </c>
    </row>
    <row r="92" spans="1:29" ht="45">
      <c r="A92" s="221" t="s">
        <v>942</v>
      </c>
      <c r="B92" s="217" t="s">
        <v>162</v>
      </c>
      <c r="C92" s="217" t="s">
        <v>162</v>
      </c>
      <c r="D92" s="218" t="s">
        <v>162</v>
      </c>
      <c r="E92" s="218" t="s">
        <v>162</v>
      </c>
      <c r="F92" s="488" t="s">
        <v>2127</v>
      </c>
      <c r="G92" s="220" t="s">
        <v>482</v>
      </c>
      <c r="H92" s="218" t="s">
        <v>162</v>
      </c>
      <c r="I92" s="218" t="s">
        <v>162</v>
      </c>
      <c r="J92" s="218" t="s">
        <v>162</v>
      </c>
      <c r="K92" s="218" t="s">
        <v>162</v>
      </c>
      <c r="L92" s="218" t="s">
        <v>162</v>
      </c>
      <c r="M92" s="218" t="s">
        <v>162</v>
      </c>
      <c r="N92" s="260" t="s">
        <v>162</v>
      </c>
      <c r="O92" s="218" t="s">
        <v>162</v>
      </c>
      <c r="P92" s="218" t="s">
        <v>162</v>
      </c>
      <c r="Q92" s="218" t="s">
        <v>162</v>
      </c>
      <c r="R92" s="167"/>
      <c r="S92" s="218" t="s">
        <v>162</v>
      </c>
      <c r="T92" s="218" t="s">
        <v>162</v>
      </c>
      <c r="U92" s="217" t="s">
        <v>162</v>
      </c>
      <c r="V92" s="217" t="s">
        <v>162</v>
      </c>
      <c r="W92" s="217" t="s">
        <v>162</v>
      </c>
      <c r="X92" s="217" t="s">
        <v>162</v>
      </c>
      <c r="Y92" s="217" t="s">
        <v>162</v>
      </c>
      <c r="Z92" s="217" t="s">
        <v>162</v>
      </c>
      <c r="AA92" s="218" t="s">
        <v>162</v>
      </c>
      <c r="AB92" s="218" t="s">
        <v>162</v>
      </c>
      <c r="AC92" s="454" t="str">
        <f>IF(GCP_2[[#This Row],[Column14]] = "-", GCP_2[[#This Row],[Column14]], LEFT(GCP_2[[#This Row],[Column14]], SEARCH(" ", GCP_2[[#This Row],[Column14]] &amp; " ") - 1))</f>
        <v>-</v>
      </c>
    </row>
    <row r="93" spans="1:29" ht="30">
      <c r="A9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3" s="137" t="str">
        <f>GCP_2[[#This Row],[Column30]]</f>
        <v>-</v>
      </c>
      <c r="C93" s="137">
        <v>6.1</v>
      </c>
      <c r="D93" s="138" t="s">
        <v>399</v>
      </c>
      <c r="E93" s="162" t="s">
        <v>156</v>
      </c>
      <c r="F93" s="489" t="s">
        <v>2128</v>
      </c>
      <c r="G93" s="138" t="s">
        <v>484</v>
      </c>
      <c r="H93" s="163" t="s">
        <v>185</v>
      </c>
      <c r="I93" s="164" t="s">
        <v>185</v>
      </c>
      <c r="J93" s="200" t="s">
        <v>185</v>
      </c>
      <c r="K93" s="176" t="s">
        <v>185</v>
      </c>
      <c r="L93" s="176" t="s">
        <v>185</v>
      </c>
      <c r="M93" s="176" t="s">
        <v>185</v>
      </c>
      <c r="N93" s="222" t="s">
        <v>162</v>
      </c>
      <c r="O93" s="222" t="s">
        <v>162</v>
      </c>
      <c r="P93" s="222" t="s">
        <v>162</v>
      </c>
      <c r="Q93" s="222" t="s">
        <v>162</v>
      </c>
      <c r="R93" s="451"/>
      <c r="S93" s="222" t="s">
        <v>162</v>
      </c>
      <c r="T93" s="222" t="s">
        <v>162</v>
      </c>
      <c r="U93" s="258" t="s">
        <v>162</v>
      </c>
      <c r="V93" s="168"/>
      <c r="W93" s="158" t="s">
        <v>966</v>
      </c>
      <c r="X93" s="158" t="s">
        <v>185</v>
      </c>
      <c r="Y93" s="158" t="s">
        <v>185</v>
      </c>
      <c r="Z93" s="158" t="s">
        <v>185</v>
      </c>
      <c r="AA93" s="158" t="str">
        <f>IF(GCP_2[[#This Row],[Column14]]="-","", "v")</f>
        <v/>
      </c>
      <c r="AB93" s="158" t="str">
        <f>IF(GCP_2[[#This Row],[Column8]]="x","1",(IF(OR(GCP_2[[#This Row],[Column25]]=2,GCP_2[[#This Row],[Column26]]=2,GCP_2[[#This Row],[Column27]]=2),"1",(IF(GCP_2[[#This Row],[Column9]]="x","2",(IF(GCP_2[[#This Row],[Column10]]="x","3","")))))))</f>
        <v>1</v>
      </c>
      <c r="AC93" s="454" t="str">
        <f>IF(GCP_2[[#This Row],[Column14]] = "-", GCP_2[[#This Row],[Column14]], LEFT(GCP_2[[#This Row],[Column14]], SEARCH(" ", GCP_2[[#This Row],[Column14]] &amp; " ") - 1))</f>
        <v>-</v>
      </c>
    </row>
    <row r="94" spans="1:29" ht="60">
      <c r="A9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4" s="137" t="str">
        <f>GCP_2[[#This Row],[Column30]]</f>
        <v>-</v>
      </c>
      <c r="C94" s="137">
        <v>6.2</v>
      </c>
      <c r="D94" s="138" t="s">
        <v>399</v>
      </c>
      <c r="E94" s="162" t="s">
        <v>156</v>
      </c>
      <c r="F94" s="489" t="s">
        <v>2129</v>
      </c>
      <c r="G94" s="138" t="s">
        <v>486</v>
      </c>
      <c r="H94" s="163" t="s">
        <v>185</v>
      </c>
      <c r="I94" s="164" t="s">
        <v>185</v>
      </c>
      <c r="J94" s="200" t="s">
        <v>185</v>
      </c>
      <c r="K94" s="176" t="s">
        <v>185</v>
      </c>
      <c r="L94" s="176" t="s">
        <v>185</v>
      </c>
      <c r="M94" s="176" t="s">
        <v>185</v>
      </c>
      <c r="N94" s="222" t="s">
        <v>162</v>
      </c>
      <c r="O94" s="222" t="s">
        <v>162</v>
      </c>
      <c r="P94" s="222" t="s">
        <v>162</v>
      </c>
      <c r="Q94" s="222" t="s">
        <v>162</v>
      </c>
      <c r="R94" s="451"/>
      <c r="S94" s="222" t="s">
        <v>162</v>
      </c>
      <c r="T94" s="222" t="s">
        <v>162</v>
      </c>
      <c r="U94" s="258" t="s">
        <v>162</v>
      </c>
      <c r="V94" s="168"/>
      <c r="W94" s="158" t="s">
        <v>966</v>
      </c>
      <c r="X94" s="158" t="s">
        <v>185</v>
      </c>
      <c r="Y94" s="158" t="s">
        <v>185</v>
      </c>
      <c r="Z94" s="158" t="s">
        <v>185</v>
      </c>
      <c r="AA94" s="158" t="str">
        <f>IF(GCP_2[[#This Row],[Column14]]="-","", "v")</f>
        <v/>
      </c>
      <c r="AB94" s="158" t="str">
        <f>IF(GCP_2[[#This Row],[Column8]]="x","1",(IF(OR(GCP_2[[#This Row],[Column25]]=2,GCP_2[[#This Row],[Column26]]=2,GCP_2[[#This Row],[Column27]]=2),"1",(IF(GCP_2[[#This Row],[Column9]]="x","2",(IF(GCP_2[[#This Row],[Column10]]="x","3","")))))))</f>
        <v>1</v>
      </c>
      <c r="AC94" s="454" t="str">
        <f>IF(GCP_2[[#This Row],[Column14]] = "-", GCP_2[[#This Row],[Column14]], LEFT(GCP_2[[#This Row],[Column14]], SEARCH(" ", GCP_2[[#This Row],[Column14]] &amp; " ") - 1))</f>
        <v>-</v>
      </c>
    </row>
    <row r="95" spans="1:29" ht="185.25">
      <c r="A9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5" s="137" t="str">
        <f>GCP_2[[#This Row],[Column30]]</f>
        <v>1.2</v>
      </c>
      <c r="C95" s="137">
        <v>6.3</v>
      </c>
      <c r="D95" s="138" t="s">
        <v>399</v>
      </c>
      <c r="E95" s="162" t="s">
        <v>156</v>
      </c>
      <c r="F95" s="489" t="s">
        <v>2130</v>
      </c>
      <c r="G95" s="138" t="s">
        <v>488</v>
      </c>
      <c r="H95" s="163" t="s">
        <v>185</v>
      </c>
      <c r="I95" s="164" t="s">
        <v>185</v>
      </c>
      <c r="J95" s="200" t="s">
        <v>185</v>
      </c>
      <c r="K95" s="176" t="s">
        <v>185</v>
      </c>
      <c r="L95" s="176" t="s">
        <v>185</v>
      </c>
      <c r="M95" s="176" t="s">
        <v>185</v>
      </c>
      <c r="N95" s="222" t="s">
        <v>1299</v>
      </c>
      <c r="O95" s="212">
        <v>1</v>
      </c>
      <c r="P95" s="214" t="s">
        <v>1300</v>
      </c>
      <c r="Q95" s="214" t="s">
        <v>1301</v>
      </c>
      <c r="R95" s="451" t="s">
        <v>1302</v>
      </c>
      <c r="S95" s="214" t="s">
        <v>1303</v>
      </c>
      <c r="T95" s="214" t="s">
        <v>1304</v>
      </c>
      <c r="U95" s="158" t="s">
        <v>975</v>
      </c>
      <c r="V95" s="168" t="s">
        <v>1562</v>
      </c>
      <c r="W95" s="158" t="s">
        <v>966</v>
      </c>
      <c r="X95" s="158" t="s">
        <v>185</v>
      </c>
      <c r="Y95" s="158" t="s">
        <v>185</v>
      </c>
      <c r="Z95" s="158" t="s">
        <v>185</v>
      </c>
      <c r="AA95" s="158" t="str">
        <f>IF(GCP_2[[#This Row],[Column14]]="-","", "v")</f>
        <v>v</v>
      </c>
      <c r="AB95" s="158" t="str">
        <f>IF(GCP_2[[#This Row],[Column8]]="x","1",(IF(OR(GCP_2[[#This Row],[Column25]]=2,GCP_2[[#This Row],[Column26]]=2,GCP_2[[#This Row],[Column27]]=2),"1",(IF(GCP_2[[#This Row],[Column9]]="x","2",(IF(GCP_2[[#This Row],[Column10]]="x","3","")))))))</f>
        <v>1</v>
      </c>
      <c r="AC95" s="454" t="str">
        <f>IF(GCP_2[[#This Row],[Column14]] = "-", GCP_2[[#This Row],[Column14]], LEFT(GCP_2[[#This Row],[Column14]], SEARCH(" ", GCP_2[[#This Row],[Column14]] &amp; " ") - 1))</f>
        <v>1.2</v>
      </c>
    </row>
    <row r="96" spans="1:29" ht="409.5">
      <c r="A9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6" s="137" t="str">
        <f>GCP_2[[#This Row],[Column30]]</f>
        <v>1.3</v>
      </c>
      <c r="C96" s="137">
        <v>6.3</v>
      </c>
      <c r="D96" s="138" t="s">
        <v>399</v>
      </c>
      <c r="E96" s="162" t="s">
        <v>156</v>
      </c>
      <c r="F96" s="489" t="s">
        <v>2130</v>
      </c>
      <c r="G96" s="138" t="s">
        <v>488</v>
      </c>
      <c r="H96" s="163" t="s">
        <v>185</v>
      </c>
      <c r="I96" s="164" t="s">
        <v>185</v>
      </c>
      <c r="J96" s="200" t="s">
        <v>185</v>
      </c>
      <c r="K96" s="176" t="s">
        <v>185</v>
      </c>
      <c r="L96" s="176" t="s">
        <v>185</v>
      </c>
      <c r="M96" s="176" t="s">
        <v>185</v>
      </c>
      <c r="N96" s="222" t="s">
        <v>1305</v>
      </c>
      <c r="O96" s="212">
        <v>2</v>
      </c>
      <c r="P96" s="214" t="s">
        <v>1306</v>
      </c>
      <c r="Q96" s="214" t="s">
        <v>1307</v>
      </c>
      <c r="R96" s="451" t="s">
        <v>1308</v>
      </c>
      <c r="S96" s="214" t="s">
        <v>1309</v>
      </c>
      <c r="T96" s="214" t="s">
        <v>1310</v>
      </c>
      <c r="U96" s="258" t="s">
        <v>162</v>
      </c>
      <c r="V96" s="168" t="s">
        <v>1563</v>
      </c>
      <c r="W96" s="158" t="s">
        <v>967</v>
      </c>
      <c r="X96" s="158" t="s">
        <v>185</v>
      </c>
      <c r="Y96" s="158" t="s">
        <v>185</v>
      </c>
      <c r="Z96" s="158" t="s">
        <v>185</v>
      </c>
      <c r="AA96" s="158" t="str">
        <f>IF(GCP_2[[#This Row],[Column14]]="-","", "v")</f>
        <v>v</v>
      </c>
      <c r="AB96" s="158" t="str">
        <f>IF(GCP_2[[#This Row],[Column8]]="x","1",(IF(OR(GCP_2[[#This Row],[Column25]]=2,GCP_2[[#This Row],[Column26]]=2,GCP_2[[#This Row],[Column27]]=2),"1",(IF(GCP_2[[#This Row],[Column9]]="x","2",(IF(GCP_2[[#This Row],[Column10]]="x","3","")))))))</f>
        <v>1</v>
      </c>
      <c r="AC96" s="454" t="str">
        <f>IF(GCP_2[[#This Row],[Column14]] = "-", GCP_2[[#This Row],[Column14]], LEFT(GCP_2[[#This Row],[Column14]], SEARCH(" ", GCP_2[[#This Row],[Column14]] &amp; " ") - 1))</f>
        <v>1.3</v>
      </c>
    </row>
    <row r="97" spans="1:29" ht="15.75">
      <c r="A9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7" s="137" t="str">
        <f>GCP_2[[#This Row],[Column30]]</f>
        <v>-</v>
      </c>
      <c r="C97" s="137">
        <v>6.4</v>
      </c>
      <c r="D97" s="138" t="s">
        <v>399</v>
      </c>
      <c r="E97" s="162" t="s">
        <v>156</v>
      </c>
      <c r="F97" s="489" t="s">
        <v>2131</v>
      </c>
      <c r="G97" s="138" t="s">
        <v>490</v>
      </c>
      <c r="H97" s="163" t="s">
        <v>185</v>
      </c>
      <c r="I97" s="164" t="s">
        <v>185</v>
      </c>
      <c r="J97" s="200" t="s">
        <v>185</v>
      </c>
      <c r="K97" s="176" t="s">
        <v>185</v>
      </c>
      <c r="L97" s="176"/>
      <c r="M97" s="176"/>
      <c r="N97" s="222" t="s">
        <v>162</v>
      </c>
      <c r="O97" s="222" t="s">
        <v>162</v>
      </c>
      <c r="P97" s="222" t="s">
        <v>162</v>
      </c>
      <c r="Q97" s="222" t="s">
        <v>162</v>
      </c>
      <c r="R97" s="451"/>
      <c r="S97" s="222" t="s">
        <v>162</v>
      </c>
      <c r="T97" s="222" t="s">
        <v>162</v>
      </c>
      <c r="U97" s="258" t="s">
        <v>162</v>
      </c>
      <c r="V97" s="168"/>
      <c r="W97" s="158" t="s">
        <v>966</v>
      </c>
      <c r="X97" s="158" t="s">
        <v>185</v>
      </c>
      <c r="Y97" s="158" t="s">
        <v>185</v>
      </c>
      <c r="Z97" s="158" t="s">
        <v>185</v>
      </c>
      <c r="AA97" s="158" t="str">
        <f>IF(GCP_2[[#This Row],[Column14]]="-","", "v")</f>
        <v/>
      </c>
      <c r="AB97" s="158" t="str">
        <f>IF(GCP_2[[#This Row],[Column8]]="x","1",(IF(OR(GCP_2[[#This Row],[Column25]]=2,GCP_2[[#This Row],[Column26]]=2,GCP_2[[#This Row],[Column27]]=2),"1",(IF(GCP_2[[#This Row],[Column9]]="x","2",(IF(GCP_2[[#This Row],[Column10]]="x","3","")))))))</f>
        <v>1</v>
      </c>
      <c r="AC97" s="454" t="str">
        <f>IF(GCP_2[[#This Row],[Column14]] = "-", GCP_2[[#This Row],[Column14]], LEFT(GCP_2[[#This Row],[Column14]], SEARCH(" ", GCP_2[[#This Row],[Column14]] &amp; " ") - 1))</f>
        <v>-</v>
      </c>
    </row>
    <row r="98" spans="1:29" ht="30">
      <c r="A9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8" s="137" t="str">
        <f>GCP_2[[#This Row],[Column30]]</f>
        <v>-</v>
      </c>
      <c r="C98" s="137">
        <v>6.5</v>
      </c>
      <c r="D98" s="138" t="s">
        <v>399</v>
      </c>
      <c r="E98" s="162" t="s">
        <v>156</v>
      </c>
      <c r="F98" s="489" t="s">
        <v>2132</v>
      </c>
      <c r="G98" s="138" t="s">
        <v>492</v>
      </c>
      <c r="H98" s="163" t="s">
        <v>185</v>
      </c>
      <c r="I98" s="164" t="s">
        <v>185</v>
      </c>
      <c r="J98" s="200" t="s">
        <v>185</v>
      </c>
      <c r="K98" s="176" t="s">
        <v>185</v>
      </c>
      <c r="L98" s="176" t="s">
        <v>185</v>
      </c>
      <c r="M98" s="176" t="s">
        <v>185</v>
      </c>
      <c r="N98" s="222" t="s">
        <v>162</v>
      </c>
      <c r="O98" s="222" t="s">
        <v>162</v>
      </c>
      <c r="P98" s="222" t="s">
        <v>162</v>
      </c>
      <c r="Q98" s="222" t="s">
        <v>162</v>
      </c>
      <c r="R98" s="451"/>
      <c r="S98" s="222" t="s">
        <v>162</v>
      </c>
      <c r="T98" s="222" t="s">
        <v>162</v>
      </c>
      <c r="U98" s="258" t="s">
        <v>162</v>
      </c>
      <c r="V98" s="168"/>
      <c r="W98" s="158" t="s">
        <v>966</v>
      </c>
      <c r="X98" s="158" t="s">
        <v>185</v>
      </c>
      <c r="Y98" s="158" t="s">
        <v>185</v>
      </c>
      <c r="Z98" s="158" t="s">
        <v>185</v>
      </c>
      <c r="AA98" s="158" t="str">
        <f>IF(GCP_2[[#This Row],[Column14]]="-","", "v")</f>
        <v/>
      </c>
      <c r="AB98" s="158" t="str">
        <f>IF(GCP_2[[#This Row],[Column8]]="x","1",(IF(OR(GCP_2[[#This Row],[Column25]]=2,GCP_2[[#This Row],[Column26]]=2,GCP_2[[#This Row],[Column27]]=2),"1",(IF(GCP_2[[#This Row],[Column9]]="x","2",(IF(GCP_2[[#This Row],[Column10]]="x","3","")))))))</f>
        <v>1</v>
      </c>
      <c r="AC98" s="454" t="str">
        <f>IF(GCP_2[[#This Row],[Column14]] = "-", GCP_2[[#This Row],[Column14]], LEFT(GCP_2[[#This Row],[Column14]], SEARCH(" ", GCP_2[[#This Row],[Column14]] &amp; " ") - 1))</f>
        <v>-</v>
      </c>
    </row>
    <row r="99" spans="1:29" ht="285">
      <c r="A9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NOT(ISBLANK(K99)),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NOT(ISBLANK(L99)),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NOT(ISBLANK(M99)),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99" s="137" t="str">
        <f>GCP_2[[#This Row],[Column30]]</f>
        <v>2.13</v>
      </c>
      <c r="C99" s="137">
        <v>6.6</v>
      </c>
      <c r="D99" s="138" t="s">
        <v>399</v>
      </c>
      <c r="E99" s="162" t="s">
        <v>154</v>
      </c>
      <c r="F99" s="489" t="s">
        <v>2133</v>
      </c>
      <c r="G99" s="138" t="s">
        <v>514</v>
      </c>
      <c r="H99" s="137"/>
      <c r="I99" s="164" t="s">
        <v>185</v>
      </c>
      <c r="J99" s="200" t="s">
        <v>185</v>
      </c>
      <c r="K99" s="176" t="s">
        <v>185</v>
      </c>
      <c r="L99" s="176" t="s">
        <v>185</v>
      </c>
      <c r="M99" s="176" t="s">
        <v>185</v>
      </c>
      <c r="N99" s="222" t="s">
        <v>1002</v>
      </c>
      <c r="O99" s="212">
        <v>1</v>
      </c>
      <c r="P99" s="214" t="s">
        <v>1003</v>
      </c>
      <c r="Q99" s="214" t="s">
        <v>1004</v>
      </c>
      <c r="R99" s="451" t="s">
        <v>1005</v>
      </c>
      <c r="S99" s="214" t="s">
        <v>1006</v>
      </c>
      <c r="T99" s="214" t="s">
        <v>1007</v>
      </c>
      <c r="U99" s="258" t="s">
        <v>162</v>
      </c>
      <c r="V99" s="168" t="s">
        <v>899</v>
      </c>
      <c r="W99" s="158" t="s">
        <v>967</v>
      </c>
      <c r="X99" s="158" t="s">
        <v>185</v>
      </c>
      <c r="Y99" s="158" t="s">
        <v>185</v>
      </c>
      <c r="Z99" s="158" t="s">
        <v>185</v>
      </c>
      <c r="AA99" s="158" t="str">
        <f>IF(GCP_2[[#This Row],[Column14]]="-","", "v")</f>
        <v>v</v>
      </c>
      <c r="AB99" s="158" t="str">
        <f>IF(GCP_2[[#This Row],[Column8]]="x","1",(IF(OR(GCP_2[[#This Row],[Column25]]=2,GCP_2[[#This Row],[Column26]]=2,GCP_2[[#This Row],[Column27]]=2),"1",(IF(GCP_2[[#This Row],[Column9]]="x","2",(IF(GCP_2[[#This Row],[Column10]]="x","3","")))))))</f>
        <v>2</v>
      </c>
      <c r="AC99" s="454" t="str">
        <f>IF(GCP_2[[#This Row],[Column14]] = "-", GCP_2[[#This Row],[Column14]], LEFT(GCP_2[[#This Row],[Column14]], SEARCH(" ", GCP_2[[#This Row],[Column14]] &amp; " ") - 1))</f>
        <v>2.13</v>
      </c>
    </row>
    <row r="100" spans="1:29" ht="409.5">
      <c r="A10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0" s="137" t="str">
        <f>GCP_2[[#This Row],[Column30]]</f>
        <v>4.4</v>
      </c>
      <c r="C100" s="137">
        <v>6.7</v>
      </c>
      <c r="D100" s="138" t="s">
        <v>399</v>
      </c>
      <c r="E100" s="162" t="s">
        <v>156</v>
      </c>
      <c r="F100" s="489" t="s">
        <v>2134</v>
      </c>
      <c r="G100" s="138" t="s">
        <v>516</v>
      </c>
      <c r="H100" s="204"/>
      <c r="I100" s="164" t="s">
        <v>185</v>
      </c>
      <c r="J100" s="200" t="s">
        <v>185</v>
      </c>
      <c r="K100" s="176" t="s">
        <v>185</v>
      </c>
      <c r="L100" s="176" t="s">
        <v>185</v>
      </c>
      <c r="M100" s="176" t="s">
        <v>185</v>
      </c>
      <c r="N100" s="222" t="s">
        <v>1293</v>
      </c>
      <c r="O100" s="212">
        <v>1</v>
      </c>
      <c r="P100" s="214" t="s">
        <v>1294</v>
      </c>
      <c r="Q100" s="214" t="s">
        <v>1295</v>
      </c>
      <c r="R100" s="451" t="s">
        <v>1296</v>
      </c>
      <c r="S100" s="214" t="s">
        <v>1297</v>
      </c>
      <c r="T100" s="214" t="s">
        <v>1298</v>
      </c>
      <c r="U100" s="158" t="s">
        <v>975</v>
      </c>
      <c r="V100" s="168" t="s">
        <v>1560</v>
      </c>
      <c r="W100" s="158" t="s">
        <v>966</v>
      </c>
      <c r="X100" s="158" t="s">
        <v>185</v>
      </c>
      <c r="Y100" s="158" t="s">
        <v>185</v>
      </c>
      <c r="Z100" s="158" t="s">
        <v>185</v>
      </c>
      <c r="AA100" s="158" t="str">
        <f>IF(GCP_2[[#This Row],[Column14]]="-","", "v")</f>
        <v>v</v>
      </c>
      <c r="AB100" s="158" t="str">
        <f>IF(GCP_2[[#This Row],[Column8]]="x","1",(IF(OR(GCP_2[[#This Row],[Column25]]=2,GCP_2[[#This Row],[Column26]]=2,GCP_2[[#This Row],[Column27]]=2),"1",(IF(GCP_2[[#This Row],[Column9]]="x","2",(IF(GCP_2[[#This Row],[Column10]]="x","3","")))))))</f>
        <v>2</v>
      </c>
      <c r="AC100" s="454" t="str">
        <f>IF(GCP_2[[#This Row],[Column14]] = "-", GCP_2[[#This Row],[Column14]], LEFT(GCP_2[[#This Row],[Column14]], SEARCH(" ", GCP_2[[#This Row],[Column14]] &amp; " ") - 1))</f>
        <v>4.4</v>
      </c>
    </row>
    <row r="101" spans="1:29" ht="75">
      <c r="A10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1" s="137" t="str">
        <f>GCP_2[[#This Row],[Column30]]</f>
        <v>-</v>
      </c>
      <c r="C101" s="137">
        <v>6.8</v>
      </c>
      <c r="D101" s="138" t="s">
        <v>182</v>
      </c>
      <c r="E101" s="162" t="s">
        <v>156</v>
      </c>
      <c r="F101" s="489" t="s">
        <v>2135</v>
      </c>
      <c r="G101" s="139" t="s">
        <v>333</v>
      </c>
      <c r="H101" s="204"/>
      <c r="I101" s="204"/>
      <c r="J101" s="200" t="s">
        <v>185</v>
      </c>
      <c r="K101" s="176" t="s">
        <v>185</v>
      </c>
      <c r="L101" s="176" t="s">
        <v>185</v>
      </c>
      <c r="M101" s="176" t="s">
        <v>185</v>
      </c>
      <c r="N101" s="222" t="s">
        <v>162</v>
      </c>
      <c r="O101" s="222" t="s">
        <v>162</v>
      </c>
      <c r="P101" s="222" t="s">
        <v>162</v>
      </c>
      <c r="Q101" s="222" t="s">
        <v>162</v>
      </c>
      <c r="R101" s="451"/>
      <c r="S101" s="222" t="s">
        <v>162</v>
      </c>
      <c r="T101" s="222" t="s">
        <v>162</v>
      </c>
      <c r="U101" s="258" t="s">
        <v>162</v>
      </c>
      <c r="V101" s="168"/>
      <c r="W101" s="158" t="s">
        <v>966</v>
      </c>
      <c r="X101" s="158" t="s">
        <v>185</v>
      </c>
      <c r="Y101" s="158" t="s">
        <v>185</v>
      </c>
      <c r="Z101" s="158" t="s">
        <v>185</v>
      </c>
      <c r="AA101" s="158" t="str">
        <f>IF(GCP_2[[#This Row],[Column14]]="-","", "v")</f>
        <v/>
      </c>
      <c r="AB101" s="158" t="str">
        <f>IF(GCP_2[[#This Row],[Column8]]="x","1",(IF(OR(GCP_2[[#This Row],[Column25]]=2,GCP_2[[#This Row],[Column26]]=2,GCP_2[[#This Row],[Column27]]=2),"1",(IF(GCP_2[[#This Row],[Column9]]="x","2",(IF(GCP_2[[#This Row],[Column10]]="x","3","")))))))</f>
        <v>3</v>
      </c>
      <c r="AC101" s="454" t="str">
        <f>IF(GCP_2[[#This Row],[Column14]] = "-", GCP_2[[#This Row],[Column14]], LEFT(GCP_2[[#This Row],[Column14]], SEARCH(" ", GCP_2[[#This Row],[Column14]] &amp; " ") - 1))</f>
        <v>-</v>
      </c>
    </row>
    <row r="102" spans="1:29" ht="75">
      <c r="A102" s="221" t="s">
        <v>942</v>
      </c>
      <c r="B102" s="217" t="s">
        <v>162</v>
      </c>
      <c r="C102" s="217" t="s">
        <v>162</v>
      </c>
      <c r="D102" s="218" t="s">
        <v>162</v>
      </c>
      <c r="E102" s="218" t="s">
        <v>162</v>
      </c>
      <c r="F102" s="488" t="s">
        <v>2136</v>
      </c>
      <c r="G102" s="220" t="s">
        <v>518</v>
      </c>
      <c r="H102" s="218" t="s">
        <v>162</v>
      </c>
      <c r="I102" s="218" t="s">
        <v>162</v>
      </c>
      <c r="J102" s="218" t="s">
        <v>162</v>
      </c>
      <c r="K102" s="218" t="s">
        <v>162</v>
      </c>
      <c r="L102" s="218" t="s">
        <v>162</v>
      </c>
      <c r="M102" s="218" t="s">
        <v>162</v>
      </c>
      <c r="N102" s="260" t="s">
        <v>162</v>
      </c>
      <c r="O102" s="218" t="s">
        <v>162</v>
      </c>
      <c r="P102" s="218" t="s">
        <v>162</v>
      </c>
      <c r="Q102" s="218" t="s">
        <v>162</v>
      </c>
      <c r="R102" s="154"/>
      <c r="S102" s="218" t="s">
        <v>162</v>
      </c>
      <c r="T102" s="218" t="s">
        <v>162</v>
      </c>
      <c r="U102" s="217" t="s">
        <v>162</v>
      </c>
      <c r="V102" s="217" t="s">
        <v>162</v>
      </c>
      <c r="W102" s="217" t="s">
        <v>162</v>
      </c>
      <c r="X102" s="217" t="s">
        <v>162</v>
      </c>
      <c r="Y102" s="217" t="s">
        <v>162</v>
      </c>
      <c r="Z102" s="217" t="s">
        <v>162</v>
      </c>
      <c r="AA102" s="218" t="s">
        <v>162</v>
      </c>
      <c r="AB102" s="218" t="s">
        <v>162</v>
      </c>
      <c r="AC102" s="454" t="str">
        <f>IF(GCP_2[[#This Row],[Column14]] = "-", GCP_2[[#This Row],[Column14]], LEFT(GCP_2[[#This Row],[Column14]], SEARCH(" ", GCP_2[[#This Row],[Column14]] &amp; " ") - 1))</f>
        <v>-</v>
      </c>
    </row>
    <row r="103" spans="1:29" ht="45">
      <c r="A10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3" s="137" t="str">
        <f>GCP_2[[#This Row],[Column30]]</f>
        <v>-</v>
      </c>
      <c r="C103" s="137">
        <v>7.1</v>
      </c>
      <c r="D103" s="138" t="s">
        <v>371</v>
      </c>
      <c r="E103" s="162" t="s">
        <v>156</v>
      </c>
      <c r="F103" s="138" t="s">
        <v>519</v>
      </c>
      <c r="G103" s="138" t="s">
        <v>520</v>
      </c>
      <c r="H103" s="163" t="s">
        <v>185</v>
      </c>
      <c r="I103" s="164" t="s">
        <v>185</v>
      </c>
      <c r="J103" s="200" t="s">
        <v>185</v>
      </c>
      <c r="K103" s="176" t="s">
        <v>185</v>
      </c>
      <c r="L103" s="176" t="s">
        <v>185</v>
      </c>
      <c r="M103" s="176" t="s">
        <v>185</v>
      </c>
      <c r="N103" s="222" t="s">
        <v>162</v>
      </c>
      <c r="O103" s="222" t="s">
        <v>162</v>
      </c>
      <c r="P103" s="222" t="s">
        <v>162</v>
      </c>
      <c r="Q103" s="222" t="s">
        <v>162</v>
      </c>
      <c r="S103" s="222" t="s">
        <v>162</v>
      </c>
      <c r="T103" s="222" t="s">
        <v>162</v>
      </c>
      <c r="U103" s="258" t="s">
        <v>162</v>
      </c>
      <c r="V103" s="168"/>
      <c r="W103" s="158" t="s">
        <v>966</v>
      </c>
      <c r="X103" s="158" t="s">
        <v>185</v>
      </c>
      <c r="Y103" s="158" t="s">
        <v>185</v>
      </c>
      <c r="Z103" s="158" t="s">
        <v>185</v>
      </c>
      <c r="AA103" s="158" t="str">
        <f>IF(GCP_2[[#This Row],[Column14]]="-","", "v")</f>
        <v/>
      </c>
      <c r="AB103" s="158" t="str">
        <f>IF(GCP_2[[#This Row],[Column8]]="x","1",(IF(OR(GCP_2[[#This Row],[Column25]]=2,GCP_2[[#This Row],[Column26]]=2,GCP_2[[#This Row],[Column27]]=2),"1",(IF(GCP_2[[#This Row],[Column9]]="x","2",(IF(GCP_2[[#This Row],[Column10]]="x","3","")))))))</f>
        <v>1</v>
      </c>
      <c r="AC103" s="454" t="str">
        <f>IF(GCP_2[[#This Row],[Column14]] = "-", GCP_2[[#This Row],[Column14]], LEFT(GCP_2[[#This Row],[Column14]], SEARCH(" ", GCP_2[[#This Row],[Column14]] &amp; " ") - 1))</f>
        <v>-</v>
      </c>
    </row>
    <row r="104" spans="1:29" ht="30">
      <c r="A10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4" s="137" t="str">
        <f>GCP_2[[#This Row],[Column30]]</f>
        <v>-</v>
      </c>
      <c r="C104" s="137">
        <v>7.2</v>
      </c>
      <c r="D104" s="138" t="s">
        <v>371</v>
      </c>
      <c r="E104" s="162" t="s">
        <v>157</v>
      </c>
      <c r="F104" s="138" t="s">
        <v>521</v>
      </c>
      <c r="G104" s="138" t="s">
        <v>522</v>
      </c>
      <c r="H104" s="163" t="s">
        <v>185</v>
      </c>
      <c r="I104" s="164" t="s">
        <v>185</v>
      </c>
      <c r="J104" s="200" t="s">
        <v>185</v>
      </c>
      <c r="K104" s="176" t="s">
        <v>185</v>
      </c>
      <c r="L104" s="176" t="s">
        <v>185</v>
      </c>
      <c r="M104" s="176" t="s">
        <v>185</v>
      </c>
      <c r="N104" s="222" t="s">
        <v>162</v>
      </c>
      <c r="O104" s="222" t="s">
        <v>162</v>
      </c>
      <c r="P104" s="222" t="s">
        <v>162</v>
      </c>
      <c r="Q104" s="222" t="s">
        <v>162</v>
      </c>
      <c r="S104" s="222" t="s">
        <v>162</v>
      </c>
      <c r="T104" s="222" t="s">
        <v>162</v>
      </c>
      <c r="U104" s="258" t="s">
        <v>162</v>
      </c>
      <c r="V104" s="168"/>
      <c r="W104" s="158" t="s">
        <v>966</v>
      </c>
      <c r="X104" s="158" t="s">
        <v>185</v>
      </c>
      <c r="Y104" s="158" t="s">
        <v>185</v>
      </c>
      <c r="Z104" s="158" t="s">
        <v>185</v>
      </c>
      <c r="AA104" s="158" t="str">
        <f>IF(GCP_2[[#This Row],[Column14]]="-","", "v")</f>
        <v/>
      </c>
      <c r="AB104" s="158" t="str">
        <f>IF(GCP_2[[#This Row],[Column8]]="x","1",(IF(OR(GCP_2[[#This Row],[Column25]]=2,GCP_2[[#This Row],[Column26]]=2,GCP_2[[#This Row],[Column27]]=2),"1",(IF(GCP_2[[#This Row],[Column9]]="x","2",(IF(GCP_2[[#This Row],[Column10]]="x","3","")))))))</f>
        <v>1</v>
      </c>
      <c r="AC104" s="454" t="str">
        <f>IF(GCP_2[[#This Row],[Column14]] = "-", GCP_2[[#This Row],[Column14]], LEFT(GCP_2[[#This Row],[Column14]], SEARCH(" ", GCP_2[[#This Row],[Column14]] &amp; " ") - 1))</f>
        <v>-</v>
      </c>
    </row>
    <row r="105" spans="1:29" ht="409.5">
      <c r="A10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5" s="137" t="str">
        <f>GCP_2[[#This Row],[Column30]]</f>
        <v>4.8</v>
      </c>
      <c r="C105" s="137">
        <v>7.3</v>
      </c>
      <c r="D105" s="138" t="s">
        <v>371</v>
      </c>
      <c r="E105" s="162" t="s">
        <v>156</v>
      </c>
      <c r="F105" s="138" t="s">
        <v>523</v>
      </c>
      <c r="G105" s="138" t="s">
        <v>524</v>
      </c>
      <c r="H105" s="163" t="s">
        <v>185</v>
      </c>
      <c r="I105" s="164" t="s">
        <v>185</v>
      </c>
      <c r="J105" s="200" t="s">
        <v>185</v>
      </c>
      <c r="K105" s="176" t="s">
        <v>185</v>
      </c>
      <c r="L105" s="176" t="s">
        <v>185</v>
      </c>
      <c r="M105" s="176"/>
      <c r="N105" s="255" t="s">
        <v>1494</v>
      </c>
      <c r="O105" s="212">
        <v>2</v>
      </c>
      <c r="P105" s="214" t="s">
        <v>1495</v>
      </c>
      <c r="Q105" s="214" t="s">
        <v>1496</v>
      </c>
      <c r="R105" s="214" t="s">
        <v>1497</v>
      </c>
      <c r="S105" s="214" t="s">
        <v>1498</v>
      </c>
      <c r="T105" s="212" t="s">
        <v>1499</v>
      </c>
      <c r="U105" s="158" t="s">
        <v>162</v>
      </c>
      <c r="V105" s="168" t="s">
        <v>2031</v>
      </c>
      <c r="W105" s="158" t="s">
        <v>967</v>
      </c>
      <c r="X105" s="158" t="s">
        <v>185</v>
      </c>
      <c r="Y105" s="158" t="s">
        <v>185</v>
      </c>
      <c r="Z105" s="158" t="s">
        <v>185</v>
      </c>
      <c r="AA105" s="158" t="str">
        <f>IF(GCP_2[[#This Row],[Column14]]="-","", "v")</f>
        <v>v</v>
      </c>
      <c r="AB105" s="158" t="str">
        <f>IF(GCP_2[[#This Row],[Column8]]="x","1",(IF(OR(GCP_2[[#This Row],[Column25]]=2,GCP_2[[#This Row],[Column26]]=2,GCP_2[[#This Row],[Column27]]=2),"1",(IF(GCP_2[[#This Row],[Column9]]="x","2",(IF(GCP_2[[#This Row],[Column10]]="x","3","")))))))</f>
        <v>1</v>
      </c>
      <c r="AC105" s="454" t="str">
        <f>IF(GCP_2[[#This Row],[Column14]] = "-", GCP_2[[#This Row],[Column14]], LEFT(GCP_2[[#This Row],[Column14]], SEARCH(" ", GCP_2[[#This Row],[Column14]] &amp; " ") - 1))</f>
        <v>4.8</v>
      </c>
    </row>
    <row r="106" spans="1:29" ht="45">
      <c r="A10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6" s="137" t="str">
        <f>GCP_2[[#This Row],[Column30]]</f>
        <v>-</v>
      </c>
      <c r="C106" s="137">
        <v>7.4</v>
      </c>
      <c r="D106" s="138" t="s">
        <v>371</v>
      </c>
      <c r="E106" s="162" t="s">
        <v>156</v>
      </c>
      <c r="F106" s="138" t="s">
        <v>525</v>
      </c>
      <c r="G106" s="138" t="s">
        <v>526</v>
      </c>
      <c r="H106" s="163" t="s">
        <v>185</v>
      </c>
      <c r="I106" s="164" t="s">
        <v>185</v>
      </c>
      <c r="J106" s="200" t="s">
        <v>185</v>
      </c>
      <c r="K106" s="176" t="s">
        <v>185</v>
      </c>
      <c r="L106" s="176" t="s">
        <v>185</v>
      </c>
      <c r="M106" s="176"/>
      <c r="N106" s="222" t="s">
        <v>162</v>
      </c>
      <c r="O106" s="222" t="s">
        <v>162</v>
      </c>
      <c r="P106" s="222" t="s">
        <v>162</v>
      </c>
      <c r="Q106" s="222" t="s">
        <v>162</v>
      </c>
      <c r="S106" s="222" t="s">
        <v>162</v>
      </c>
      <c r="T106" s="222" t="s">
        <v>162</v>
      </c>
      <c r="U106" s="258" t="s">
        <v>162</v>
      </c>
      <c r="V106" s="168"/>
      <c r="W106" s="158" t="s">
        <v>967</v>
      </c>
      <c r="X106" s="158" t="s">
        <v>185</v>
      </c>
      <c r="Y106" s="158" t="s">
        <v>185</v>
      </c>
      <c r="Z106" s="158" t="s">
        <v>185</v>
      </c>
      <c r="AA106" s="158" t="str">
        <f>IF(GCP_2[[#This Row],[Column14]]="-","", "v")</f>
        <v/>
      </c>
      <c r="AB106" s="158" t="str">
        <f>IF(GCP_2[[#This Row],[Column8]]="x","1",(IF(OR(GCP_2[[#This Row],[Column25]]=2,GCP_2[[#This Row],[Column26]]=2,GCP_2[[#This Row],[Column27]]=2),"1",(IF(GCP_2[[#This Row],[Column9]]="x","2",(IF(GCP_2[[#This Row],[Column10]]="x","3","")))))))</f>
        <v>1</v>
      </c>
      <c r="AC106" s="454" t="str">
        <f>IF(GCP_2[[#This Row],[Column14]] = "-", GCP_2[[#This Row],[Column14]], LEFT(GCP_2[[#This Row],[Column14]], SEARCH(" ", GCP_2[[#This Row],[Column14]] &amp; " ") - 1))</f>
        <v>-</v>
      </c>
    </row>
    <row r="107" spans="1:29" ht="45.75">
      <c r="A10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7" s="137" t="str">
        <f>GCP_2[[#This Row],[Column30]]</f>
        <v>-</v>
      </c>
      <c r="C107" s="137">
        <v>7.5</v>
      </c>
      <c r="D107" s="138" t="s">
        <v>371</v>
      </c>
      <c r="E107" s="162" t="s">
        <v>154</v>
      </c>
      <c r="F107" s="138" t="s">
        <v>533</v>
      </c>
      <c r="G107" s="138" t="s">
        <v>534</v>
      </c>
      <c r="H107" s="204"/>
      <c r="I107" s="164" t="s">
        <v>185</v>
      </c>
      <c r="J107" s="200" t="s">
        <v>185</v>
      </c>
      <c r="K107" s="176" t="s">
        <v>185</v>
      </c>
      <c r="L107" s="176" t="s">
        <v>185</v>
      </c>
      <c r="M107" s="176"/>
      <c r="N107" s="222" t="s">
        <v>162</v>
      </c>
      <c r="O107" s="222" t="s">
        <v>162</v>
      </c>
      <c r="P107" s="222" t="s">
        <v>162</v>
      </c>
      <c r="Q107" s="222" t="s">
        <v>162</v>
      </c>
      <c r="S107" s="222" t="s">
        <v>162</v>
      </c>
      <c r="T107" s="222" t="s">
        <v>162</v>
      </c>
      <c r="U107" s="258" t="s">
        <v>162</v>
      </c>
      <c r="V107" s="168"/>
      <c r="W107" s="158" t="s">
        <v>966</v>
      </c>
      <c r="X107" s="158" t="s">
        <v>185</v>
      </c>
      <c r="Y107" s="158" t="s">
        <v>185</v>
      </c>
      <c r="Z107" s="158" t="s">
        <v>185</v>
      </c>
      <c r="AA107" s="158" t="str">
        <f>IF(GCP_2[[#This Row],[Column14]]="-","", "v")</f>
        <v/>
      </c>
      <c r="AB107" s="158" t="str">
        <f>IF(GCP_2[[#This Row],[Column8]]="x","1",(IF(OR(GCP_2[[#This Row],[Column25]]=2,GCP_2[[#This Row],[Column26]]=2,GCP_2[[#This Row],[Column27]]=2),"1",(IF(GCP_2[[#This Row],[Column9]]="x","2",(IF(GCP_2[[#This Row],[Column10]]="x","3","")))))))</f>
        <v>2</v>
      </c>
      <c r="AC107" s="454" t="str">
        <f>IF(GCP_2[[#This Row],[Column14]] = "-", GCP_2[[#This Row],[Column14]], LEFT(GCP_2[[#This Row],[Column14]], SEARCH(" ", GCP_2[[#This Row],[Column14]] &amp; " ") - 1))</f>
        <v>-</v>
      </c>
    </row>
    <row r="108" spans="1:29" ht="60">
      <c r="A10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8" s="137" t="str">
        <f>GCP_2[[#This Row],[Column30]]</f>
        <v>-</v>
      </c>
      <c r="C108" s="137">
        <v>7.6</v>
      </c>
      <c r="D108" s="138" t="s">
        <v>371</v>
      </c>
      <c r="E108" s="162" t="s">
        <v>154</v>
      </c>
      <c r="F108" s="138" t="s">
        <v>535</v>
      </c>
      <c r="G108" s="138" t="s">
        <v>536</v>
      </c>
      <c r="H108" s="204"/>
      <c r="I108" s="164" t="s">
        <v>185</v>
      </c>
      <c r="J108" s="200" t="s">
        <v>185</v>
      </c>
      <c r="K108" s="176" t="s">
        <v>185</v>
      </c>
      <c r="L108" s="176" t="s">
        <v>185</v>
      </c>
      <c r="M108" s="176"/>
      <c r="N108" s="222" t="s">
        <v>162</v>
      </c>
      <c r="O108" s="222" t="s">
        <v>162</v>
      </c>
      <c r="P108" s="222" t="s">
        <v>162</v>
      </c>
      <c r="Q108" s="222" t="s">
        <v>162</v>
      </c>
      <c r="S108" s="222" t="s">
        <v>162</v>
      </c>
      <c r="T108" s="222" t="s">
        <v>162</v>
      </c>
      <c r="U108" s="258" t="s">
        <v>162</v>
      </c>
      <c r="V108" s="168"/>
      <c r="W108" s="158" t="s">
        <v>966</v>
      </c>
      <c r="X108" s="158" t="s">
        <v>185</v>
      </c>
      <c r="Y108" s="158" t="s">
        <v>185</v>
      </c>
      <c r="Z108" s="158" t="s">
        <v>185</v>
      </c>
      <c r="AA108" s="158" t="str">
        <f>IF(GCP_2[[#This Row],[Column14]]="-","", "v")</f>
        <v/>
      </c>
      <c r="AB108" s="158" t="str">
        <f>IF(GCP_2[[#This Row],[Column8]]="x","1",(IF(OR(GCP_2[[#This Row],[Column25]]=2,GCP_2[[#This Row],[Column26]]=2,GCP_2[[#This Row],[Column27]]=2),"1",(IF(GCP_2[[#This Row],[Column9]]="x","2",(IF(GCP_2[[#This Row],[Column10]]="x","3","")))))))</f>
        <v>2</v>
      </c>
      <c r="AC108" s="454" t="str">
        <f>IF(GCP_2[[#This Row],[Column14]] = "-", GCP_2[[#This Row],[Column14]], LEFT(GCP_2[[#This Row],[Column14]], SEARCH(" ", GCP_2[[#This Row],[Column14]] &amp; " ") - 1))</f>
        <v>-</v>
      </c>
    </row>
    <row r="109" spans="1:29" ht="30">
      <c r="A10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NOT(ISBLANK(K109)),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NOT(ISBLANK(L109)),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NOT(ISBLANK(M109)),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09" s="137" t="str">
        <f>GCP_2[[#This Row],[Column30]]</f>
        <v>-</v>
      </c>
      <c r="C109" s="137">
        <v>7.7</v>
      </c>
      <c r="D109" s="138" t="s">
        <v>371</v>
      </c>
      <c r="E109" s="162" t="s">
        <v>157</v>
      </c>
      <c r="F109" s="138" t="s">
        <v>537</v>
      </c>
      <c r="G109" s="138" t="s">
        <v>538</v>
      </c>
      <c r="H109" s="204"/>
      <c r="I109" s="164" t="s">
        <v>185</v>
      </c>
      <c r="J109" s="200" t="s">
        <v>185</v>
      </c>
      <c r="K109" s="176" t="s">
        <v>185</v>
      </c>
      <c r="L109" s="176" t="s">
        <v>185</v>
      </c>
      <c r="M109" s="176"/>
      <c r="N109" s="222" t="s">
        <v>162</v>
      </c>
      <c r="O109" s="222" t="s">
        <v>162</v>
      </c>
      <c r="P109" s="222" t="s">
        <v>162</v>
      </c>
      <c r="Q109" s="222" t="s">
        <v>162</v>
      </c>
      <c r="S109" s="222" t="s">
        <v>162</v>
      </c>
      <c r="T109" s="222" t="s">
        <v>162</v>
      </c>
      <c r="U109" s="258" t="s">
        <v>162</v>
      </c>
      <c r="V109" s="168"/>
      <c r="W109" s="158" t="s">
        <v>966</v>
      </c>
      <c r="X109" s="158" t="s">
        <v>185</v>
      </c>
      <c r="Y109" s="158" t="s">
        <v>185</v>
      </c>
      <c r="Z109" s="158" t="s">
        <v>185</v>
      </c>
      <c r="AA109" s="158" t="str">
        <f>IF(GCP_2[[#This Row],[Column14]]="-","", "v")</f>
        <v/>
      </c>
      <c r="AB109" s="158" t="str">
        <f>IF(GCP_2[[#This Row],[Column8]]="x","1",(IF(OR(GCP_2[[#This Row],[Column25]]=2,GCP_2[[#This Row],[Column26]]=2,GCP_2[[#This Row],[Column27]]=2),"1",(IF(GCP_2[[#This Row],[Column9]]="x","2",(IF(GCP_2[[#This Row],[Column10]]="x","3","")))))))</f>
        <v>2</v>
      </c>
      <c r="AC109" s="454" t="str">
        <f>IF(GCP_2[[#This Row],[Column14]] = "-", GCP_2[[#This Row],[Column14]], LEFT(GCP_2[[#This Row],[Column14]], SEARCH(" ", GCP_2[[#This Row],[Column14]] &amp; " ") - 1))</f>
        <v>-</v>
      </c>
    </row>
    <row r="110" spans="1:29" ht="30">
      <c r="A110" s="221" t="s">
        <v>942</v>
      </c>
      <c r="B110" s="217" t="s">
        <v>162</v>
      </c>
      <c r="C110" s="217" t="s">
        <v>162</v>
      </c>
      <c r="D110" s="218" t="s">
        <v>162</v>
      </c>
      <c r="E110" s="218" t="s">
        <v>162</v>
      </c>
      <c r="F110" s="488" t="s">
        <v>2144</v>
      </c>
      <c r="G110" s="220" t="s">
        <v>540</v>
      </c>
      <c r="H110" s="218" t="s">
        <v>162</v>
      </c>
      <c r="I110" s="218" t="s">
        <v>162</v>
      </c>
      <c r="J110" s="218" t="s">
        <v>162</v>
      </c>
      <c r="K110" s="218" t="s">
        <v>162</v>
      </c>
      <c r="L110" s="218" t="s">
        <v>162</v>
      </c>
      <c r="M110" s="218" t="s">
        <v>162</v>
      </c>
      <c r="N110" s="260" t="s">
        <v>162</v>
      </c>
      <c r="O110" s="218" t="s">
        <v>162</v>
      </c>
      <c r="P110" s="218" t="s">
        <v>162</v>
      </c>
      <c r="Q110" s="218" t="s">
        <v>162</v>
      </c>
      <c r="R110" s="167"/>
      <c r="S110" s="218" t="s">
        <v>162</v>
      </c>
      <c r="T110" s="218" t="s">
        <v>162</v>
      </c>
      <c r="U110" s="217" t="s">
        <v>162</v>
      </c>
      <c r="V110" s="217" t="s">
        <v>162</v>
      </c>
      <c r="W110" s="217" t="s">
        <v>162</v>
      </c>
      <c r="X110" s="217" t="s">
        <v>162</v>
      </c>
      <c r="Y110" s="217" t="s">
        <v>162</v>
      </c>
      <c r="Z110" s="217" t="s">
        <v>162</v>
      </c>
      <c r="AA110" s="218" t="s">
        <v>162</v>
      </c>
      <c r="AB110" s="218" t="s">
        <v>162</v>
      </c>
      <c r="AC110" s="454" t="str">
        <f>IF(GCP_2[[#This Row],[Column14]] = "-", GCP_2[[#This Row],[Column14]], LEFT(GCP_2[[#This Row],[Column14]], SEARCH(" ", GCP_2[[#This Row],[Column14]] &amp; " ") - 1))</f>
        <v>-</v>
      </c>
    </row>
    <row r="111" spans="1:29" ht="75.75">
      <c r="A11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1" s="137" t="str">
        <f>GCP_2[[#This Row],[Column30]]</f>
        <v>-</v>
      </c>
      <c r="C111" s="137">
        <v>8.1</v>
      </c>
      <c r="D111" s="138" t="s">
        <v>390</v>
      </c>
      <c r="E111" s="162" t="s">
        <v>156</v>
      </c>
      <c r="F111" s="489" t="s">
        <v>2145</v>
      </c>
      <c r="G111" s="138" t="s">
        <v>542</v>
      </c>
      <c r="H111" s="163" t="s">
        <v>185</v>
      </c>
      <c r="I111" s="164" t="s">
        <v>185</v>
      </c>
      <c r="J111" s="200" t="s">
        <v>185</v>
      </c>
      <c r="K111" s="176" t="s">
        <v>185</v>
      </c>
      <c r="L111" s="176" t="s">
        <v>185</v>
      </c>
      <c r="M111" s="176" t="s">
        <v>185</v>
      </c>
      <c r="N111" s="222" t="s">
        <v>162</v>
      </c>
      <c r="O111" s="222" t="s">
        <v>162</v>
      </c>
      <c r="P111" s="222" t="s">
        <v>162</v>
      </c>
      <c r="Q111" s="222" t="s">
        <v>162</v>
      </c>
      <c r="R111" s="451"/>
      <c r="S111" s="222" t="s">
        <v>162</v>
      </c>
      <c r="T111" s="222" t="s">
        <v>162</v>
      </c>
      <c r="U111" s="258" t="s">
        <v>162</v>
      </c>
      <c r="V111" s="168"/>
      <c r="W111" s="158" t="s">
        <v>966</v>
      </c>
      <c r="X111" s="158" t="s">
        <v>185</v>
      </c>
      <c r="Y111" s="158" t="s">
        <v>185</v>
      </c>
      <c r="Z111" s="158"/>
      <c r="AA111" s="158" t="str">
        <f>IF(GCP_2[[#This Row],[Column14]]="-","", "v")</f>
        <v/>
      </c>
      <c r="AB111" s="158" t="str">
        <f>IF(GCP_2[[#This Row],[Column8]]="x","1",(IF(OR(GCP_2[[#This Row],[Column25]]=2,GCP_2[[#This Row],[Column26]]=2,GCP_2[[#This Row],[Column27]]=2),"1",(IF(GCP_2[[#This Row],[Column9]]="x","2",(IF(GCP_2[[#This Row],[Column10]]="x","3","")))))))</f>
        <v>1</v>
      </c>
      <c r="AC111" s="454" t="str">
        <f>IF(GCP_2[[#This Row],[Column14]] = "-", GCP_2[[#This Row],[Column14]], LEFT(GCP_2[[#This Row],[Column14]], SEARCH(" ", GCP_2[[#This Row],[Column14]] &amp; " ") - 1))</f>
        <v>-</v>
      </c>
    </row>
    <row r="112" spans="1:29" ht="409.5">
      <c r="A11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2" s="137" t="str">
        <f>GCP_2[[#This Row],[Column30]]</f>
        <v>2.1</v>
      </c>
      <c r="C112" s="137">
        <v>8.1999999999999993</v>
      </c>
      <c r="D112" s="138" t="s">
        <v>390</v>
      </c>
      <c r="E112" s="162" t="s">
        <v>155</v>
      </c>
      <c r="F112" s="489" t="s">
        <v>2146</v>
      </c>
      <c r="G112" s="138" t="s">
        <v>544</v>
      </c>
      <c r="H112" s="163" t="s">
        <v>185</v>
      </c>
      <c r="I112" s="164" t="s">
        <v>185</v>
      </c>
      <c r="J112" s="200" t="s">
        <v>185</v>
      </c>
      <c r="K112" s="176" t="s">
        <v>185</v>
      </c>
      <c r="L112" s="176" t="s">
        <v>185</v>
      </c>
      <c r="M112" s="176" t="s">
        <v>185</v>
      </c>
      <c r="N112" s="222" t="s">
        <v>1311</v>
      </c>
      <c r="O112" s="212">
        <v>1</v>
      </c>
      <c r="P112" s="214" t="s">
        <v>1312</v>
      </c>
      <c r="Q112" s="214" t="s">
        <v>1313</v>
      </c>
      <c r="R112" s="451" t="s">
        <v>1314</v>
      </c>
      <c r="S112" s="214" t="s">
        <v>1315</v>
      </c>
      <c r="T112" s="214" t="s">
        <v>1316</v>
      </c>
      <c r="U112" s="158" t="s">
        <v>975</v>
      </c>
      <c r="V112" s="168" t="s">
        <v>1564</v>
      </c>
      <c r="W112" s="158" t="s">
        <v>966</v>
      </c>
      <c r="X112" s="158" t="s">
        <v>185</v>
      </c>
      <c r="Y112" s="158" t="s">
        <v>185</v>
      </c>
      <c r="Z112" s="158"/>
      <c r="AA112" s="158" t="str">
        <f>IF(GCP_2[[#This Row],[Column14]]="-","", "v")</f>
        <v>v</v>
      </c>
      <c r="AB112" s="158" t="str">
        <f>IF(GCP_2[[#This Row],[Column8]]="x","1",(IF(OR(GCP_2[[#This Row],[Column25]]=2,GCP_2[[#This Row],[Column26]]=2,GCP_2[[#This Row],[Column27]]=2),"1",(IF(GCP_2[[#This Row],[Column9]]="x","2",(IF(GCP_2[[#This Row],[Column10]]="x","3","")))))))</f>
        <v>1</v>
      </c>
      <c r="AC112" s="454" t="str">
        <f>IF(GCP_2[[#This Row],[Column14]] = "-", GCP_2[[#This Row],[Column14]], LEFT(GCP_2[[#This Row],[Column14]], SEARCH(" ", GCP_2[[#This Row],[Column14]] &amp; " ") - 1))</f>
        <v>2.1</v>
      </c>
    </row>
    <row r="113" spans="1:29" ht="409.5">
      <c r="A11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3" s="137" t="str">
        <f>GCP_2[[#This Row],[Column30]]</f>
        <v>2.2</v>
      </c>
      <c r="C113" s="137">
        <v>8.1999999999999993</v>
      </c>
      <c r="D113" s="138" t="s">
        <v>390</v>
      </c>
      <c r="E113" s="162" t="s">
        <v>155</v>
      </c>
      <c r="F113" s="489" t="s">
        <v>2146</v>
      </c>
      <c r="G113" s="138" t="s">
        <v>544</v>
      </c>
      <c r="H113" s="163" t="s">
        <v>185</v>
      </c>
      <c r="I113" s="164" t="s">
        <v>185</v>
      </c>
      <c r="J113" s="200" t="s">
        <v>185</v>
      </c>
      <c r="K113" s="176" t="s">
        <v>185</v>
      </c>
      <c r="L113" s="176" t="s">
        <v>185</v>
      </c>
      <c r="M113" s="176" t="s">
        <v>185</v>
      </c>
      <c r="N113" s="222" t="s">
        <v>1317</v>
      </c>
      <c r="O113" s="212">
        <v>1</v>
      </c>
      <c r="P113" s="214" t="s">
        <v>1318</v>
      </c>
      <c r="Q113" s="214" t="s">
        <v>1319</v>
      </c>
      <c r="R113" s="451" t="s">
        <v>1320</v>
      </c>
      <c r="S113" s="214" t="s">
        <v>1321</v>
      </c>
      <c r="T113" s="214" t="s">
        <v>1322</v>
      </c>
      <c r="U113" s="158" t="s">
        <v>975</v>
      </c>
      <c r="V113" s="168" t="s">
        <v>1564</v>
      </c>
      <c r="W113" s="158" t="s">
        <v>966</v>
      </c>
      <c r="X113" s="158" t="s">
        <v>185</v>
      </c>
      <c r="Y113" s="158" t="s">
        <v>185</v>
      </c>
      <c r="Z113" s="158"/>
      <c r="AA113" s="158" t="str">
        <f>IF(GCP_2[[#This Row],[Column14]]="-","", "v")</f>
        <v>v</v>
      </c>
      <c r="AB113" s="158" t="str">
        <f>IF(GCP_2[[#This Row],[Column8]]="x","1",(IF(OR(GCP_2[[#This Row],[Column25]]=2,GCP_2[[#This Row],[Column26]]=2,GCP_2[[#This Row],[Column27]]=2),"1",(IF(GCP_2[[#This Row],[Column9]]="x","2",(IF(GCP_2[[#This Row],[Column10]]="x","3","")))))))</f>
        <v>1</v>
      </c>
      <c r="AC113" s="454" t="str">
        <f>IF(GCP_2[[#This Row],[Column14]] = "-", GCP_2[[#This Row],[Column14]], LEFT(GCP_2[[#This Row],[Column14]], SEARCH(" ", GCP_2[[#This Row],[Column14]] &amp; " ") - 1))</f>
        <v>2.2</v>
      </c>
    </row>
    <row r="114" spans="1:29" ht="409.5">
      <c r="A11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4" s="137" t="str">
        <f>GCP_2[[#This Row],[Column30]]</f>
        <v>2.4</v>
      </c>
      <c r="C114" s="137">
        <v>8.1999999999999993</v>
      </c>
      <c r="D114" s="138" t="s">
        <v>390</v>
      </c>
      <c r="E114" s="162" t="s">
        <v>155</v>
      </c>
      <c r="F114" s="489" t="s">
        <v>2146</v>
      </c>
      <c r="G114" s="138" t="s">
        <v>544</v>
      </c>
      <c r="H114" s="163" t="s">
        <v>185</v>
      </c>
      <c r="I114" s="164" t="s">
        <v>185</v>
      </c>
      <c r="J114" s="200" t="s">
        <v>185</v>
      </c>
      <c r="K114" s="176" t="s">
        <v>185</v>
      </c>
      <c r="L114" s="176" t="s">
        <v>185</v>
      </c>
      <c r="M114" s="176" t="s">
        <v>185</v>
      </c>
      <c r="N114" s="222" t="s">
        <v>1323</v>
      </c>
      <c r="O114" s="212">
        <v>1</v>
      </c>
      <c r="P114" s="214" t="s">
        <v>1324</v>
      </c>
      <c r="Q114" s="214" t="s">
        <v>1325</v>
      </c>
      <c r="R114" s="451" t="s">
        <v>1326</v>
      </c>
      <c r="S114" s="214" t="s">
        <v>1327</v>
      </c>
      <c r="T114" s="214" t="s">
        <v>1328</v>
      </c>
      <c r="U114" s="158" t="s">
        <v>162</v>
      </c>
      <c r="V114" s="168" t="s">
        <v>1565</v>
      </c>
      <c r="W114" s="158" t="s">
        <v>967</v>
      </c>
      <c r="X114" s="158" t="s">
        <v>185</v>
      </c>
      <c r="Y114" s="158" t="s">
        <v>185</v>
      </c>
      <c r="Z114" s="158"/>
      <c r="AA114" s="158" t="str">
        <f>IF(GCP_2[[#This Row],[Column14]]="-","", "v")</f>
        <v>v</v>
      </c>
      <c r="AB114" s="158" t="str">
        <f>IF(GCP_2[[#This Row],[Column8]]="x","1",(IF(OR(GCP_2[[#This Row],[Column25]]=2,GCP_2[[#This Row],[Column26]]=2,GCP_2[[#This Row],[Column27]]=2),"1",(IF(GCP_2[[#This Row],[Column9]]="x","2",(IF(GCP_2[[#This Row],[Column10]]="x","3","")))))))</f>
        <v>1</v>
      </c>
      <c r="AC114" s="454" t="str">
        <f>IF(GCP_2[[#This Row],[Column14]] = "-", GCP_2[[#This Row],[Column14]], LEFT(GCP_2[[#This Row],[Column14]], SEARCH(" ", GCP_2[[#This Row],[Column14]] &amp; " ") - 1))</f>
        <v>2.4</v>
      </c>
    </row>
    <row r="115" spans="1:29" ht="409.5">
      <c r="A11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5" s="137" t="str">
        <f>GCP_2[[#This Row],[Column30]]</f>
        <v>2.5</v>
      </c>
      <c r="C115" s="137">
        <v>8.1999999999999993</v>
      </c>
      <c r="D115" s="138" t="s">
        <v>390</v>
      </c>
      <c r="E115" s="162" t="s">
        <v>155</v>
      </c>
      <c r="F115" s="489" t="s">
        <v>2146</v>
      </c>
      <c r="G115" s="138" t="s">
        <v>544</v>
      </c>
      <c r="H115" s="163" t="s">
        <v>185</v>
      </c>
      <c r="I115" s="164" t="s">
        <v>185</v>
      </c>
      <c r="J115" s="200" t="s">
        <v>185</v>
      </c>
      <c r="K115" s="176" t="s">
        <v>185</v>
      </c>
      <c r="L115" s="176" t="s">
        <v>185</v>
      </c>
      <c r="M115" s="176" t="s">
        <v>185</v>
      </c>
      <c r="N115" s="222" t="s">
        <v>1329</v>
      </c>
      <c r="O115" s="212">
        <v>1</v>
      </c>
      <c r="P115" s="214" t="s">
        <v>1330</v>
      </c>
      <c r="Q115" s="214" t="s">
        <v>1331</v>
      </c>
      <c r="R115" s="451" t="s">
        <v>1332</v>
      </c>
      <c r="S115" s="214" t="s">
        <v>1333</v>
      </c>
      <c r="T115" s="214" t="s">
        <v>1334</v>
      </c>
      <c r="U115" s="258" t="s">
        <v>162</v>
      </c>
      <c r="V115" s="168" t="s">
        <v>1565</v>
      </c>
      <c r="W115" s="158" t="s">
        <v>967</v>
      </c>
      <c r="X115" s="158" t="s">
        <v>185</v>
      </c>
      <c r="Y115" s="158" t="s">
        <v>185</v>
      </c>
      <c r="Z115" s="158" t="s">
        <v>185</v>
      </c>
      <c r="AA115" s="158" t="str">
        <f>IF(GCP_2[[#This Row],[Column14]]="-","", "v")</f>
        <v>v</v>
      </c>
      <c r="AB115" s="158" t="str">
        <f>IF(GCP_2[[#This Row],[Column8]]="x","1",(IF(OR(GCP_2[[#This Row],[Column25]]=2,GCP_2[[#This Row],[Column26]]=2,GCP_2[[#This Row],[Column27]]=2),"1",(IF(GCP_2[[#This Row],[Column9]]="x","2",(IF(GCP_2[[#This Row],[Column10]]="x","3","")))))))</f>
        <v>1</v>
      </c>
      <c r="AC115" s="454" t="str">
        <f>IF(GCP_2[[#This Row],[Column14]] = "-", GCP_2[[#This Row],[Column14]], LEFT(GCP_2[[#This Row],[Column14]], SEARCH(" ", GCP_2[[#This Row],[Column14]] &amp; " ") - 1))</f>
        <v>2.5</v>
      </c>
    </row>
    <row r="116" spans="1:29" ht="409.5">
      <c r="A11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6" s="137" t="str">
        <f>GCP_2[[#This Row],[Column30]]</f>
        <v>2.6</v>
      </c>
      <c r="C116" s="137">
        <v>8.1999999999999993</v>
      </c>
      <c r="D116" s="138" t="s">
        <v>390</v>
      </c>
      <c r="E116" s="162" t="s">
        <v>155</v>
      </c>
      <c r="F116" s="489" t="s">
        <v>2146</v>
      </c>
      <c r="G116" s="138" t="s">
        <v>544</v>
      </c>
      <c r="H116" s="163" t="s">
        <v>185</v>
      </c>
      <c r="I116" s="164" t="s">
        <v>185</v>
      </c>
      <c r="J116" s="200" t="s">
        <v>185</v>
      </c>
      <c r="K116" s="176" t="s">
        <v>185</v>
      </c>
      <c r="L116" s="176" t="s">
        <v>185</v>
      </c>
      <c r="M116" s="176" t="s">
        <v>185</v>
      </c>
      <c r="N116" s="222" t="s">
        <v>1335</v>
      </c>
      <c r="O116" s="212">
        <v>1</v>
      </c>
      <c r="P116" s="214" t="s">
        <v>1336</v>
      </c>
      <c r="Q116" s="214" t="s">
        <v>1337</v>
      </c>
      <c r="R116" s="451" t="s">
        <v>1338</v>
      </c>
      <c r="S116" s="214" t="s">
        <v>1339</v>
      </c>
      <c r="T116" s="214" t="s">
        <v>1340</v>
      </c>
      <c r="U116" s="258" t="s">
        <v>162</v>
      </c>
      <c r="V116" s="168" t="s">
        <v>1565</v>
      </c>
      <c r="W116" s="158" t="s">
        <v>967</v>
      </c>
      <c r="X116" s="158" t="s">
        <v>185</v>
      </c>
      <c r="Y116" s="158" t="s">
        <v>185</v>
      </c>
      <c r="Z116" s="158"/>
      <c r="AA116" s="158" t="str">
        <f>IF(GCP_2[[#This Row],[Column14]]="-","", "v")</f>
        <v>v</v>
      </c>
      <c r="AB116" s="158" t="str">
        <f>IF(GCP_2[[#This Row],[Column8]]="x","1",(IF(OR(GCP_2[[#This Row],[Column25]]=2,GCP_2[[#This Row],[Column26]]=2,GCP_2[[#This Row],[Column27]]=2),"1",(IF(GCP_2[[#This Row],[Column9]]="x","2",(IF(GCP_2[[#This Row],[Column10]]="x","3","")))))))</f>
        <v>1</v>
      </c>
      <c r="AC116" s="454" t="str">
        <f>IF(GCP_2[[#This Row],[Column14]] = "-", GCP_2[[#This Row],[Column14]], LEFT(GCP_2[[#This Row],[Column14]], SEARCH(" ", GCP_2[[#This Row],[Column14]] &amp; " ") - 1))</f>
        <v>2.6</v>
      </c>
    </row>
    <row r="117" spans="1:29" ht="409.5">
      <c r="A11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7" s="137" t="str">
        <f>GCP_2[[#This Row],[Column30]]</f>
        <v>2.7</v>
      </c>
      <c r="C117" s="137">
        <v>8.1999999999999993</v>
      </c>
      <c r="D117" s="138" t="s">
        <v>390</v>
      </c>
      <c r="E117" s="162" t="s">
        <v>155</v>
      </c>
      <c r="F117" s="489" t="s">
        <v>2146</v>
      </c>
      <c r="G117" s="138" t="s">
        <v>544</v>
      </c>
      <c r="H117" s="163" t="s">
        <v>185</v>
      </c>
      <c r="I117" s="164" t="s">
        <v>185</v>
      </c>
      <c r="J117" s="200" t="s">
        <v>185</v>
      </c>
      <c r="K117" s="176" t="s">
        <v>185</v>
      </c>
      <c r="L117" s="176" t="s">
        <v>185</v>
      </c>
      <c r="M117" s="176" t="s">
        <v>185</v>
      </c>
      <c r="N117" s="222" t="s">
        <v>1341</v>
      </c>
      <c r="O117" s="212">
        <v>2</v>
      </c>
      <c r="P117" s="214" t="s">
        <v>1342</v>
      </c>
      <c r="Q117" s="214" t="s">
        <v>1343</v>
      </c>
      <c r="R117" s="451" t="s">
        <v>1344</v>
      </c>
      <c r="S117" s="214" t="s">
        <v>1345</v>
      </c>
      <c r="T117" s="214" t="s">
        <v>1346</v>
      </c>
      <c r="U117" s="258" t="s">
        <v>162</v>
      </c>
      <c r="V117" s="168" t="s">
        <v>1565</v>
      </c>
      <c r="W117" s="158" t="s">
        <v>967</v>
      </c>
      <c r="X117" s="158" t="s">
        <v>185</v>
      </c>
      <c r="Y117" s="158" t="s">
        <v>185</v>
      </c>
      <c r="Z117" s="158"/>
      <c r="AA117" s="158" t="str">
        <f>IF(GCP_2[[#This Row],[Column14]]="-","", "v")</f>
        <v>v</v>
      </c>
      <c r="AB117" s="158" t="str">
        <f>IF(GCP_2[[#This Row],[Column8]]="x","1",(IF(OR(GCP_2[[#This Row],[Column25]]=2,GCP_2[[#This Row],[Column26]]=2,GCP_2[[#This Row],[Column27]]=2),"1",(IF(GCP_2[[#This Row],[Column9]]="x","2",(IF(GCP_2[[#This Row],[Column10]]="x","3","")))))))</f>
        <v>1</v>
      </c>
      <c r="AC117" s="454" t="str">
        <f>IF(GCP_2[[#This Row],[Column14]] = "-", GCP_2[[#This Row],[Column14]], LEFT(GCP_2[[#This Row],[Column14]], SEARCH(" ", GCP_2[[#This Row],[Column14]] &amp; " ") - 1))</f>
        <v>2.7</v>
      </c>
    </row>
    <row r="118" spans="1:29" ht="409.5">
      <c r="A11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8" s="137" t="str">
        <f>GCP_2[[#This Row],[Column30]]</f>
        <v>2.8</v>
      </c>
      <c r="C118" s="137">
        <v>8.1999999999999993</v>
      </c>
      <c r="D118" s="138" t="s">
        <v>390</v>
      </c>
      <c r="E118" s="162" t="s">
        <v>155</v>
      </c>
      <c r="F118" s="489" t="s">
        <v>2146</v>
      </c>
      <c r="G118" s="138" t="s">
        <v>544</v>
      </c>
      <c r="H118" s="163" t="s">
        <v>185</v>
      </c>
      <c r="I118" s="164" t="s">
        <v>185</v>
      </c>
      <c r="J118" s="200" t="s">
        <v>185</v>
      </c>
      <c r="K118" s="176" t="s">
        <v>185</v>
      </c>
      <c r="L118" s="176" t="s">
        <v>185</v>
      </c>
      <c r="M118" s="176" t="s">
        <v>185</v>
      </c>
      <c r="N118" s="222" t="s">
        <v>1347</v>
      </c>
      <c r="O118" s="212">
        <v>2</v>
      </c>
      <c r="P118" s="214" t="s">
        <v>1348</v>
      </c>
      <c r="Q118" s="214" t="s">
        <v>1349</v>
      </c>
      <c r="R118" s="451" t="s">
        <v>1350</v>
      </c>
      <c r="S118" s="214" t="s">
        <v>1351</v>
      </c>
      <c r="T118" s="214" t="s">
        <v>1352</v>
      </c>
      <c r="U118" s="258" t="s">
        <v>162</v>
      </c>
      <c r="V118" s="168" t="s">
        <v>1565</v>
      </c>
      <c r="W118" s="158" t="s">
        <v>967</v>
      </c>
      <c r="X118" s="158" t="s">
        <v>185</v>
      </c>
      <c r="Y118" s="158" t="s">
        <v>185</v>
      </c>
      <c r="Z118" s="158"/>
      <c r="AA118" s="158" t="str">
        <f>IF(GCP_2[[#This Row],[Column14]]="-","", "v")</f>
        <v>v</v>
      </c>
      <c r="AB118" s="158" t="str">
        <f>IF(GCP_2[[#This Row],[Column8]]="x","1",(IF(OR(GCP_2[[#This Row],[Column25]]=2,GCP_2[[#This Row],[Column26]]=2,GCP_2[[#This Row],[Column27]]=2),"1",(IF(GCP_2[[#This Row],[Column9]]="x","2",(IF(GCP_2[[#This Row],[Column10]]="x","3","")))))))</f>
        <v>1</v>
      </c>
      <c r="AC118" s="454" t="str">
        <f>IF(GCP_2[[#This Row],[Column14]] = "-", GCP_2[[#This Row],[Column14]], LEFT(GCP_2[[#This Row],[Column14]], SEARCH(" ", GCP_2[[#This Row],[Column14]] &amp; " ") - 1))</f>
        <v>2.8</v>
      </c>
    </row>
    <row r="119" spans="1:29" ht="409.5">
      <c r="A11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19" s="137" t="str">
        <f>GCP_2[[#This Row],[Column30]]</f>
        <v>2.9</v>
      </c>
      <c r="C119" s="137">
        <v>8.1999999999999993</v>
      </c>
      <c r="D119" s="138" t="s">
        <v>390</v>
      </c>
      <c r="E119" s="162" t="s">
        <v>155</v>
      </c>
      <c r="F119" s="489" t="s">
        <v>2146</v>
      </c>
      <c r="G119" s="138" t="s">
        <v>544</v>
      </c>
      <c r="H119" s="163" t="s">
        <v>185</v>
      </c>
      <c r="I119" s="164" t="s">
        <v>185</v>
      </c>
      <c r="J119" s="200" t="s">
        <v>185</v>
      </c>
      <c r="K119" s="176" t="s">
        <v>185</v>
      </c>
      <c r="L119" s="176" t="s">
        <v>185</v>
      </c>
      <c r="M119" s="176" t="s">
        <v>185</v>
      </c>
      <c r="N119" s="222" t="s">
        <v>1353</v>
      </c>
      <c r="O119" s="212">
        <v>2</v>
      </c>
      <c r="P119" s="214" t="s">
        <v>1354</v>
      </c>
      <c r="Q119" s="214" t="s">
        <v>1355</v>
      </c>
      <c r="R119" s="451" t="s">
        <v>1356</v>
      </c>
      <c r="S119" s="214" t="s">
        <v>1357</v>
      </c>
      <c r="T119" s="214" t="s">
        <v>1358</v>
      </c>
      <c r="U119" s="258" t="s">
        <v>162</v>
      </c>
      <c r="V119" s="168" t="s">
        <v>1565</v>
      </c>
      <c r="W119" s="158" t="s">
        <v>967</v>
      </c>
      <c r="X119" s="158" t="s">
        <v>185</v>
      </c>
      <c r="Y119" s="158" t="s">
        <v>185</v>
      </c>
      <c r="Z119" s="158"/>
      <c r="AA119" s="158" t="str">
        <f>IF(GCP_2[[#This Row],[Column14]]="-","", "v")</f>
        <v>v</v>
      </c>
      <c r="AB119" s="158" t="str">
        <f>IF(GCP_2[[#This Row],[Column8]]="x","1",(IF(OR(GCP_2[[#This Row],[Column25]]=2,GCP_2[[#This Row],[Column26]]=2,GCP_2[[#This Row],[Column27]]=2),"1",(IF(GCP_2[[#This Row],[Column9]]="x","2",(IF(GCP_2[[#This Row],[Column10]]="x","3","")))))))</f>
        <v>1</v>
      </c>
      <c r="AC119" s="454" t="str">
        <f>IF(GCP_2[[#This Row],[Column14]] = "-", GCP_2[[#This Row],[Column14]], LEFT(GCP_2[[#This Row],[Column14]], SEARCH(" ", GCP_2[[#This Row],[Column14]] &amp; " ") - 1))</f>
        <v>2.9</v>
      </c>
    </row>
    <row r="120" spans="1:29" ht="409.5">
      <c r="A12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0" s="137" t="str">
        <f>GCP_2[[#This Row],[Column30]]</f>
        <v>2.10</v>
      </c>
      <c r="C120" s="137">
        <v>8.1999999999999993</v>
      </c>
      <c r="D120" s="138" t="s">
        <v>390</v>
      </c>
      <c r="E120" s="162" t="s">
        <v>155</v>
      </c>
      <c r="F120" s="489" t="s">
        <v>2146</v>
      </c>
      <c r="G120" s="138" t="s">
        <v>544</v>
      </c>
      <c r="H120" s="163" t="s">
        <v>185</v>
      </c>
      <c r="I120" s="164" t="s">
        <v>185</v>
      </c>
      <c r="J120" s="200" t="s">
        <v>185</v>
      </c>
      <c r="K120" s="176" t="s">
        <v>185</v>
      </c>
      <c r="L120" s="176" t="s">
        <v>185</v>
      </c>
      <c r="M120" s="176" t="s">
        <v>185</v>
      </c>
      <c r="N120" s="222" t="s">
        <v>1359</v>
      </c>
      <c r="O120" s="212">
        <v>2</v>
      </c>
      <c r="P120" s="214" t="s">
        <v>1360</v>
      </c>
      <c r="Q120" s="214" t="s">
        <v>1361</v>
      </c>
      <c r="R120" s="451" t="s">
        <v>1362</v>
      </c>
      <c r="S120" s="214" t="s">
        <v>1363</v>
      </c>
      <c r="T120" s="214" t="s">
        <v>1364</v>
      </c>
      <c r="U120" s="258" t="s">
        <v>162</v>
      </c>
      <c r="V120" s="168" t="s">
        <v>1565</v>
      </c>
      <c r="W120" s="158" t="s">
        <v>967</v>
      </c>
      <c r="X120" s="158" t="s">
        <v>185</v>
      </c>
      <c r="Y120" s="158" t="s">
        <v>185</v>
      </c>
      <c r="Z120" s="158"/>
      <c r="AA120" s="158" t="str">
        <f>IF(GCP_2[[#This Row],[Column14]]="-","", "v")</f>
        <v>v</v>
      </c>
      <c r="AB120" s="158" t="str">
        <f>IF(GCP_2[[#This Row],[Column8]]="x","1",(IF(OR(GCP_2[[#This Row],[Column25]]=2,GCP_2[[#This Row],[Column26]]=2,GCP_2[[#This Row],[Column27]]=2),"1",(IF(GCP_2[[#This Row],[Column9]]="x","2",(IF(GCP_2[[#This Row],[Column10]]="x","3","")))))))</f>
        <v>1</v>
      </c>
      <c r="AC120" s="454" t="str">
        <f>IF(GCP_2[[#This Row],[Column14]] = "-", GCP_2[[#This Row],[Column14]], LEFT(GCP_2[[#This Row],[Column14]], SEARCH(" ", GCP_2[[#This Row],[Column14]] &amp; " ") - 1))</f>
        <v>2.10</v>
      </c>
    </row>
    <row r="121" spans="1:29" ht="409.5">
      <c r="A12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1" s="137" t="str">
        <f>GCP_2[[#This Row],[Column30]]</f>
        <v>2.11</v>
      </c>
      <c r="C121" s="137">
        <v>8.1999999999999993</v>
      </c>
      <c r="D121" s="138" t="s">
        <v>390</v>
      </c>
      <c r="E121" s="162" t="s">
        <v>155</v>
      </c>
      <c r="F121" s="489" t="s">
        <v>2146</v>
      </c>
      <c r="G121" s="138" t="s">
        <v>544</v>
      </c>
      <c r="H121" s="163" t="s">
        <v>185</v>
      </c>
      <c r="I121" s="164" t="s">
        <v>185</v>
      </c>
      <c r="J121" s="200" t="s">
        <v>185</v>
      </c>
      <c r="K121" s="176" t="s">
        <v>185</v>
      </c>
      <c r="L121" s="176" t="s">
        <v>185</v>
      </c>
      <c r="M121" s="176" t="s">
        <v>185</v>
      </c>
      <c r="N121" s="222" t="s">
        <v>1365</v>
      </c>
      <c r="O121" s="212">
        <v>2</v>
      </c>
      <c r="P121" s="214" t="s">
        <v>1366</v>
      </c>
      <c r="Q121" s="214" t="s">
        <v>1367</v>
      </c>
      <c r="R121" s="451" t="s">
        <v>1368</v>
      </c>
      <c r="S121" s="214" t="s">
        <v>1369</v>
      </c>
      <c r="T121" s="214" t="s">
        <v>1370</v>
      </c>
      <c r="U121" s="258" t="s">
        <v>162</v>
      </c>
      <c r="V121" s="168" t="s">
        <v>1565</v>
      </c>
      <c r="W121" s="158" t="s">
        <v>967</v>
      </c>
      <c r="X121" s="158" t="s">
        <v>185</v>
      </c>
      <c r="Y121" s="158" t="s">
        <v>185</v>
      </c>
      <c r="Z121" s="158"/>
      <c r="AA121" s="158" t="str">
        <f>IF(GCP_2[[#This Row],[Column14]]="-","", "v")</f>
        <v>v</v>
      </c>
      <c r="AB121" s="158" t="str">
        <f>IF(GCP_2[[#This Row],[Column8]]="x","1",(IF(OR(GCP_2[[#This Row],[Column25]]=2,GCP_2[[#This Row],[Column26]]=2,GCP_2[[#This Row],[Column27]]=2),"1",(IF(GCP_2[[#This Row],[Column9]]="x","2",(IF(GCP_2[[#This Row],[Column10]]="x","3","")))))))</f>
        <v>1</v>
      </c>
      <c r="AC121" s="454" t="str">
        <f>IF(GCP_2[[#This Row],[Column14]] = "-", GCP_2[[#This Row],[Column14]], LEFT(GCP_2[[#This Row],[Column14]], SEARCH(" ", GCP_2[[#This Row],[Column14]] &amp; " ") - 1))</f>
        <v>2.11</v>
      </c>
    </row>
    <row r="122" spans="1:29" ht="409.5">
      <c r="A12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2" s="137" t="str">
        <f>GCP_2[[#This Row],[Column30]]</f>
        <v>2.12</v>
      </c>
      <c r="C122" s="137">
        <v>8.1999999999999993</v>
      </c>
      <c r="D122" s="138" t="s">
        <v>390</v>
      </c>
      <c r="E122" s="162" t="s">
        <v>155</v>
      </c>
      <c r="F122" s="489" t="s">
        <v>2146</v>
      </c>
      <c r="G122" s="138" t="s">
        <v>544</v>
      </c>
      <c r="H122" s="163" t="s">
        <v>185</v>
      </c>
      <c r="I122" s="164" t="s">
        <v>185</v>
      </c>
      <c r="J122" s="200" t="s">
        <v>185</v>
      </c>
      <c r="K122" s="176" t="s">
        <v>185</v>
      </c>
      <c r="L122" s="176" t="s">
        <v>185</v>
      </c>
      <c r="M122" s="176" t="s">
        <v>185</v>
      </c>
      <c r="N122" s="222" t="s">
        <v>1371</v>
      </c>
      <c r="O122" s="212">
        <v>1</v>
      </c>
      <c r="P122" s="214" t="s">
        <v>1372</v>
      </c>
      <c r="Q122" s="214" t="s">
        <v>1373</v>
      </c>
      <c r="R122" s="451" t="s">
        <v>1374</v>
      </c>
      <c r="S122" s="214" t="s">
        <v>1375</v>
      </c>
      <c r="T122" s="214" t="s">
        <v>1376</v>
      </c>
      <c r="U122" s="158" t="s">
        <v>162</v>
      </c>
      <c r="V122" s="168" t="s">
        <v>1530</v>
      </c>
      <c r="W122" s="158" t="s">
        <v>967</v>
      </c>
      <c r="X122" s="158" t="s">
        <v>185</v>
      </c>
      <c r="Y122" s="158" t="s">
        <v>185</v>
      </c>
      <c r="Z122" s="158"/>
      <c r="AA122" s="158" t="str">
        <f>IF(GCP_2[[#This Row],[Column14]]="-","", "v")</f>
        <v>v</v>
      </c>
      <c r="AB122" s="158" t="str">
        <f>IF(GCP_2[[#This Row],[Column8]]="x","1",(IF(OR(GCP_2[[#This Row],[Column25]]=2,GCP_2[[#This Row],[Column26]]=2,GCP_2[[#This Row],[Column27]]=2),"1",(IF(GCP_2[[#This Row],[Column9]]="x","2",(IF(GCP_2[[#This Row],[Column10]]="x","3","")))))))</f>
        <v>1</v>
      </c>
      <c r="AC122" s="454" t="str">
        <f>IF(GCP_2[[#This Row],[Column14]] = "-", GCP_2[[#This Row],[Column14]], LEFT(GCP_2[[#This Row],[Column14]], SEARCH(" ", GCP_2[[#This Row],[Column14]] &amp; " ") - 1))</f>
        <v>2.12</v>
      </c>
    </row>
    <row r="123" spans="1:29" ht="409.5">
      <c r="A12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3" s="137" t="str">
        <f>GCP_2[[#This Row],[Column30]]</f>
        <v>2.14</v>
      </c>
      <c r="C123" s="137">
        <v>8.1999999999999993</v>
      </c>
      <c r="D123" s="138" t="s">
        <v>390</v>
      </c>
      <c r="E123" s="162" t="s">
        <v>155</v>
      </c>
      <c r="F123" s="489" t="s">
        <v>2146</v>
      </c>
      <c r="G123" s="138" t="s">
        <v>544</v>
      </c>
      <c r="H123" s="163" t="s">
        <v>185</v>
      </c>
      <c r="I123" s="164" t="s">
        <v>185</v>
      </c>
      <c r="J123" s="200" t="s">
        <v>185</v>
      </c>
      <c r="K123" s="176" t="s">
        <v>185</v>
      </c>
      <c r="L123" s="176" t="s">
        <v>185</v>
      </c>
      <c r="M123" s="176" t="s">
        <v>185</v>
      </c>
      <c r="N123" s="222" t="s">
        <v>1377</v>
      </c>
      <c r="O123" s="212">
        <v>2</v>
      </c>
      <c r="P123" s="214" t="s">
        <v>1378</v>
      </c>
      <c r="Q123" s="214" t="s">
        <v>1379</v>
      </c>
      <c r="R123" s="451" t="s">
        <v>1380</v>
      </c>
      <c r="S123" s="214" t="s">
        <v>1381</v>
      </c>
      <c r="T123" s="214" t="s">
        <v>1382</v>
      </c>
      <c r="U123" s="158" t="s">
        <v>162</v>
      </c>
      <c r="V123" s="168" t="s">
        <v>1566</v>
      </c>
      <c r="W123" s="158" t="s">
        <v>967</v>
      </c>
      <c r="X123" s="158" t="s">
        <v>185</v>
      </c>
      <c r="Y123" s="158" t="s">
        <v>185</v>
      </c>
      <c r="Z123" s="158"/>
      <c r="AA123" s="158" t="str">
        <f>IF(GCP_2[[#This Row],[Column14]]="-","", "v")</f>
        <v>v</v>
      </c>
      <c r="AB123" s="158" t="str">
        <f>IF(GCP_2[[#This Row],[Column8]]="x","1",(IF(OR(GCP_2[[#This Row],[Column25]]=2,GCP_2[[#This Row],[Column26]]=2,GCP_2[[#This Row],[Column27]]=2),"1",(IF(GCP_2[[#This Row],[Column9]]="x","2",(IF(GCP_2[[#This Row],[Column10]]="x","3","")))))))</f>
        <v>1</v>
      </c>
      <c r="AC123" s="454" t="str">
        <f>IF(GCP_2[[#This Row],[Column14]] = "-", GCP_2[[#This Row],[Column14]], LEFT(GCP_2[[#This Row],[Column14]], SEARCH(" ", GCP_2[[#This Row],[Column14]] &amp; " ") - 1))</f>
        <v>2.14</v>
      </c>
    </row>
    <row r="124" spans="1:29" ht="370.5">
      <c r="A12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4" s="137" t="str">
        <f>GCP_2[[#This Row],[Column30]]</f>
        <v>1</v>
      </c>
      <c r="C124" s="137">
        <v>8.1999999999999993</v>
      </c>
      <c r="D124" s="138" t="s">
        <v>390</v>
      </c>
      <c r="E124" s="162" t="s">
        <v>155</v>
      </c>
      <c r="F124" s="489" t="s">
        <v>2146</v>
      </c>
      <c r="G124" s="138" t="s">
        <v>544</v>
      </c>
      <c r="H124" s="163" t="s">
        <v>185</v>
      </c>
      <c r="I124" s="164" t="s">
        <v>185</v>
      </c>
      <c r="J124" s="200" t="s">
        <v>185</v>
      </c>
      <c r="K124" s="176" t="s">
        <v>185</v>
      </c>
      <c r="L124" s="176" t="s">
        <v>185</v>
      </c>
      <c r="M124" s="176" t="s">
        <v>185</v>
      </c>
      <c r="N124" s="222">
        <v>1</v>
      </c>
      <c r="O124" s="212">
        <v>1</v>
      </c>
      <c r="P124" s="214" t="s">
        <v>1383</v>
      </c>
      <c r="Q124" s="214" t="s">
        <v>1384</v>
      </c>
      <c r="R124" s="451" t="s">
        <v>1385</v>
      </c>
      <c r="S124" s="214" t="s">
        <v>1386</v>
      </c>
      <c r="T124" s="214" t="s">
        <v>1387</v>
      </c>
      <c r="U124" s="158" t="s">
        <v>975</v>
      </c>
      <c r="V124" s="168" t="s">
        <v>1567</v>
      </c>
      <c r="W124" s="158" t="s">
        <v>966</v>
      </c>
      <c r="X124" s="158" t="s">
        <v>185</v>
      </c>
      <c r="Y124" s="158" t="s">
        <v>185</v>
      </c>
      <c r="Z124" s="158"/>
      <c r="AA124" s="158" t="str">
        <f>IF(GCP_2[[#This Row],[Column14]]="-","", "v")</f>
        <v>v</v>
      </c>
      <c r="AB124" s="158" t="str">
        <f>IF(GCP_2[[#This Row],[Column8]]="x","1",(IF(OR(GCP_2[[#This Row],[Column25]]=2,GCP_2[[#This Row],[Column26]]=2,GCP_2[[#This Row],[Column27]]=2),"1",(IF(GCP_2[[#This Row],[Column9]]="x","2",(IF(GCP_2[[#This Row],[Column10]]="x","3","")))))))</f>
        <v>1</v>
      </c>
      <c r="AC124" s="454" t="str">
        <f>IF(GCP_2[[#This Row],[Column14]] = "-", GCP_2[[#This Row],[Column14]], LEFT(GCP_2[[#This Row],[Column14]], SEARCH(" ", GCP_2[[#This Row],[Column14]] &amp; " ") - 1))</f>
        <v>1</v>
      </c>
    </row>
    <row r="125" spans="1:29" ht="409.5">
      <c r="A12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5" s="137" t="str">
        <f>GCP_2[[#This Row],[Column30]]</f>
        <v>3.8</v>
      </c>
      <c r="C125" s="137">
        <v>8.1999999999999993</v>
      </c>
      <c r="D125" s="138" t="s">
        <v>390</v>
      </c>
      <c r="E125" s="162" t="s">
        <v>155</v>
      </c>
      <c r="F125" s="489" t="s">
        <v>2146</v>
      </c>
      <c r="G125" s="138" t="s">
        <v>544</v>
      </c>
      <c r="H125" s="163" t="s">
        <v>185</v>
      </c>
      <c r="I125" s="164" t="s">
        <v>185</v>
      </c>
      <c r="J125" s="200" t="s">
        <v>185</v>
      </c>
      <c r="K125" s="176" t="s">
        <v>185</v>
      </c>
      <c r="L125" s="176" t="s">
        <v>185</v>
      </c>
      <c r="M125" s="176" t="s">
        <v>185</v>
      </c>
      <c r="N125" s="222" t="s">
        <v>1388</v>
      </c>
      <c r="O125" s="212">
        <v>2</v>
      </c>
      <c r="P125" s="214" t="s">
        <v>1389</v>
      </c>
      <c r="Q125" s="214" t="s">
        <v>1390</v>
      </c>
      <c r="R125" s="451" t="s">
        <v>1391</v>
      </c>
      <c r="S125" s="214" t="s">
        <v>1392</v>
      </c>
      <c r="T125" s="214" t="s">
        <v>1393</v>
      </c>
      <c r="U125" s="158" t="s">
        <v>162</v>
      </c>
      <c r="V125" s="168" t="s">
        <v>1568</v>
      </c>
      <c r="W125" s="158" t="s">
        <v>967</v>
      </c>
      <c r="X125" s="158" t="s">
        <v>185</v>
      </c>
      <c r="Y125" s="158" t="s">
        <v>185</v>
      </c>
      <c r="Z125" s="158"/>
      <c r="AA125" s="158" t="str">
        <f>IF(GCP_2[[#This Row],[Column14]]="-","", "v")</f>
        <v>v</v>
      </c>
      <c r="AB125" s="158" t="str">
        <f>IF(GCP_2[[#This Row],[Column8]]="x","1",(IF(OR(GCP_2[[#This Row],[Column25]]=2,GCP_2[[#This Row],[Column26]]=2,GCP_2[[#This Row],[Column27]]=2),"1",(IF(GCP_2[[#This Row],[Column9]]="x","2",(IF(GCP_2[[#This Row],[Column10]]="x","3","")))))))</f>
        <v>1</v>
      </c>
      <c r="AC125" s="454" t="str">
        <f>IF(GCP_2[[#This Row],[Column14]] = "-", GCP_2[[#This Row],[Column14]], LEFT(GCP_2[[#This Row],[Column14]], SEARCH(" ", GCP_2[[#This Row],[Column14]] &amp; " ") - 1))</f>
        <v>3.8</v>
      </c>
    </row>
    <row r="126" spans="1:29" ht="409.5">
      <c r="A12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6" s="137" t="str">
        <f>GCP_2[[#This Row],[Column30]]</f>
        <v>2.2</v>
      </c>
      <c r="C126" s="137">
        <v>8.3000000000000007</v>
      </c>
      <c r="D126" s="138" t="s">
        <v>390</v>
      </c>
      <c r="E126" s="162" t="s">
        <v>156</v>
      </c>
      <c r="F126" s="489" t="s">
        <v>2147</v>
      </c>
      <c r="G126" s="138" t="s">
        <v>553</v>
      </c>
      <c r="H126" s="163" t="s">
        <v>185</v>
      </c>
      <c r="I126" s="164" t="s">
        <v>185</v>
      </c>
      <c r="J126" s="200" t="s">
        <v>185</v>
      </c>
      <c r="K126" s="176" t="s">
        <v>185</v>
      </c>
      <c r="L126" s="176" t="s">
        <v>185</v>
      </c>
      <c r="M126" s="176" t="s">
        <v>185</v>
      </c>
      <c r="N126" s="222" t="s">
        <v>1317</v>
      </c>
      <c r="O126" s="212">
        <v>1</v>
      </c>
      <c r="P126" s="214" t="s">
        <v>1318</v>
      </c>
      <c r="Q126" s="214" t="s">
        <v>1319</v>
      </c>
      <c r="R126" s="451" t="s">
        <v>1320</v>
      </c>
      <c r="S126" s="214" t="s">
        <v>1321</v>
      </c>
      <c r="T126" s="214" t="s">
        <v>1322</v>
      </c>
      <c r="U126" s="158" t="s">
        <v>975</v>
      </c>
      <c r="V126" s="168" t="s">
        <v>1564</v>
      </c>
      <c r="W126" s="158" t="s">
        <v>966</v>
      </c>
      <c r="X126" s="158" t="s">
        <v>185</v>
      </c>
      <c r="Y126" s="158" t="s">
        <v>185</v>
      </c>
      <c r="Z126" s="158"/>
      <c r="AA126" s="158" t="str">
        <f>IF(GCP_2[[#This Row],[Column14]]="-","", "v")</f>
        <v>v</v>
      </c>
      <c r="AB126" s="158" t="str">
        <f>IF(GCP_2[[#This Row],[Column8]]="x","1",(IF(OR(GCP_2[[#This Row],[Column25]]=2,GCP_2[[#This Row],[Column26]]=2,GCP_2[[#This Row],[Column27]]=2),"1",(IF(GCP_2[[#This Row],[Column9]]="x","2",(IF(GCP_2[[#This Row],[Column10]]="x","3","")))))))</f>
        <v>1</v>
      </c>
      <c r="AC126" s="454" t="str">
        <f>IF(GCP_2[[#This Row],[Column14]] = "-", GCP_2[[#This Row],[Column14]], LEFT(GCP_2[[#This Row],[Column14]], SEARCH(" ", GCP_2[[#This Row],[Column14]] &amp; " ") - 1))</f>
        <v>2.2</v>
      </c>
    </row>
    <row r="127" spans="1:29" ht="30">
      <c r="A12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7" s="137" t="str">
        <f>GCP_2[[#This Row],[Column30]]</f>
        <v>-</v>
      </c>
      <c r="C127" s="137">
        <v>8.4</v>
      </c>
      <c r="D127" s="138" t="s">
        <v>390</v>
      </c>
      <c r="E127" s="162" t="s">
        <v>156</v>
      </c>
      <c r="F127" s="489" t="s">
        <v>2148</v>
      </c>
      <c r="G127" s="138" t="s">
        <v>555</v>
      </c>
      <c r="H127" s="137"/>
      <c r="I127" s="164" t="s">
        <v>185</v>
      </c>
      <c r="J127" s="200" t="s">
        <v>185</v>
      </c>
      <c r="K127" s="176" t="s">
        <v>185</v>
      </c>
      <c r="L127" s="158"/>
      <c r="M127" s="158"/>
      <c r="N127" s="222" t="s">
        <v>162</v>
      </c>
      <c r="O127" s="222" t="s">
        <v>162</v>
      </c>
      <c r="P127" s="222" t="s">
        <v>162</v>
      </c>
      <c r="Q127" s="222" t="s">
        <v>162</v>
      </c>
      <c r="R127" s="451"/>
      <c r="S127" s="222" t="s">
        <v>162</v>
      </c>
      <c r="T127" s="222" t="s">
        <v>162</v>
      </c>
      <c r="U127" s="258" t="s">
        <v>162</v>
      </c>
      <c r="V127" s="168"/>
      <c r="W127" s="158" t="s">
        <v>966</v>
      </c>
      <c r="X127" s="158" t="s">
        <v>185</v>
      </c>
      <c r="Y127" s="158" t="s">
        <v>185</v>
      </c>
      <c r="Z127" s="158"/>
      <c r="AA127" s="158" t="str">
        <f>IF(GCP_2[[#This Row],[Column14]]="-","", "v")</f>
        <v/>
      </c>
      <c r="AB127" s="158" t="str">
        <f>IF(GCP_2[[#This Row],[Column8]]="x","1",(IF(OR(GCP_2[[#This Row],[Column25]]=2,GCP_2[[#This Row],[Column26]]=2,GCP_2[[#This Row],[Column27]]=2),"1",(IF(GCP_2[[#This Row],[Column9]]="x","2",(IF(GCP_2[[#This Row],[Column10]]="x","3","")))))))</f>
        <v>2</v>
      </c>
      <c r="AC127" s="454" t="str">
        <f>IF(GCP_2[[#This Row],[Column14]] = "-", GCP_2[[#This Row],[Column14]], LEFT(GCP_2[[#This Row],[Column14]], SEARCH(" ", GCP_2[[#This Row],[Column14]] &amp; " ") - 1))</f>
        <v>-</v>
      </c>
    </row>
    <row r="128" spans="1:29" ht="409.5">
      <c r="A12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8" s="137" t="str">
        <f>GCP_2[[#This Row],[Column30]]</f>
        <v>2.5</v>
      </c>
      <c r="C128" s="137">
        <v>8.5</v>
      </c>
      <c r="D128" s="138" t="s">
        <v>390</v>
      </c>
      <c r="E128" s="162" t="s">
        <v>155</v>
      </c>
      <c r="F128" s="489" t="s">
        <v>2149</v>
      </c>
      <c r="G128" s="138" t="s">
        <v>557</v>
      </c>
      <c r="H128" s="204"/>
      <c r="I128" s="164" t="s">
        <v>185</v>
      </c>
      <c r="J128" s="200" t="s">
        <v>185</v>
      </c>
      <c r="K128" s="176" t="s">
        <v>185</v>
      </c>
      <c r="L128" s="176" t="s">
        <v>185</v>
      </c>
      <c r="M128" s="176" t="s">
        <v>185</v>
      </c>
      <c r="N128" s="222" t="s">
        <v>1329</v>
      </c>
      <c r="O128" s="212">
        <v>1</v>
      </c>
      <c r="P128" s="214" t="s">
        <v>1330</v>
      </c>
      <c r="Q128" s="214" t="s">
        <v>1331</v>
      </c>
      <c r="R128" s="451" t="s">
        <v>1332</v>
      </c>
      <c r="S128" s="214" t="s">
        <v>1333</v>
      </c>
      <c r="T128" s="214" t="s">
        <v>1334</v>
      </c>
      <c r="U128" s="258" t="s">
        <v>162</v>
      </c>
      <c r="V128" s="168" t="s">
        <v>1565</v>
      </c>
      <c r="W128" s="158" t="s">
        <v>967</v>
      </c>
      <c r="X128" s="158" t="s">
        <v>185</v>
      </c>
      <c r="Y128" s="158" t="s">
        <v>185</v>
      </c>
      <c r="Z128" s="158"/>
      <c r="AA128" s="158" t="str">
        <f>IF(GCP_2[[#This Row],[Column14]]="-","", "v")</f>
        <v>v</v>
      </c>
      <c r="AB128" s="158" t="str">
        <f>IF(GCP_2[[#This Row],[Column8]]="x","1",(IF(OR(GCP_2[[#This Row],[Column25]]=2,GCP_2[[#This Row],[Column26]]=2,GCP_2[[#This Row],[Column27]]=2),"1",(IF(GCP_2[[#This Row],[Column9]]="x","2",(IF(GCP_2[[#This Row],[Column10]]="x","3","")))))))</f>
        <v>2</v>
      </c>
      <c r="AC128" s="454" t="str">
        <f>IF(GCP_2[[#This Row],[Column14]] = "-", GCP_2[[#This Row],[Column14]], LEFT(GCP_2[[#This Row],[Column14]], SEARCH(" ", GCP_2[[#This Row],[Column14]] &amp; " ") - 1))</f>
        <v>2.5</v>
      </c>
    </row>
    <row r="129" spans="1:29" ht="409.5">
      <c r="A12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29" s="137" t="str">
        <f>GCP_2[[#This Row],[Column30]]</f>
        <v>2.6</v>
      </c>
      <c r="C129" s="137">
        <v>8.5</v>
      </c>
      <c r="D129" s="138" t="s">
        <v>390</v>
      </c>
      <c r="E129" s="162" t="s">
        <v>155</v>
      </c>
      <c r="F129" s="489" t="s">
        <v>2149</v>
      </c>
      <c r="G129" s="138" t="s">
        <v>557</v>
      </c>
      <c r="H129" s="204"/>
      <c r="I129" s="164" t="s">
        <v>185</v>
      </c>
      <c r="J129" s="200" t="s">
        <v>185</v>
      </c>
      <c r="K129" s="176" t="s">
        <v>185</v>
      </c>
      <c r="L129" s="176" t="s">
        <v>185</v>
      </c>
      <c r="M129" s="176" t="s">
        <v>185</v>
      </c>
      <c r="N129" s="222" t="s">
        <v>1335</v>
      </c>
      <c r="O129" s="212">
        <v>1</v>
      </c>
      <c r="P129" s="214" t="s">
        <v>1336</v>
      </c>
      <c r="Q129" s="214" t="s">
        <v>1337</v>
      </c>
      <c r="R129" s="451" t="s">
        <v>1338</v>
      </c>
      <c r="S129" s="214" t="s">
        <v>1339</v>
      </c>
      <c r="T129" s="214" t="s">
        <v>1340</v>
      </c>
      <c r="U129" s="258" t="s">
        <v>162</v>
      </c>
      <c r="V129" s="168" t="s">
        <v>1565</v>
      </c>
      <c r="W129" s="158" t="s">
        <v>967</v>
      </c>
      <c r="X129" s="158" t="s">
        <v>185</v>
      </c>
      <c r="Y129" s="158" t="s">
        <v>185</v>
      </c>
      <c r="Z129" s="158"/>
      <c r="AA129" s="158" t="str">
        <f>IF(GCP_2[[#This Row],[Column14]]="-","", "v")</f>
        <v>v</v>
      </c>
      <c r="AB129" s="158" t="str">
        <f>IF(GCP_2[[#This Row],[Column8]]="x","1",(IF(OR(GCP_2[[#This Row],[Column25]]=2,GCP_2[[#This Row],[Column26]]=2,GCP_2[[#This Row],[Column27]]=2),"1",(IF(GCP_2[[#This Row],[Column9]]="x","2",(IF(GCP_2[[#This Row],[Column10]]="x","3","")))))))</f>
        <v>2</v>
      </c>
      <c r="AC129" s="454" t="str">
        <f>IF(GCP_2[[#This Row],[Column14]] = "-", GCP_2[[#This Row],[Column14]], LEFT(GCP_2[[#This Row],[Column14]], SEARCH(" ", GCP_2[[#This Row],[Column14]] &amp; " ") - 1))</f>
        <v>2.6</v>
      </c>
    </row>
    <row r="130" spans="1:29" ht="409.5">
      <c r="A13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0" s="137" t="str">
        <f>GCP_2[[#This Row],[Column30]]</f>
        <v>2.7</v>
      </c>
      <c r="C130" s="137">
        <v>8.5</v>
      </c>
      <c r="D130" s="138" t="s">
        <v>390</v>
      </c>
      <c r="E130" s="162" t="s">
        <v>155</v>
      </c>
      <c r="F130" s="489" t="s">
        <v>2149</v>
      </c>
      <c r="G130" s="138" t="s">
        <v>557</v>
      </c>
      <c r="H130" s="204"/>
      <c r="I130" s="164" t="s">
        <v>185</v>
      </c>
      <c r="J130" s="200" t="s">
        <v>185</v>
      </c>
      <c r="K130" s="176" t="s">
        <v>185</v>
      </c>
      <c r="L130" s="176" t="s">
        <v>185</v>
      </c>
      <c r="M130" s="176" t="s">
        <v>185</v>
      </c>
      <c r="N130" s="222" t="s">
        <v>1341</v>
      </c>
      <c r="O130" s="212">
        <v>2</v>
      </c>
      <c r="P130" s="214" t="s">
        <v>1342</v>
      </c>
      <c r="Q130" s="214" t="s">
        <v>1343</v>
      </c>
      <c r="R130" s="451" t="s">
        <v>1344</v>
      </c>
      <c r="S130" s="214" t="s">
        <v>1345</v>
      </c>
      <c r="T130" s="214" t="s">
        <v>1346</v>
      </c>
      <c r="U130" s="258" t="s">
        <v>162</v>
      </c>
      <c r="V130" s="168" t="s">
        <v>1565</v>
      </c>
      <c r="W130" s="158" t="s">
        <v>967</v>
      </c>
      <c r="X130" s="158" t="s">
        <v>185</v>
      </c>
      <c r="Y130" s="158" t="s">
        <v>185</v>
      </c>
      <c r="Z130" s="158"/>
      <c r="AA130" s="158" t="str">
        <f>IF(GCP_2[[#This Row],[Column14]]="-","", "v")</f>
        <v>v</v>
      </c>
      <c r="AB130" s="158" t="str">
        <f>IF(GCP_2[[#This Row],[Column8]]="x","1",(IF(OR(GCP_2[[#This Row],[Column25]]=2,GCP_2[[#This Row],[Column26]]=2,GCP_2[[#This Row],[Column27]]=2),"1",(IF(GCP_2[[#This Row],[Column9]]="x","2",(IF(GCP_2[[#This Row],[Column10]]="x","3","")))))))</f>
        <v>2</v>
      </c>
      <c r="AC130" s="454" t="str">
        <f>IF(GCP_2[[#This Row],[Column14]] = "-", GCP_2[[#This Row],[Column14]], LEFT(GCP_2[[#This Row],[Column14]], SEARCH(" ", GCP_2[[#This Row],[Column14]] &amp; " ") - 1))</f>
        <v>2.7</v>
      </c>
    </row>
    <row r="131" spans="1:29" ht="409.5">
      <c r="A13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1" s="137" t="str">
        <f>GCP_2[[#This Row],[Column30]]</f>
        <v>2.8</v>
      </c>
      <c r="C131" s="137">
        <v>8.5</v>
      </c>
      <c r="D131" s="138" t="s">
        <v>390</v>
      </c>
      <c r="E131" s="162" t="s">
        <v>155</v>
      </c>
      <c r="F131" s="489" t="s">
        <v>2149</v>
      </c>
      <c r="G131" s="138" t="s">
        <v>557</v>
      </c>
      <c r="H131" s="204"/>
      <c r="I131" s="164" t="s">
        <v>185</v>
      </c>
      <c r="J131" s="200" t="s">
        <v>185</v>
      </c>
      <c r="K131" s="176" t="s">
        <v>185</v>
      </c>
      <c r="L131" s="176" t="s">
        <v>185</v>
      </c>
      <c r="M131" s="176" t="s">
        <v>185</v>
      </c>
      <c r="N131" s="222" t="s">
        <v>1347</v>
      </c>
      <c r="O131" s="212">
        <v>2</v>
      </c>
      <c r="P131" s="214" t="s">
        <v>1348</v>
      </c>
      <c r="Q131" s="214" t="s">
        <v>1349</v>
      </c>
      <c r="R131" s="451" t="s">
        <v>1350</v>
      </c>
      <c r="S131" s="214" t="s">
        <v>1351</v>
      </c>
      <c r="T131" s="214" t="s">
        <v>1352</v>
      </c>
      <c r="U131" s="258" t="s">
        <v>162</v>
      </c>
      <c r="V131" s="168" t="s">
        <v>1565</v>
      </c>
      <c r="W131" s="158" t="s">
        <v>967</v>
      </c>
      <c r="X131" s="158" t="s">
        <v>185</v>
      </c>
      <c r="Y131" s="158" t="s">
        <v>185</v>
      </c>
      <c r="Z131" s="158"/>
      <c r="AA131" s="158" t="str">
        <f>IF(GCP_2[[#This Row],[Column14]]="-","", "v")</f>
        <v>v</v>
      </c>
      <c r="AB131" s="158" t="str">
        <f>IF(GCP_2[[#This Row],[Column8]]="x","1",(IF(OR(GCP_2[[#This Row],[Column25]]=2,GCP_2[[#This Row],[Column26]]=2,GCP_2[[#This Row],[Column27]]=2),"1",(IF(GCP_2[[#This Row],[Column9]]="x","2",(IF(GCP_2[[#This Row],[Column10]]="x","3","")))))))</f>
        <v>2</v>
      </c>
      <c r="AC131" s="454" t="str">
        <f>IF(GCP_2[[#This Row],[Column14]] = "-", GCP_2[[#This Row],[Column14]], LEFT(GCP_2[[#This Row],[Column14]], SEARCH(" ", GCP_2[[#This Row],[Column14]] &amp; " ") - 1))</f>
        <v>2.8</v>
      </c>
    </row>
    <row r="132" spans="1:29" ht="409.5">
      <c r="A13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2" s="137" t="str">
        <f>GCP_2[[#This Row],[Column30]]</f>
        <v>2.9</v>
      </c>
      <c r="C132" s="137">
        <v>8.5</v>
      </c>
      <c r="D132" s="138" t="s">
        <v>390</v>
      </c>
      <c r="E132" s="162" t="s">
        <v>155</v>
      </c>
      <c r="F132" s="489" t="s">
        <v>2149</v>
      </c>
      <c r="G132" s="138" t="s">
        <v>557</v>
      </c>
      <c r="H132" s="204"/>
      <c r="I132" s="164" t="s">
        <v>185</v>
      </c>
      <c r="J132" s="200" t="s">
        <v>185</v>
      </c>
      <c r="K132" s="176" t="s">
        <v>185</v>
      </c>
      <c r="L132" s="176" t="s">
        <v>185</v>
      </c>
      <c r="M132" s="176" t="s">
        <v>185</v>
      </c>
      <c r="N132" s="222" t="s">
        <v>1353</v>
      </c>
      <c r="O132" s="212">
        <v>2</v>
      </c>
      <c r="P132" s="214" t="s">
        <v>1354</v>
      </c>
      <c r="Q132" s="214" t="s">
        <v>1355</v>
      </c>
      <c r="R132" s="451" t="s">
        <v>1356</v>
      </c>
      <c r="S132" s="214" t="s">
        <v>1357</v>
      </c>
      <c r="T132" s="214" t="s">
        <v>1358</v>
      </c>
      <c r="U132" s="258" t="s">
        <v>162</v>
      </c>
      <c r="V132" s="168" t="s">
        <v>1565</v>
      </c>
      <c r="W132" s="158" t="s">
        <v>967</v>
      </c>
      <c r="X132" s="158" t="s">
        <v>185</v>
      </c>
      <c r="Y132" s="158" t="s">
        <v>185</v>
      </c>
      <c r="Z132" s="158"/>
      <c r="AA132" s="158" t="str">
        <f>IF(GCP_2[[#This Row],[Column14]]="-","", "v")</f>
        <v>v</v>
      </c>
      <c r="AB132" s="158" t="str">
        <f>IF(GCP_2[[#This Row],[Column8]]="x","1",(IF(OR(GCP_2[[#This Row],[Column25]]=2,GCP_2[[#This Row],[Column26]]=2,GCP_2[[#This Row],[Column27]]=2),"1",(IF(GCP_2[[#This Row],[Column9]]="x","2",(IF(GCP_2[[#This Row],[Column10]]="x","3","")))))))</f>
        <v>2</v>
      </c>
      <c r="AC132" s="454" t="str">
        <f>IF(GCP_2[[#This Row],[Column14]] = "-", GCP_2[[#This Row],[Column14]], LEFT(GCP_2[[#This Row],[Column14]], SEARCH(" ", GCP_2[[#This Row],[Column14]] &amp; " ") - 1))</f>
        <v>2.9</v>
      </c>
    </row>
    <row r="133" spans="1:29" ht="409.5">
      <c r="A13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3" s="137" t="str">
        <f>GCP_2[[#This Row],[Column30]]</f>
        <v>2.10</v>
      </c>
      <c r="C133" s="137">
        <v>8.5</v>
      </c>
      <c r="D133" s="138" t="s">
        <v>390</v>
      </c>
      <c r="E133" s="162" t="s">
        <v>155</v>
      </c>
      <c r="F133" s="489" t="s">
        <v>2149</v>
      </c>
      <c r="G133" s="138" t="s">
        <v>557</v>
      </c>
      <c r="H133" s="204"/>
      <c r="I133" s="164" t="s">
        <v>185</v>
      </c>
      <c r="J133" s="200" t="s">
        <v>185</v>
      </c>
      <c r="K133" s="176" t="s">
        <v>185</v>
      </c>
      <c r="L133" s="176" t="s">
        <v>185</v>
      </c>
      <c r="M133" s="176" t="s">
        <v>185</v>
      </c>
      <c r="N133" s="222" t="s">
        <v>1359</v>
      </c>
      <c r="O133" s="212">
        <v>2</v>
      </c>
      <c r="P133" s="214" t="s">
        <v>1360</v>
      </c>
      <c r="Q133" s="214" t="s">
        <v>1361</v>
      </c>
      <c r="R133" s="451" t="s">
        <v>1362</v>
      </c>
      <c r="S133" s="214" t="s">
        <v>1363</v>
      </c>
      <c r="T133" s="214" t="s">
        <v>1364</v>
      </c>
      <c r="U133" s="258" t="s">
        <v>162</v>
      </c>
      <c r="V133" s="168" t="s">
        <v>1565</v>
      </c>
      <c r="W133" s="158" t="s">
        <v>967</v>
      </c>
      <c r="X133" s="158" t="s">
        <v>185</v>
      </c>
      <c r="Y133" s="158" t="s">
        <v>185</v>
      </c>
      <c r="Z133" s="158"/>
      <c r="AA133" s="158" t="str">
        <f>IF(GCP_2[[#This Row],[Column14]]="-","", "v")</f>
        <v>v</v>
      </c>
      <c r="AB133" s="158" t="str">
        <f>IF(GCP_2[[#This Row],[Column8]]="x","1",(IF(OR(GCP_2[[#This Row],[Column25]]=2,GCP_2[[#This Row],[Column26]]=2,GCP_2[[#This Row],[Column27]]=2),"1",(IF(GCP_2[[#This Row],[Column9]]="x","2",(IF(GCP_2[[#This Row],[Column10]]="x","3","")))))))</f>
        <v>2</v>
      </c>
      <c r="AC133" s="454" t="str">
        <f>IF(GCP_2[[#This Row],[Column14]] = "-", GCP_2[[#This Row],[Column14]], LEFT(GCP_2[[#This Row],[Column14]], SEARCH(" ", GCP_2[[#This Row],[Column14]] &amp; " ") - 1))</f>
        <v>2.10</v>
      </c>
    </row>
    <row r="134" spans="1:29" ht="409.5">
      <c r="A13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4" s="137" t="str">
        <f>GCP_2[[#This Row],[Column30]]</f>
        <v>2.11</v>
      </c>
      <c r="C134" s="137">
        <v>8.5</v>
      </c>
      <c r="D134" s="138" t="s">
        <v>390</v>
      </c>
      <c r="E134" s="162" t="s">
        <v>155</v>
      </c>
      <c r="F134" s="489" t="s">
        <v>2149</v>
      </c>
      <c r="G134" s="138" t="s">
        <v>557</v>
      </c>
      <c r="H134" s="204"/>
      <c r="I134" s="164" t="s">
        <v>185</v>
      </c>
      <c r="J134" s="200" t="s">
        <v>185</v>
      </c>
      <c r="K134" s="176" t="s">
        <v>185</v>
      </c>
      <c r="L134" s="176" t="s">
        <v>185</v>
      </c>
      <c r="M134" s="176" t="s">
        <v>185</v>
      </c>
      <c r="N134" s="222" t="s">
        <v>1365</v>
      </c>
      <c r="O134" s="212">
        <v>2</v>
      </c>
      <c r="P134" s="214" t="s">
        <v>1394</v>
      </c>
      <c r="Q134" s="214" t="s">
        <v>1367</v>
      </c>
      <c r="R134" s="451" t="s">
        <v>1395</v>
      </c>
      <c r="S134" s="214" t="s">
        <v>1369</v>
      </c>
      <c r="T134" s="214" t="s">
        <v>1370</v>
      </c>
      <c r="U134" s="258" t="s">
        <v>162</v>
      </c>
      <c r="V134" s="168" t="s">
        <v>1565</v>
      </c>
      <c r="W134" s="158" t="s">
        <v>967</v>
      </c>
      <c r="X134" s="158" t="s">
        <v>185</v>
      </c>
      <c r="Y134" s="158" t="s">
        <v>185</v>
      </c>
      <c r="Z134" s="158"/>
      <c r="AA134" s="158" t="str">
        <f>IF(GCP_2[[#This Row],[Column14]]="-","", "v")</f>
        <v>v</v>
      </c>
      <c r="AB134" s="158" t="str">
        <f>IF(GCP_2[[#This Row],[Column8]]="x","1",(IF(OR(GCP_2[[#This Row],[Column25]]=2,GCP_2[[#This Row],[Column26]]=2,GCP_2[[#This Row],[Column27]]=2),"1",(IF(GCP_2[[#This Row],[Column9]]="x","2",(IF(GCP_2[[#This Row],[Column10]]="x","3","")))))))</f>
        <v>2</v>
      </c>
      <c r="AC134" s="454" t="str">
        <f>IF(GCP_2[[#This Row],[Column14]] = "-", GCP_2[[#This Row],[Column14]], LEFT(GCP_2[[#This Row],[Column14]], SEARCH(" ", GCP_2[[#This Row],[Column14]] &amp; " ") - 1))</f>
        <v>2.11</v>
      </c>
    </row>
    <row r="135" spans="1:29" ht="409.5">
      <c r="A13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5" s="137" t="str">
        <f>GCP_2[[#This Row],[Column30]]</f>
        <v>2.14</v>
      </c>
      <c r="C135" s="137">
        <v>8.5</v>
      </c>
      <c r="D135" s="138" t="s">
        <v>390</v>
      </c>
      <c r="E135" s="162" t="s">
        <v>155</v>
      </c>
      <c r="F135" s="489" t="s">
        <v>2149</v>
      </c>
      <c r="G135" s="138" t="s">
        <v>557</v>
      </c>
      <c r="H135" s="204"/>
      <c r="I135" s="164" t="s">
        <v>185</v>
      </c>
      <c r="J135" s="200" t="s">
        <v>185</v>
      </c>
      <c r="K135" s="176" t="s">
        <v>185</v>
      </c>
      <c r="L135" s="176" t="s">
        <v>185</v>
      </c>
      <c r="M135" s="176" t="s">
        <v>185</v>
      </c>
      <c r="N135" s="222" t="s">
        <v>1377</v>
      </c>
      <c r="O135" s="212">
        <v>2</v>
      </c>
      <c r="P135" s="214" t="s">
        <v>1378</v>
      </c>
      <c r="Q135" s="214" t="s">
        <v>1379</v>
      </c>
      <c r="R135" s="451" t="s">
        <v>1380</v>
      </c>
      <c r="S135" s="214" t="s">
        <v>1381</v>
      </c>
      <c r="T135" s="214" t="s">
        <v>1382</v>
      </c>
      <c r="U135" s="258" t="s">
        <v>162</v>
      </c>
      <c r="V135" s="168" t="s">
        <v>1566</v>
      </c>
      <c r="W135" s="158" t="s">
        <v>967</v>
      </c>
      <c r="X135" s="158" t="s">
        <v>185</v>
      </c>
      <c r="Y135" s="158" t="s">
        <v>185</v>
      </c>
      <c r="Z135" s="158"/>
      <c r="AA135" s="158" t="str">
        <f>IF(GCP_2[[#This Row],[Column14]]="-","", "v")</f>
        <v>v</v>
      </c>
      <c r="AB135" s="158" t="str">
        <f>IF(GCP_2[[#This Row],[Column8]]="x","1",(IF(OR(GCP_2[[#This Row],[Column25]]=2,GCP_2[[#This Row],[Column26]]=2,GCP_2[[#This Row],[Column27]]=2),"1",(IF(GCP_2[[#This Row],[Column9]]="x","2",(IF(GCP_2[[#This Row],[Column10]]="x","3","")))))))</f>
        <v>2</v>
      </c>
      <c r="AC135" s="454" t="str">
        <f>IF(GCP_2[[#This Row],[Column14]] = "-", GCP_2[[#This Row],[Column14]], LEFT(GCP_2[[#This Row],[Column14]], SEARCH(" ", GCP_2[[#This Row],[Column14]] &amp; " ") - 1))</f>
        <v>2.14</v>
      </c>
    </row>
    <row r="136" spans="1:29" ht="409.5">
      <c r="A13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6" s="137" t="str">
        <f>GCP_2[[#This Row],[Column30]]</f>
        <v>6.2.1</v>
      </c>
      <c r="C136" s="137">
        <v>8.5</v>
      </c>
      <c r="D136" s="138" t="s">
        <v>390</v>
      </c>
      <c r="E136" s="162" t="s">
        <v>155</v>
      </c>
      <c r="F136" s="489" t="s">
        <v>2149</v>
      </c>
      <c r="G136" s="138" t="s">
        <v>557</v>
      </c>
      <c r="H136" s="204"/>
      <c r="I136" s="164" t="s">
        <v>185</v>
      </c>
      <c r="J136" s="200" t="s">
        <v>185</v>
      </c>
      <c r="K136" s="176" t="s">
        <v>185</v>
      </c>
      <c r="L136" s="176" t="s">
        <v>185</v>
      </c>
      <c r="M136" s="176" t="s">
        <v>185</v>
      </c>
      <c r="N136" s="222" t="s">
        <v>1396</v>
      </c>
      <c r="O136" s="212">
        <v>2</v>
      </c>
      <c r="P136" s="214" t="s">
        <v>1397</v>
      </c>
      <c r="Q136" s="214" t="s">
        <v>1398</v>
      </c>
      <c r="R136" s="451" t="s">
        <v>1399</v>
      </c>
      <c r="S136" s="214" t="s">
        <v>1400</v>
      </c>
      <c r="T136" s="214" t="s">
        <v>1401</v>
      </c>
      <c r="U136" s="258" t="s">
        <v>162</v>
      </c>
      <c r="V136" s="168" t="s">
        <v>1569</v>
      </c>
      <c r="W136" s="158" t="s">
        <v>967</v>
      </c>
      <c r="X136" s="158" t="s">
        <v>185</v>
      </c>
      <c r="Y136" s="158" t="s">
        <v>185</v>
      </c>
      <c r="Z136" s="158"/>
      <c r="AA136" s="158" t="str">
        <f>IF(GCP_2[[#This Row],[Column14]]="-","", "v")</f>
        <v>v</v>
      </c>
      <c r="AB136" s="158" t="str">
        <f>IF(GCP_2[[#This Row],[Column8]]="x","1",(IF(OR(GCP_2[[#This Row],[Column25]]=2,GCP_2[[#This Row],[Column26]]=2,GCP_2[[#This Row],[Column27]]=2),"1",(IF(GCP_2[[#This Row],[Column9]]="x","2",(IF(GCP_2[[#This Row],[Column10]]="x","3","")))))))</f>
        <v>2</v>
      </c>
      <c r="AC136" s="454" t="str">
        <f>IF(GCP_2[[#This Row],[Column14]] = "-", GCP_2[[#This Row],[Column14]], LEFT(GCP_2[[#This Row],[Column14]], SEARCH(" ", GCP_2[[#This Row],[Column14]] &amp; " ") - 1))</f>
        <v>6.2.1</v>
      </c>
    </row>
    <row r="137" spans="1:29" ht="409.5">
      <c r="A13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7" s="137" t="str">
        <f>GCP_2[[#This Row],[Column30]]</f>
        <v>6.2.2</v>
      </c>
      <c r="C137" s="137">
        <v>8.5</v>
      </c>
      <c r="D137" s="138" t="s">
        <v>390</v>
      </c>
      <c r="E137" s="162" t="s">
        <v>155</v>
      </c>
      <c r="F137" s="489" t="s">
        <v>2149</v>
      </c>
      <c r="G137" s="138" t="s">
        <v>557</v>
      </c>
      <c r="H137" s="204"/>
      <c r="I137" s="164" t="s">
        <v>185</v>
      </c>
      <c r="J137" s="200" t="s">
        <v>185</v>
      </c>
      <c r="K137" s="176" t="s">
        <v>185</v>
      </c>
      <c r="L137" s="176" t="s">
        <v>185</v>
      </c>
      <c r="M137" s="176" t="s">
        <v>185</v>
      </c>
      <c r="N137" s="222" t="s">
        <v>1402</v>
      </c>
      <c r="O137" s="212">
        <v>1</v>
      </c>
      <c r="P137" s="214" t="s">
        <v>1403</v>
      </c>
      <c r="Q137" s="214" t="s">
        <v>1404</v>
      </c>
      <c r="R137" s="451" t="s">
        <v>1405</v>
      </c>
      <c r="S137" s="214" t="s">
        <v>1406</v>
      </c>
      <c r="T137" s="214" t="s">
        <v>1407</v>
      </c>
      <c r="U137" s="258" t="s">
        <v>162</v>
      </c>
      <c r="V137" s="168" t="s">
        <v>1569</v>
      </c>
      <c r="W137" s="158" t="s">
        <v>967</v>
      </c>
      <c r="X137" s="158" t="s">
        <v>185</v>
      </c>
      <c r="Y137" s="158" t="s">
        <v>185</v>
      </c>
      <c r="Z137" s="158"/>
      <c r="AA137" s="158" t="str">
        <f>IF(GCP_2[[#This Row],[Column14]]="-","", "v")</f>
        <v>v</v>
      </c>
      <c r="AB137" s="158" t="str">
        <f>IF(GCP_2[[#This Row],[Column8]]="x","1",(IF(OR(GCP_2[[#This Row],[Column25]]=2,GCP_2[[#This Row],[Column26]]=2,GCP_2[[#This Row],[Column27]]=2),"1",(IF(GCP_2[[#This Row],[Column9]]="x","2",(IF(GCP_2[[#This Row],[Column10]]="x","3","")))))))</f>
        <v>2</v>
      </c>
      <c r="AC137" s="454" t="str">
        <f>IF(GCP_2[[#This Row],[Column14]] = "-", GCP_2[[#This Row],[Column14]], LEFT(GCP_2[[#This Row],[Column14]], SEARCH(" ", GCP_2[[#This Row],[Column14]] &amp; " ") - 1))</f>
        <v>6.2.2</v>
      </c>
    </row>
    <row r="138" spans="1:29" ht="409.5">
      <c r="A13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8" s="137" t="str">
        <f>GCP_2[[#This Row],[Column30]]</f>
        <v>6.2.3</v>
      </c>
      <c r="C138" s="137">
        <v>8.5</v>
      </c>
      <c r="D138" s="138" t="s">
        <v>390</v>
      </c>
      <c r="E138" s="162" t="s">
        <v>155</v>
      </c>
      <c r="F138" s="489" t="s">
        <v>2149</v>
      </c>
      <c r="G138" s="138" t="s">
        <v>557</v>
      </c>
      <c r="H138" s="204"/>
      <c r="I138" s="164" t="s">
        <v>185</v>
      </c>
      <c r="J138" s="200" t="s">
        <v>185</v>
      </c>
      <c r="K138" s="176" t="s">
        <v>185</v>
      </c>
      <c r="L138" s="176" t="s">
        <v>185</v>
      </c>
      <c r="M138" s="176" t="s">
        <v>185</v>
      </c>
      <c r="N138" s="222" t="s">
        <v>1408</v>
      </c>
      <c r="O138" s="212">
        <v>1</v>
      </c>
      <c r="P138" s="214" t="s">
        <v>1409</v>
      </c>
      <c r="Q138" s="214" t="s">
        <v>1410</v>
      </c>
      <c r="R138" s="451" t="s">
        <v>1411</v>
      </c>
      <c r="S138" s="214" t="s">
        <v>1412</v>
      </c>
      <c r="T138" s="214" t="s">
        <v>1407</v>
      </c>
      <c r="U138" s="258" t="s">
        <v>162</v>
      </c>
      <c r="V138" s="168" t="s">
        <v>1569</v>
      </c>
      <c r="W138" s="158" t="s">
        <v>967</v>
      </c>
      <c r="X138" s="158" t="s">
        <v>185</v>
      </c>
      <c r="Y138" s="158" t="s">
        <v>185</v>
      </c>
      <c r="Z138" s="158"/>
      <c r="AA138" s="158" t="str">
        <f>IF(GCP_2[[#This Row],[Column14]]="-","", "v")</f>
        <v>v</v>
      </c>
      <c r="AB138" s="158" t="str">
        <f>IF(GCP_2[[#This Row],[Column8]]="x","1",(IF(OR(GCP_2[[#This Row],[Column25]]=2,GCP_2[[#This Row],[Column26]]=2,GCP_2[[#This Row],[Column27]]=2),"1",(IF(GCP_2[[#This Row],[Column9]]="x","2",(IF(GCP_2[[#This Row],[Column10]]="x","3","")))))))</f>
        <v>2</v>
      </c>
      <c r="AC138" s="454" t="str">
        <f>IF(GCP_2[[#This Row],[Column14]] = "-", GCP_2[[#This Row],[Column14]], LEFT(GCP_2[[#This Row],[Column14]], SEARCH(" ", GCP_2[[#This Row],[Column14]] &amp; " ") - 1))</f>
        <v>6.2.3</v>
      </c>
    </row>
    <row r="139" spans="1:29" ht="409.5">
      <c r="A13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39" s="137" t="str">
        <f>GCP_2[[#This Row],[Column30]]</f>
        <v>6.2.4</v>
      </c>
      <c r="C139" s="137">
        <v>8.5</v>
      </c>
      <c r="D139" s="138" t="s">
        <v>390</v>
      </c>
      <c r="E139" s="162" t="s">
        <v>155</v>
      </c>
      <c r="F139" s="489" t="s">
        <v>2149</v>
      </c>
      <c r="G139" s="138" t="s">
        <v>557</v>
      </c>
      <c r="H139" s="204"/>
      <c r="I139" s="164" t="s">
        <v>185</v>
      </c>
      <c r="J139" s="200" t="s">
        <v>185</v>
      </c>
      <c r="K139" s="176" t="s">
        <v>185</v>
      </c>
      <c r="L139" s="176" t="s">
        <v>185</v>
      </c>
      <c r="M139" s="176" t="s">
        <v>185</v>
      </c>
      <c r="N139" s="222" t="s">
        <v>1413</v>
      </c>
      <c r="O139" s="212">
        <v>2</v>
      </c>
      <c r="P139" s="214" t="s">
        <v>1414</v>
      </c>
      <c r="Q139" s="214" t="s">
        <v>1415</v>
      </c>
      <c r="R139" s="451" t="s">
        <v>1416</v>
      </c>
      <c r="S139" s="214" t="s">
        <v>1417</v>
      </c>
      <c r="T139" s="214" t="s">
        <v>1401</v>
      </c>
      <c r="U139" s="258" t="s">
        <v>162</v>
      </c>
      <c r="V139" s="168" t="s">
        <v>1569</v>
      </c>
      <c r="W139" s="158" t="s">
        <v>967</v>
      </c>
      <c r="X139" s="158" t="s">
        <v>185</v>
      </c>
      <c r="Y139" s="158" t="s">
        <v>185</v>
      </c>
      <c r="Z139" s="158"/>
      <c r="AA139" s="158" t="str">
        <f>IF(GCP_2[[#This Row],[Column14]]="-","", "v")</f>
        <v>v</v>
      </c>
      <c r="AB139" s="158" t="str">
        <f>IF(GCP_2[[#This Row],[Column8]]="x","1",(IF(OR(GCP_2[[#This Row],[Column25]]=2,GCP_2[[#This Row],[Column26]]=2,GCP_2[[#This Row],[Column27]]=2),"1",(IF(GCP_2[[#This Row],[Column9]]="x","2",(IF(GCP_2[[#This Row],[Column10]]="x","3","")))))))</f>
        <v>2</v>
      </c>
      <c r="AC139" s="454" t="str">
        <f>IF(GCP_2[[#This Row],[Column14]] = "-", GCP_2[[#This Row],[Column14]], LEFT(GCP_2[[#This Row],[Column14]], SEARCH(" ", GCP_2[[#This Row],[Column14]] &amp; " ") - 1))</f>
        <v>6.2.4</v>
      </c>
    </row>
    <row r="140" spans="1:29" ht="409.5">
      <c r="A14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0" s="137" t="str">
        <f>GCP_2[[#This Row],[Column30]]</f>
        <v>6.2.5</v>
      </c>
      <c r="C140" s="137">
        <v>8.5</v>
      </c>
      <c r="D140" s="138" t="s">
        <v>390</v>
      </c>
      <c r="E140" s="162" t="s">
        <v>155</v>
      </c>
      <c r="F140" s="489" t="s">
        <v>2149</v>
      </c>
      <c r="G140" s="138" t="s">
        <v>557</v>
      </c>
      <c r="H140" s="204"/>
      <c r="I140" s="164" t="s">
        <v>185</v>
      </c>
      <c r="J140" s="200" t="s">
        <v>185</v>
      </c>
      <c r="K140" s="176" t="s">
        <v>185</v>
      </c>
      <c r="L140" s="176" t="s">
        <v>185</v>
      </c>
      <c r="M140" s="176" t="s">
        <v>185</v>
      </c>
      <c r="N140" s="222" t="s">
        <v>1418</v>
      </c>
      <c r="O140" s="212">
        <v>1</v>
      </c>
      <c r="P140" s="214" t="s">
        <v>1419</v>
      </c>
      <c r="Q140" s="214" t="s">
        <v>1420</v>
      </c>
      <c r="R140" s="451" t="s">
        <v>1421</v>
      </c>
      <c r="S140" s="214" t="s">
        <v>1422</v>
      </c>
      <c r="T140" s="214" t="s">
        <v>1423</v>
      </c>
      <c r="U140" s="258" t="s">
        <v>162</v>
      </c>
      <c r="V140" s="168" t="s">
        <v>1569</v>
      </c>
      <c r="W140" s="158" t="s">
        <v>967</v>
      </c>
      <c r="X140" s="158" t="s">
        <v>185</v>
      </c>
      <c r="Y140" s="158" t="s">
        <v>185</v>
      </c>
      <c r="Z140" s="158"/>
      <c r="AA140" s="158" t="str">
        <f>IF(GCP_2[[#This Row],[Column14]]="-","", "v")</f>
        <v>v</v>
      </c>
      <c r="AB140" s="158" t="str">
        <f>IF(GCP_2[[#This Row],[Column8]]="x","1",(IF(OR(GCP_2[[#This Row],[Column25]]=2,GCP_2[[#This Row],[Column26]]=2,GCP_2[[#This Row],[Column27]]=2),"1",(IF(GCP_2[[#This Row],[Column9]]="x","2",(IF(GCP_2[[#This Row],[Column10]]="x","3","")))))))</f>
        <v>2</v>
      </c>
      <c r="AC140" s="454" t="str">
        <f>IF(GCP_2[[#This Row],[Column14]] = "-", GCP_2[[#This Row],[Column14]], LEFT(GCP_2[[#This Row],[Column14]], SEARCH(" ", GCP_2[[#This Row],[Column14]] &amp; " ") - 1))</f>
        <v>6.2.5</v>
      </c>
    </row>
    <row r="141" spans="1:29" ht="409.5">
      <c r="A14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1" s="137" t="str">
        <f>GCP_2[[#This Row],[Column30]]</f>
        <v>6.2.6</v>
      </c>
      <c r="C141" s="137">
        <v>8.5</v>
      </c>
      <c r="D141" s="138" t="s">
        <v>390</v>
      </c>
      <c r="E141" s="162" t="s">
        <v>155</v>
      </c>
      <c r="F141" s="489" t="s">
        <v>2149</v>
      </c>
      <c r="G141" s="138" t="s">
        <v>557</v>
      </c>
      <c r="H141" s="204"/>
      <c r="I141" s="164" t="s">
        <v>185</v>
      </c>
      <c r="J141" s="200" t="s">
        <v>185</v>
      </c>
      <c r="K141" s="176" t="s">
        <v>185</v>
      </c>
      <c r="L141" s="176" t="s">
        <v>185</v>
      </c>
      <c r="M141" s="176" t="s">
        <v>185</v>
      </c>
      <c r="N141" s="222" t="s">
        <v>1424</v>
      </c>
      <c r="O141" s="212">
        <v>1</v>
      </c>
      <c r="P141" s="214" t="s">
        <v>1425</v>
      </c>
      <c r="Q141" s="214" t="s">
        <v>1426</v>
      </c>
      <c r="R141" s="451" t="s">
        <v>1427</v>
      </c>
      <c r="S141" s="214" t="s">
        <v>1428</v>
      </c>
      <c r="T141" s="214" t="s">
        <v>1423</v>
      </c>
      <c r="U141" s="258" t="s">
        <v>162</v>
      </c>
      <c r="V141" s="168" t="s">
        <v>1569</v>
      </c>
      <c r="W141" s="158" t="s">
        <v>967</v>
      </c>
      <c r="X141" s="158" t="s">
        <v>185</v>
      </c>
      <c r="Y141" s="158" t="s">
        <v>185</v>
      </c>
      <c r="Z141" s="158"/>
      <c r="AA141" s="158" t="str">
        <f>IF(GCP_2[[#This Row],[Column14]]="-","", "v")</f>
        <v>v</v>
      </c>
      <c r="AB141" s="158" t="str">
        <f>IF(GCP_2[[#This Row],[Column8]]="x","1",(IF(OR(GCP_2[[#This Row],[Column25]]=2,GCP_2[[#This Row],[Column26]]=2,GCP_2[[#This Row],[Column27]]=2),"1",(IF(GCP_2[[#This Row],[Column9]]="x","2",(IF(GCP_2[[#This Row],[Column10]]="x","3","")))))))</f>
        <v>2</v>
      </c>
      <c r="AC141" s="454" t="str">
        <f>IF(GCP_2[[#This Row],[Column14]] = "-", GCP_2[[#This Row],[Column14]], LEFT(GCP_2[[#This Row],[Column14]], SEARCH(" ", GCP_2[[#This Row],[Column14]] &amp; " ") - 1))</f>
        <v>6.2.6</v>
      </c>
    </row>
    <row r="142" spans="1:29" ht="409.5">
      <c r="A14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2" s="137" t="str">
        <f>GCP_2[[#This Row],[Column30]]</f>
        <v>6.2.7</v>
      </c>
      <c r="C142" s="137">
        <v>8.5</v>
      </c>
      <c r="D142" s="138" t="s">
        <v>390</v>
      </c>
      <c r="E142" s="162" t="s">
        <v>155</v>
      </c>
      <c r="F142" s="489" t="s">
        <v>2149</v>
      </c>
      <c r="G142" s="138" t="s">
        <v>557</v>
      </c>
      <c r="H142" s="204"/>
      <c r="I142" s="164" t="s">
        <v>185</v>
      </c>
      <c r="J142" s="200" t="s">
        <v>185</v>
      </c>
      <c r="K142" s="176" t="s">
        <v>185</v>
      </c>
      <c r="L142" s="176" t="s">
        <v>185</v>
      </c>
      <c r="M142" s="176" t="s">
        <v>185</v>
      </c>
      <c r="N142" s="222" t="s">
        <v>1429</v>
      </c>
      <c r="O142" s="212">
        <v>1</v>
      </c>
      <c r="P142" s="214" t="s">
        <v>1430</v>
      </c>
      <c r="Q142" s="214" t="s">
        <v>1431</v>
      </c>
      <c r="R142" s="451" t="s">
        <v>1432</v>
      </c>
      <c r="S142" s="214" t="s">
        <v>1433</v>
      </c>
      <c r="T142" s="214" t="s">
        <v>1401</v>
      </c>
      <c r="U142" s="258" t="s">
        <v>162</v>
      </c>
      <c r="V142" s="168" t="s">
        <v>1569</v>
      </c>
      <c r="W142" s="158" t="s">
        <v>967</v>
      </c>
      <c r="X142" s="158" t="s">
        <v>185</v>
      </c>
      <c r="Y142" s="158" t="s">
        <v>185</v>
      </c>
      <c r="Z142" s="158"/>
      <c r="AA142" s="158" t="str">
        <f>IF(GCP_2[[#This Row],[Column14]]="-","", "v")</f>
        <v>v</v>
      </c>
      <c r="AB142" s="158" t="str">
        <f>IF(GCP_2[[#This Row],[Column8]]="x","1",(IF(OR(GCP_2[[#This Row],[Column25]]=2,GCP_2[[#This Row],[Column26]]=2,GCP_2[[#This Row],[Column27]]=2),"1",(IF(GCP_2[[#This Row],[Column9]]="x","2",(IF(GCP_2[[#This Row],[Column10]]="x","3","")))))))</f>
        <v>2</v>
      </c>
      <c r="AC142" s="454" t="str">
        <f>IF(GCP_2[[#This Row],[Column14]] = "-", GCP_2[[#This Row],[Column14]], LEFT(GCP_2[[#This Row],[Column14]], SEARCH(" ", GCP_2[[#This Row],[Column14]] &amp; " ") - 1))</f>
        <v>6.2.7</v>
      </c>
    </row>
    <row r="143" spans="1:29" ht="409.5">
      <c r="A14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3" s="137" t="str">
        <f>GCP_2[[#This Row],[Column30]]</f>
        <v>6.2.8</v>
      </c>
      <c r="C143" s="137">
        <v>8.5</v>
      </c>
      <c r="D143" s="138" t="s">
        <v>390</v>
      </c>
      <c r="E143" s="162" t="s">
        <v>155</v>
      </c>
      <c r="F143" s="489" t="s">
        <v>2149</v>
      </c>
      <c r="G143" s="138" t="s">
        <v>557</v>
      </c>
      <c r="H143" s="204"/>
      <c r="I143" s="164" t="s">
        <v>185</v>
      </c>
      <c r="J143" s="200" t="s">
        <v>185</v>
      </c>
      <c r="K143" s="176" t="s">
        <v>185</v>
      </c>
      <c r="L143" s="176" t="s">
        <v>185</v>
      </c>
      <c r="M143" s="176" t="s">
        <v>185</v>
      </c>
      <c r="N143" s="222" t="s">
        <v>1434</v>
      </c>
      <c r="O143" s="212">
        <v>1</v>
      </c>
      <c r="P143" s="214" t="s">
        <v>1435</v>
      </c>
      <c r="Q143" s="214" t="s">
        <v>1436</v>
      </c>
      <c r="R143" s="451" t="s">
        <v>1437</v>
      </c>
      <c r="S143" s="214" t="s">
        <v>1438</v>
      </c>
      <c r="T143" s="214" t="s">
        <v>1439</v>
      </c>
      <c r="U143" s="258" t="s">
        <v>162</v>
      </c>
      <c r="V143" s="168" t="s">
        <v>1569</v>
      </c>
      <c r="W143" s="158" t="s">
        <v>967</v>
      </c>
      <c r="X143" s="158" t="s">
        <v>185</v>
      </c>
      <c r="Y143" s="158" t="s">
        <v>185</v>
      </c>
      <c r="Z143" s="158"/>
      <c r="AA143" s="158" t="str">
        <f>IF(GCP_2[[#This Row],[Column14]]="-","", "v")</f>
        <v>v</v>
      </c>
      <c r="AB143" s="158" t="str">
        <f>IF(GCP_2[[#This Row],[Column8]]="x","1",(IF(OR(GCP_2[[#This Row],[Column25]]=2,GCP_2[[#This Row],[Column26]]=2,GCP_2[[#This Row],[Column27]]=2),"1",(IF(GCP_2[[#This Row],[Column9]]="x","2",(IF(GCP_2[[#This Row],[Column10]]="x","3","")))))))</f>
        <v>2</v>
      </c>
      <c r="AC143" s="454" t="str">
        <f>IF(GCP_2[[#This Row],[Column14]] = "-", GCP_2[[#This Row],[Column14]], LEFT(GCP_2[[#This Row],[Column14]], SEARCH(" ", GCP_2[[#This Row],[Column14]] &amp; " ") - 1))</f>
        <v>6.2.8</v>
      </c>
    </row>
    <row r="144" spans="1:29" ht="409.5">
      <c r="A14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4" s="137" t="str">
        <f>GCP_2[[#This Row],[Column30]]</f>
        <v>2.12</v>
      </c>
      <c r="C144" s="137">
        <v>8.6</v>
      </c>
      <c r="D144" s="138" t="s">
        <v>390</v>
      </c>
      <c r="E144" s="162" t="s">
        <v>155</v>
      </c>
      <c r="F144" s="489" t="s">
        <v>2150</v>
      </c>
      <c r="G144" s="138" t="s">
        <v>582</v>
      </c>
      <c r="H144" s="137"/>
      <c r="I144" s="164" t="s">
        <v>185</v>
      </c>
      <c r="J144" s="200" t="s">
        <v>185</v>
      </c>
      <c r="K144" s="158" t="s">
        <v>185</v>
      </c>
      <c r="L144" s="158" t="s">
        <v>185</v>
      </c>
      <c r="M144" s="158"/>
      <c r="N144" s="222" t="s">
        <v>1371</v>
      </c>
      <c r="O144" s="212">
        <v>1</v>
      </c>
      <c r="P144" s="214" t="s">
        <v>1372</v>
      </c>
      <c r="Q144" s="214" t="s">
        <v>1373</v>
      </c>
      <c r="R144" s="451" t="s">
        <v>1440</v>
      </c>
      <c r="S144" s="214" t="s">
        <v>1375</v>
      </c>
      <c r="T144" s="214" t="s">
        <v>1376</v>
      </c>
      <c r="U144" s="158" t="s">
        <v>162</v>
      </c>
      <c r="V144" s="168" t="s">
        <v>1530</v>
      </c>
      <c r="W144" s="158" t="s">
        <v>967</v>
      </c>
      <c r="X144" s="158" t="s">
        <v>185</v>
      </c>
      <c r="Y144" s="158" t="s">
        <v>185</v>
      </c>
      <c r="Z144" s="158"/>
      <c r="AA144" s="158" t="str">
        <f>IF(GCP_2[[#This Row],[Column14]]="-","", "v")</f>
        <v>v</v>
      </c>
      <c r="AB144" s="158" t="str">
        <f>IF(GCP_2[[#This Row],[Column8]]="x","1",(IF(OR(GCP_2[[#This Row],[Column25]]=2,GCP_2[[#This Row],[Column26]]=2,GCP_2[[#This Row],[Column27]]=2),"1",(IF(GCP_2[[#This Row],[Column9]]="x","2",(IF(GCP_2[[#This Row],[Column10]]="x","3","")))))))</f>
        <v>2</v>
      </c>
      <c r="AC144" s="454" t="str">
        <f>IF(GCP_2[[#This Row],[Column14]] = "-", GCP_2[[#This Row],[Column14]], LEFT(GCP_2[[#This Row],[Column14]], SEARCH(" ", GCP_2[[#This Row],[Column14]] &amp; " ") - 1))</f>
        <v>2.12</v>
      </c>
    </row>
    <row r="145" spans="1:29" ht="30">
      <c r="A14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5" s="137" t="str">
        <f>GCP_2[[#This Row],[Column30]]</f>
        <v>-</v>
      </c>
      <c r="C145" s="137">
        <v>8.6999999999999993</v>
      </c>
      <c r="D145" s="138" t="s">
        <v>390</v>
      </c>
      <c r="E145" s="162" t="s">
        <v>155</v>
      </c>
      <c r="F145" s="489" t="s">
        <v>2151</v>
      </c>
      <c r="G145" s="138" t="s">
        <v>584</v>
      </c>
      <c r="H145" s="137"/>
      <c r="I145" s="164" t="s">
        <v>185</v>
      </c>
      <c r="J145" s="200" t="s">
        <v>185</v>
      </c>
      <c r="K145" s="158" t="s">
        <v>185</v>
      </c>
      <c r="L145" s="158" t="s">
        <v>185</v>
      </c>
      <c r="M145" s="158"/>
      <c r="N145" s="222" t="s">
        <v>162</v>
      </c>
      <c r="O145" s="222" t="s">
        <v>162</v>
      </c>
      <c r="P145" s="222" t="s">
        <v>162</v>
      </c>
      <c r="Q145" s="222" t="s">
        <v>162</v>
      </c>
      <c r="R145" s="451"/>
      <c r="S145" s="222" t="s">
        <v>162</v>
      </c>
      <c r="T145" s="222" t="s">
        <v>162</v>
      </c>
      <c r="U145" s="258" t="s">
        <v>162</v>
      </c>
      <c r="V145" s="168"/>
      <c r="W145" s="158" t="s">
        <v>966</v>
      </c>
      <c r="X145" s="158" t="s">
        <v>185</v>
      </c>
      <c r="Y145" s="158" t="s">
        <v>185</v>
      </c>
      <c r="Z145" s="158"/>
      <c r="AA145" s="158" t="str">
        <f>IF(GCP_2[[#This Row],[Column14]]="-","", "v")</f>
        <v/>
      </c>
      <c r="AB145" s="158" t="str">
        <f>IF(GCP_2[[#This Row],[Column8]]="x","1",(IF(OR(GCP_2[[#This Row],[Column25]]=2,GCP_2[[#This Row],[Column26]]=2,GCP_2[[#This Row],[Column27]]=2),"1",(IF(GCP_2[[#This Row],[Column9]]="x","2",(IF(GCP_2[[#This Row],[Column10]]="x","3","")))))))</f>
        <v>2</v>
      </c>
      <c r="AC145" s="454" t="str">
        <f>IF(GCP_2[[#This Row],[Column14]] = "-", GCP_2[[#This Row],[Column14]], LEFT(GCP_2[[#This Row],[Column14]], SEARCH(" ", GCP_2[[#This Row],[Column14]] &amp; " ") - 1))</f>
        <v>-</v>
      </c>
    </row>
    <row r="146" spans="1:29" ht="33">
      <c r="A14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6" s="137" t="str">
        <f>GCP_2[[#This Row],[Column30]]</f>
        <v>-</v>
      </c>
      <c r="C146" s="137">
        <v>8.8000000000000007</v>
      </c>
      <c r="D146" s="138" t="s">
        <v>352</v>
      </c>
      <c r="E146" s="162" t="s">
        <v>155</v>
      </c>
      <c r="F146" s="489" t="s">
        <v>2152</v>
      </c>
      <c r="G146" s="139" t="s">
        <v>586</v>
      </c>
      <c r="H146" s="137"/>
      <c r="I146" s="164" t="s">
        <v>185</v>
      </c>
      <c r="J146" s="200" t="s">
        <v>185</v>
      </c>
      <c r="K146" s="158" t="s">
        <v>185</v>
      </c>
      <c r="L146" s="158" t="s">
        <v>185</v>
      </c>
      <c r="M146" s="158"/>
      <c r="N146" s="222" t="s">
        <v>162</v>
      </c>
      <c r="O146" s="222" t="s">
        <v>162</v>
      </c>
      <c r="P146" s="222" t="s">
        <v>162</v>
      </c>
      <c r="Q146" s="222" t="s">
        <v>162</v>
      </c>
      <c r="R146" s="451"/>
      <c r="S146" s="222" t="s">
        <v>162</v>
      </c>
      <c r="T146" s="222" t="s">
        <v>162</v>
      </c>
      <c r="U146" s="258" t="s">
        <v>162</v>
      </c>
      <c r="V146" s="168"/>
      <c r="W146" s="158" t="s">
        <v>966</v>
      </c>
      <c r="X146" s="158" t="s">
        <v>185</v>
      </c>
      <c r="Y146" s="158" t="s">
        <v>185</v>
      </c>
      <c r="Z146" s="158"/>
      <c r="AA146" s="158" t="str">
        <f>IF(GCP_2[[#This Row],[Column14]]="-","", "v")</f>
        <v/>
      </c>
      <c r="AB146" s="158" t="str">
        <f>IF(GCP_2[[#This Row],[Column8]]="x","1",(IF(OR(GCP_2[[#This Row],[Column25]]=2,GCP_2[[#This Row],[Column26]]=2,GCP_2[[#This Row],[Column27]]=2),"1",(IF(GCP_2[[#This Row],[Column9]]="x","2",(IF(GCP_2[[#This Row],[Column10]]="x","3","")))))))</f>
        <v>2</v>
      </c>
      <c r="AC146" s="454" t="str">
        <f>IF(GCP_2[[#This Row],[Column14]] = "-", GCP_2[[#This Row],[Column14]], LEFT(GCP_2[[#This Row],[Column14]], SEARCH(" ", GCP_2[[#This Row],[Column14]] &amp; " ") - 1))</f>
        <v>-</v>
      </c>
    </row>
    <row r="147" spans="1:29" ht="409.5">
      <c r="A14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7" s="137" t="str">
        <f>GCP_2[[#This Row],[Column30]]</f>
        <v>6.2.8</v>
      </c>
      <c r="C147" s="137">
        <v>8.9</v>
      </c>
      <c r="D147" s="138" t="s">
        <v>390</v>
      </c>
      <c r="E147" s="162" t="s">
        <v>155</v>
      </c>
      <c r="F147" s="489" t="s">
        <v>2153</v>
      </c>
      <c r="G147" s="139" t="s">
        <v>588</v>
      </c>
      <c r="H147" s="137"/>
      <c r="I147" s="164" t="s">
        <v>185</v>
      </c>
      <c r="J147" s="200" t="s">
        <v>185</v>
      </c>
      <c r="K147" s="176" t="s">
        <v>185</v>
      </c>
      <c r="L147" s="176" t="s">
        <v>185</v>
      </c>
      <c r="M147" s="176" t="s">
        <v>185</v>
      </c>
      <c r="N147" s="222" t="s">
        <v>1434</v>
      </c>
      <c r="O147" s="212">
        <v>1</v>
      </c>
      <c r="P147" s="214" t="s">
        <v>1435</v>
      </c>
      <c r="Q147" s="214" t="s">
        <v>1436</v>
      </c>
      <c r="R147" s="451" t="s">
        <v>1437</v>
      </c>
      <c r="S147" s="214" t="s">
        <v>1438</v>
      </c>
      <c r="T147" s="214" t="s">
        <v>1439</v>
      </c>
      <c r="U147" s="158" t="s">
        <v>162</v>
      </c>
      <c r="V147" s="168" t="s">
        <v>1569</v>
      </c>
      <c r="W147" s="158" t="s">
        <v>967</v>
      </c>
      <c r="X147" s="158" t="s">
        <v>185</v>
      </c>
      <c r="Y147" s="158" t="s">
        <v>185</v>
      </c>
      <c r="Z147" s="158"/>
      <c r="AA147" s="158" t="str">
        <f>IF(GCP_2[[#This Row],[Column14]]="-","", "v")</f>
        <v>v</v>
      </c>
      <c r="AB147" s="158" t="str">
        <f>IF(GCP_2[[#This Row],[Column8]]="x","1",(IF(OR(GCP_2[[#This Row],[Column25]]=2,GCP_2[[#This Row],[Column26]]=2,GCP_2[[#This Row],[Column27]]=2),"1",(IF(GCP_2[[#This Row],[Column9]]="x","2",(IF(GCP_2[[#This Row],[Column10]]="x","3","")))))))</f>
        <v>2</v>
      </c>
      <c r="AC147" s="454" t="str">
        <f>IF(GCP_2[[#This Row],[Column14]] = "-", GCP_2[[#This Row],[Column14]], LEFT(GCP_2[[#This Row],[Column14]], SEARCH(" ", GCP_2[[#This Row],[Column14]] &amp; " ") - 1))</f>
        <v>6.2.8</v>
      </c>
    </row>
    <row r="148" spans="1:29" ht="15.75">
      <c r="A14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8" s="137" t="str">
        <f>GCP_2[[#This Row],[Column30]]</f>
        <v>-</v>
      </c>
      <c r="C148" s="140">
        <v>8.1</v>
      </c>
      <c r="D148" s="138" t="s">
        <v>390</v>
      </c>
      <c r="E148" s="162" t="s">
        <v>156</v>
      </c>
      <c r="F148" s="489" t="s">
        <v>2154</v>
      </c>
      <c r="G148" s="138" t="s">
        <v>590</v>
      </c>
      <c r="H148" s="137"/>
      <c r="I148" s="164" t="s">
        <v>185</v>
      </c>
      <c r="J148" s="200" t="s">
        <v>185</v>
      </c>
      <c r="K148" s="176" t="s">
        <v>185</v>
      </c>
      <c r="L148" s="176" t="s">
        <v>185</v>
      </c>
      <c r="M148" s="176" t="s">
        <v>185</v>
      </c>
      <c r="N148" s="222" t="s">
        <v>162</v>
      </c>
      <c r="O148" s="222" t="s">
        <v>162</v>
      </c>
      <c r="P148" s="222" t="s">
        <v>162</v>
      </c>
      <c r="Q148" s="222" t="s">
        <v>162</v>
      </c>
      <c r="R148" s="451"/>
      <c r="S148" s="222" t="s">
        <v>162</v>
      </c>
      <c r="T148" s="222" t="s">
        <v>162</v>
      </c>
      <c r="U148" s="258" t="s">
        <v>162</v>
      </c>
      <c r="V148" s="168"/>
      <c r="W148" s="158" t="s">
        <v>966</v>
      </c>
      <c r="X148" s="158" t="s">
        <v>185</v>
      </c>
      <c r="Y148" s="158" t="s">
        <v>185</v>
      </c>
      <c r="Z148" s="158"/>
      <c r="AA148" s="158" t="str">
        <f>IF(GCP_2[[#This Row],[Column14]]="-","", "v")</f>
        <v/>
      </c>
      <c r="AB148" s="158" t="str">
        <f>IF(GCP_2[[#This Row],[Column8]]="x","1",(IF(OR(GCP_2[[#This Row],[Column25]]=2,GCP_2[[#This Row],[Column26]]=2,GCP_2[[#This Row],[Column27]]=2),"1",(IF(GCP_2[[#This Row],[Column9]]="x","2",(IF(GCP_2[[#This Row],[Column10]]="x","3","")))))))</f>
        <v>2</v>
      </c>
      <c r="AC148" s="454" t="str">
        <f>IF(GCP_2[[#This Row],[Column14]] = "-", GCP_2[[#This Row],[Column14]], LEFT(GCP_2[[#This Row],[Column14]], SEARCH(" ", GCP_2[[#This Row],[Column14]] &amp; " ") - 1))</f>
        <v>-</v>
      </c>
    </row>
    <row r="149" spans="1:29" ht="409.5">
      <c r="A14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NOT(ISBLANK(K149)),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NOT(ISBLANK(L149)),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NOT(ISBLANK(M149)),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49" s="137" t="str">
        <f>GCP_2[[#This Row],[Column30]]</f>
        <v>2.1</v>
      </c>
      <c r="C149" s="137">
        <v>8.11</v>
      </c>
      <c r="D149" s="138" t="s">
        <v>390</v>
      </c>
      <c r="E149" s="162" t="s">
        <v>155</v>
      </c>
      <c r="F149" s="489" t="s">
        <v>2155</v>
      </c>
      <c r="G149" s="138" t="s">
        <v>592</v>
      </c>
      <c r="H149" s="137"/>
      <c r="I149" s="164" t="s">
        <v>185</v>
      </c>
      <c r="J149" s="200" t="s">
        <v>185</v>
      </c>
      <c r="K149" s="176" t="s">
        <v>185</v>
      </c>
      <c r="L149" s="176" t="s">
        <v>185</v>
      </c>
      <c r="M149" s="176" t="s">
        <v>185</v>
      </c>
      <c r="N149" s="222" t="s">
        <v>1311</v>
      </c>
      <c r="O149" s="212">
        <v>1</v>
      </c>
      <c r="P149" s="214" t="s">
        <v>1312</v>
      </c>
      <c r="Q149" s="214" t="s">
        <v>1313</v>
      </c>
      <c r="R149" s="451" t="s">
        <v>1314</v>
      </c>
      <c r="S149" s="214" t="s">
        <v>1315</v>
      </c>
      <c r="T149" s="214" t="s">
        <v>1316</v>
      </c>
      <c r="U149" s="158" t="s">
        <v>975</v>
      </c>
      <c r="V149" s="168" t="s">
        <v>1555</v>
      </c>
      <c r="W149" s="158" t="s">
        <v>966</v>
      </c>
      <c r="X149" s="158" t="s">
        <v>185</v>
      </c>
      <c r="Y149" s="158" t="s">
        <v>185</v>
      </c>
      <c r="Z149" s="158"/>
      <c r="AA149" s="158" t="str">
        <f>IF(GCP_2[[#This Row],[Column14]]="-","", "v")</f>
        <v>v</v>
      </c>
      <c r="AB149" s="158" t="str">
        <f>IF(GCP_2[[#This Row],[Column8]]="x","1",(IF(OR(GCP_2[[#This Row],[Column25]]=2,GCP_2[[#This Row],[Column26]]=2,GCP_2[[#This Row],[Column27]]=2),"1",(IF(GCP_2[[#This Row],[Column9]]="x","2",(IF(GCP_2[[#This Row],[Column10]]="x","3","")))))))</f>
        <v>2</v>
      </c>
      <c r="AC149" s="454" t="str">
        <f>IF(GCP_2[[#This Row],[Column14]] = "-", GCP_2[[#This Row],[Column14]], LEFT(GCP_2[[#This Row],[Column14]], SEARCH(" ", GCP_2[[#This Row],[Column14]] &amp; " ") - 1))</f>
        <v>2.1</v>
      </c>
    </row>
    <row r="150" spans="1:29" ht="409.5">
      <c r="A15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0" s="137" t="str">
        <f>GCP_2[[#This Row],[Column30]]</f>
        <v>2.12</v>
      </c>
      <c r="C150" s="137">
        <v>8.11</v>
      </c>
      <c r="D150" s="138" t="s">
        <v>390</v>
      </c>
      <c r="E150" s="162" t="s">
        <v>155</v>
      </c>
      <c r="F150" s="489" t="s">
        <v>2155</v>
      </c>
      <c r="G150" s="138" t="s">
        <v>592</v>
      </c>
      <c r="H150" s="137"/>
      <c r="I150" s="164" t="s">
        <v>185</v>
      </c>
      <c r="J150" s="200" t="s">
        <v>185</v>
      </c>
      <c r="K150" s="176" t="s">
        <v>185</v>
      </c>
      <c r="L150" s="176" t="s">
        <v>185</v>
      </c>
      <c r="M150" s="176" t="s">
        <v>185</v>
      </c>
      <c r="N150" s="222" t="s">
        <v>1371</v>
      </c>
      <c r="O150" s="212">
        <v>1</v>
      </c>
      <c r="P150" s="214" t="s">
        <v>1372</v>
      </c>
      <c r="Q150" s="214" t="s">
        <v>1373</v>
      </c>
      <c r="R150" s="451" t="s">
        <v>1374</v>
      </c>
      <c r="S150" s="214" t="s">
        <v>1375</v>
      </c>
      <c r="T150" s="214" t="s">
        <v>1376</v>
      </c>
      <c r="U150" s="258" t="s">
        <v>162</v>
      </c>
      <c r="V150" s="168" t="s">
        <v>1530</v>
      </c>
      <c r="W150" s="168" t="s">
        <v>967</v>
      </c>
      <c r="X150" s="158" t="s">
        <v>185</v>
      </c>
      <c r="Y150" s="158" t="s">
        <v>185</v>
      </c>
      <c r="Z150" s="158"/>
      <c r="AA150" s="158" t="str">
        <f>IF(GCP_2[[#This Row],[Column14]]="-","", "v")</f>
        <v>v</v>
      </c>
      <c r="AB150" s="158" t="str">
        <f>IF(GCP_2[[#This Row],[Column8]]="x","1",(IF(OR(GCP_2[[#This Row],[Column25]]=2,GCP_2[[#This Row],[Column26]]=2,GCP_2[[#This Row],[Column27]]=2),"1",(IF(GCP_2[[#This Row],[Column9]]="x","2",(IF(GCP_2[[#This Row],[Column10]]="x","3","")))))))</f>
        <v>2</v>
      </c>
      <c r="AC150" s="454" t="str">
        <f>IF(GCP_2[[#This Row],[Column14]] = "-", GCP_2[[#This Row],[Column14]], LEFT(GCP_2[[#This Row],[Column14]], SEARCH(" ", GCP_2[[#This Row],[Column14]] &amp; " ") - 1))</f>
        <v>2.12</v>
      </c>
    </row>
    <row r="151" spans="1:29" ht="45">
      <c r="A15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151" s="137" t="str">
        <f>GCP_2[[#This Row],[Column30]]</f>
        <v>-</v>
      </c>
      <c r="C151" s="137">
        <v>8.1199999999999992</v>
      </c>
      <c r="D151" s="138" t="s">
        <v>182</v>
      </c>
      <c r="E151" s="162" t="s">
        <v>155</v>
      </c>
      <c r="F151" s="489" t="s">
        <v>2156</v>
      </c>
      <c r="G151" s="139" t="s">
        <v>335</v>
      </c>
      <c r="H151" s="204"/>
      <c r="I151" s="204"/>
      <c r="J151" s="200" t="s">
        <v>185</v>
      </c>
      <c r="K151" s="176" t="s">
        <v>185</v>
      </c>
      <c r="L151" s="176" t="s">
        <v>185</v>
      </c>
      <c r="M151" s="176" t="s">
        <v>185</v>
      </c>
      <c r="N151" s="222" t="s">
        <v>162</v>
      </c>
      <c r="O151" s="222" t="s">
        <v>162</v>
      </c>
      <c r="P151" s="222" t="s">
        <v>162</v>
      </c>
      <c r="Q151" s="222" t="s">
        <v>162</v>
      </c>
      <c r="S151" s="222" t="s">
        <v>162</v>
      </c>
      <c r="T151" s="222" t="s">
        <v>162</v>
      </c>
      <c r="U151" s="258" t="s">
        <v>162</v>
      </c>
      <c r="V151" s="168"/>
      <c r="W151" s="158" t="s">
        <v>966</v>
      </c>
      <c r="X151" s="158" t="s">
        <v>185</v>
      </c>
      <c r="Y151" s="158" t="s">
        <v>185</v>
      </c>
      <c r="Z151" s="158"/>
      <c r="AA151" s="158" t="str">
        <f>IF(GCP_2[[#This Row],[Column14]]="-","", "v")</f>
        <v/>
      </c>
      <c r="AB151" s="158" t="str">
        <f>IF(GCP_2[[#This Row],[Column8]]="x","1",(IF(OR(GCP_2[[#This Row],[Column25]]=2,GCP_2[[#This Row],[Column26]]=2,GCP_2[[#This Row],[Column27]]=2),"1",(IF(GCP_2[[#This Row],[Column9]]="x","2",(IF(GCP_2[[#This Row],[Column10]]="x","3","")))))))</f>
        <v>3</v>
      </c>
      <c r="AC151" s="454" t="str">
        <f>IF(GCP_2[[#This Row],[Column14]] = "-", GCP_2[[#This Row],[Column14]], LEFT(GCP_2[[#This Row],[Column14]], SEARCH(" ", GCP_2[[#This Row],[Column14]] &amp; " ") - 1))</f>
        <v>-</v>
      </c>
    </row>
    <row r="152" spans="1:29" ht="45">
      <c r="A152" s="221" t="s">
        <v>942</v>
      </c>
      <c r="B152" s="217" t="s">
        <v>162</v>
      </c>
      <c r="C152" s="217" t="s">
        <v>162</v>
      </c>
      <c r="D152" s="218" t="s">
        <v>162</v>
      </c>
      <c r="E152" s="218" t="s">
        <v>162</v>
      </c>
      <c r="F152" s="488" t="s">
        <v>2157</v>
      </c>
      <c r="G152" s="220" t="s">
        <v>694</v>
      </c>
      <c r="H152" s="218" t="s">
        <v>162</v>
      </c>
      <c r="I152" s="218" t="s">
        <v>162</v>
      </c>
      <c r="J152" s="218" t="s">
        <v>162</v>
      </c>
      <c r="K152" s="218" t="s">
        <v>162</v>
      </c>
      <c r="L152" s="218" t="s">
        <v>162</v>
      </c>
      <c r="M152" s="218" t="s">
        <v>162</v>
      </c>
      <c r="N152" s="260" t="s">
        <v>162</v>
      </c>
      <c r="O152" s="218" t="s">
        <v>162</v>
      </c>
      <c r="P152" s="218" t="s">
        <v>162</v>
      </c>
      <c r="Q152" s="218" t="s">
        <v>162</v>
      </c>
      <c r="R152" s="167"/>
      <c r="S152" s="218" t="s">
        <v>162</v>
      </c>
      <c r="T152" s="218" t="s">
        <v>162</v>
      </c>
      <c r="U152" s="217" t="s">
        <v>162</v>
      </c>
      <c r="V152" s="217" t="s">
        <v>162</v>
      </c>
      <c r="W152" s="217" t="s">
        <v>162</v>
      </c>
      <c r="X152" s="217" t="s">
        <v>162</v>
      </c>
      <c r="Y152" s="217" t="s">
        <v>162</v>
      </c>
      <c r="Z152" s="217" t="s">
        <v>162</v>
      </c>
      <c r="AA152" s="218" t="s">
        <v>162</v>
      </c>
      <c r="AB152" s="218" t="s">
        <v>162</v>
      </c>
      <c r="AC152" s="454" t="str">
        <f>IF(GCP_2[[#This Row],[Column14]] = "-", GCP_2[[#This Row],[Column14]], LEFT(GCP_2[[#This Row],[Column14]], SEARCH(" ", GCP_2[[#This Row],[Column14]] &amp; " ") - 1))</f>
        <v>-</v>
      </c>
    </row>
    <row r="153" spans="1:29" ht="45">
      <c r="A15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3" s="137" t="str">
        <f>GCP_2[[#This Row],[Column30]]</f>
        <v>-</v>
      </c>
      <c r="C153" s="137">
        <v>9.1</v>
      </c>
      <c r="D153" s="138" t="s">
        <v>371</v>
      </c>
      <c r="E153" s="162" t="s">
        <v>156</v>
      </c>
      <c r="F153" s="489" t="s">
        <v>2158</v>
      </c>
      <c r="G153" s="138" t="s">
        <v>696</v>
      </c>
      <c r="H153" s="163" t="s">
        <v>185</v>
      </c>
      <c r="I153" s="164" t="s">
        <v>185</v>
      </c>
      <c r="J153" s="200" t="s">
        <v>185</v>
      </c>
      <c r="K153" s="176" t="s">
        <v>185</v>
      </c>
      <c r="L153" s="176" t="s">
        <v>185</v>
      </c>
      <c r="M153" s="176" t="s">
        <v>185</v>
      </c>
      <c r="N153" s="222" t="s">
        <v>162</v>
      </c>
      <c r="O153" s="222" t="s">
        <v>162</v>
      </c>
      <c r="P153" s="222" t="s">
        <v>162</v>
      </c>
      <c r="Q153" s="222" t="s">
        <v>162</v>
      </c>
      <c r="S153" s="222" t="s">
        <v>162</v>
      </c>
      <c r="T153" s="222" t="s">
        <v>162</v>
      </c>
      <c r="U153" s="258" t="s">
        <v>162</v>
      </c>
      <c r="V153" s="168"/>
      <c r="W153" s="158" t="s">
        <v>966</v>
      </c>
      <c r="X153" s="158" t="s">
        <v>185</v>
      </c>
      <c r="Y153" s="158"/>
      <c r="Z153" s="158" t="s">
        <v>185</v>
      </c>
      <c r="AA153" s="158" t="str">
        <f>IF(GCP_2[[#This Row],[Column14]]="-","", "v")</f>
        <v/>
      </c>
      <c r="AB153" s="158" t="str">
        <f>IF(GCP_2[[#This Row],[Column8]]="x","1",(IF(OR(GCP_2[[#This Row],[Column25]]=2,GCP_2[[#This Row],[Column26]]=2,GCP_2[[#This Row],[Column27]]=2),"1",(IF(GCP_2[[#This Row],[Column9]]="x","2",(IF(GCP_2[[#This Row],[Column10]]="x","3","")))))))</f>
        <v>1</v>
      </c>
      <c r="AC153" s="454" t="str">
        <f>IF(GCP_2[[#This Row],[Column14]] = "-", GCP_2[[#This Row],[Column14]], LEFT(GCP_2[[#This Row],[Column14]], SEARCH(" ", GCP_2[[#This Row],[Column14]] &amp; " ") - 1))</f>
        <v>-</v>
      </c>
    </row>
    <row r="154" spans="1:29" ht="30">
      <c r="A15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4" s="137" t="str">
        <f>GCP_2[[#This Row],[Column30]]</f>
        <v>-</v>
      </c>
      <c r="C154" s="137">
        <v>9.1999999999999993</v>
      </c>
      <c r="D154" s="138" t="s">
        <v>390</v>
      </c>
      <c r="E154" s="162" t="s">
        <v>156</v>
      </c>
      <c r="F154" s="489" t="s">
        <v>2159</v>
      </c>
      <c r="G154" s="138" t="s">
        <v>698</v>
      </c>
      <c r="H154" s="163" t="s">
        <v>185</v>
      </c>
      <c r="I154" s="164" t="s">
        <v>185</v>
      </c>
      <c r="J154" s="200" t="s">
        <v>185</v>
      </c>
      <c r="K154" s="176" t="s">
        <v>185</v>
      </c>
      <c r="L154" s="176" t="s">
        <v>185</v>
      </c>
      <c r="M154" s="176"/>
      <c r="N154" s="222" t="s">
        <v>162</v>
      </c>
      <c r="O154" s="222" t="s">
        <v>162</v>
      </c>
      <c r="P154" s="222" t="s">
        <v>162</v>
      </c>
      <c r="Q154" s="222" t="s">
        <v>162</v>
      </c>
      <c r="S154" s="222" t="s">
        <v>162</v>
      </c>
      <c r="T154" s="222" t="s">
        <v>162</v>
      </c>
      <c r="U154" s="258" t="s">
        <v>162</v>
      </c>
      <c r="V154" s="168"/>
      <c r="W154" s="158" t="s">
        <v>966</v>
      </c>
      <c r="X154" s="158" t="s">
        <v>185</v>
      </c>
      <c r="Y154" s="158"/>
      <c r="Z154" s="158" t="s">
        <v>185</v>
      </c>
      <c r="AA154" s="158" t="str">
        <f>IF(GCP_2[[#This Row],[Column14]]="-","", "v")</f>
        <v/>
      </c>
      <c r="AB154" s="158" t="str">
        <f>IF(GCP_2[[#This Row],[Column8]]="x","1",(IF(OR(GCP_2[[#This Row],[Column25]]=2,GCP_2[[#This Row],[Column26]]=2,GCP_2[[#This Row],[Column27]]=2),"1",(IF(GCP_2[[#This Row],[Column9]]="x","2",(IF(GCP_2[[#This Row],[Column10]]="x","3","")))))))</f>
        <v>1</v>
      </c>
      <c r="AC154" s="454" t="str">
        <f>IF(GCP_2[[#This Row],[Column14]] = "-", GCP_2[[#This Row],[Column14]], LEFT(GCP_2[[#This Row],[Column14]], SEARCH(" ", GCP_2[[#This Row],[Column14]] &amp; " ") - 1))</f>
        <v>-</v>
      </c>
    </row>
    <row r="155" spans="1:29" ht="60">
      <c r="A15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5" s="137" t="str">
        <f>GCP_2[[#This Row],[Column30]]</f>
        <v>-</v>
      </c>
      <c r="C155" s="137">
        <v>9.3000000000000007</v>
      </c>
      <c r="D155" s="138" t="s">
        <v>390</v>
      </c>
      <c r="E155" s="162" t="s">
        <v>156</v>
      </c>
      <c r="F155" s="489" t="s">
        <v>2160</v>
      </c>
      <c r="G155" s="138" t="s">
        <v>700</v>
      </c>
      <c r="H155" s="204"/>
      <c r="I155" s="164" t="s">
        <v>185</v>
      </c>
      <c r="J155" s="200" t="s">
        <v>185</v>
      </c>
      <c r="K155" s="176" t="s">
        <v>185</v>
      </c>
      <c r="L155" s="176" t="s">
        <v>185</v>
      </c>
      <c r="M155" s="176"/>
      <c r="N155" s="222" t="s">
        <v>162</v>
      </c>
      <c r="O155" s="222" t="s">
        <v>162</v>
      </c>
      <c r="P155" s="222" t="s">
        <v>162</v>
      </c>
      <c r="Q155" s="222" t="s">
        <v>162</v>
      </c>
      <c r="S155" s="222" t="s">
        <v>162</v>
      </c>
      <c r="T155" s="222" t="s">
        <v>162</v>
      </c>
      <c r="U155" s="258" t="s">
        <v>162</v>
      </c>
      <c r="V155" s="168"/>
      <c r="W155" s="158" t="s">
        <v>966</v>
      </c>
      <c r="X155" s="158" t="s">
        <v>185</v>
      </c>
      <c r="Y155" s="158"/>
      <c r="Z155" s="158" t="s">
        <v>185</v>
      </c>
      <c r="AA155" s="158" t="str">
        <f>IF(GCP_2[[#This Row],[Column14]]="-","", "v")</f>
        <v/>
      </c>
      <c r="AB155" s="158" t="str">
        <f>IF(GCP_2[[#This Row],[Column8]]="x","1",(IF(OR(GCP_2[[#This Row],[Column25]]=2,GCP_2[[#This Row],[Column26]]=2,GCP_2[[#This Row],[Column27]]=2),"1",(IF(GCP_2[[#This Row],[Column9]]="x","2",(IF(GCP_2[[#This Row],[Column10]]="x","3","")))))))</f>
        <v>2</v>
      </c>
      <c r="AC155" s="454" t="str">
        <f>IF(GCP_2[[#This Row],[Column14]] = "-", GCP_2[[#This Row],[Column14]], LEFT(GCP_2[[#This Row],[Column14]], SEARCH(" ", GCP_2[[#This Row],[Column14]] &amp; " ") - 1))</f>
        <v>-</v>
      </c>
    </row>
    <row r="156" spans="1:29" ht="30">
      <c r="A15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6" s="137" t="str">
        <f>GCP_2[[#This Row],[Column30]]</f>
        <v>-</v>
      </c>
      <c r="C156" s="137">
        <v>9.4</v>
      </c>
      <c r="D156" s="138" t="s">
        <v>371</v>
      </c>
      <c r="E156" s="162" t="s">
        <v>156</v>
      </c>
      <c r="F156" s="489" t="s">
        <v>2161</v>
      </c>
      <c r="G156" s="138" t="s">
        <v>702</v>
      </c>
      <c r="H156" s="137"/>
      <c r="I156" s="164" t="s">
        <v>185</v>
      </c>
      <c r="J156" s="200" t="s">
        <v>185</v>
      </c>
      <c r="K156" s="176" t="s">
        <v>185</v>
      </c>
      <c r="L156" s="176" t="s">
        <v>185</v>
      </c>
      <c r="M156" s="176" t="s">
        <v>185</v>
      </c>
      <c r="N156" s="222" t="s">
        <v>162</v>
      </c>
      <c r="O156" s="222" t="s">
        <v>162</v>
      </c>
      <c r="P156" s="222" t="s">
        <v>162</v>
      </c>
      <c r="Q156" s="222" t="s">
        <v>162</v>
      </c>
      <c r="S156" s="222" t="s">
        <v>162</v>
      </c>
      <c r="T156" s="222" t="s">
        <v>162</v>
      </c>
      <c r="U156" s="258" t="s">
        <v>162</v>
      </c>
      <c r="V156" s="168"/>
      <c r="W156" s="158" t="s">
        <v>966</v>
      </c>
      <c r="X156" s="158" t="s">
        <v>185</v>
      </c>
      <c r="Y156" s="158"/>
      <c r="Z156" s="158" t="s">
        <v>185</v>
      </c>
      <c r="AA156" s="158" t="str">
        <f>IF(GCP_2[[#This Row],[Column14]]="-","", "v")</f>
        <v/>
      </c>
      <c r="AB156" s="158" t="str">
        <f>IF(GCP_2[[#This Row],[Column8]]="x","1",(IF(OR(GCP_2[[#This Row],[Column25]]=2,GCP_2[[#This Row],[Column26]]=2,GCP_2[[#This Row],[Column27]]=2),"1",(IF(GCP_2[[#This Row],[Column9]]="x","2",(IF(GCP_2[[#This Row],[Column10]]="x","3","")))))))</f>
        <v>2</v>
      </c>
      <c r="AC156" s="454" t="str">
        <f>IF(GCP_2[[#This Row],[Column14]] = "-", GCP_2[[#This Row],[Column14]], LEFT(GCP_2[[#This Row],[Column14]], SEARCH(" ", GCP_2[[#This Row],[Column14]] &amp; " ") - 1))</f>
        <v>-</v>
      </c>
    </row>
    <row r="157" spans="1:29" ht="45">
      <c r="A15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7" s="137" t="str">
        <f>GCP_2[[#This Row],[Column30]]</f>
        <v>-</v>
      </c>
      <c r="C157" s="137">
        <v>9.5</v>
      </c>
      <c r="D157" s="138" t="s">
        <v>390</v>
      </c>
      <c r="E157" s="162" t="s">
        <v>156</v>
      </c>
      <c r="F157" s="489" t="s">
        <v>2162</v>
      </c>
      <c r="G157" s="138" t="s">
        <v>704</v>
      </c>
      <c r="H157" s="137"/>
      <c r="I157" s="164" t="s">
        <v>185</v>
      </c>
      <c r="J157" s="200" t="s">
        <v>185</v>
      </c>
      <c r="K157" s="176" t="s">
        <v>185</v>
      </c>
      <c r="L157" s="176" t="s">
        <v>185</v>
      </c>
      <c r="M157" s="176" t="s">
        <v>185</v>
      </c>
      <c r="N157" s="222" t="s">
        <v>162</v>
      </c>
      <c r="O157" s="222" t="s">
        <v>162</v>
      </c>
      <c r="P157" s="222" t="s">
        <v>162</v>
      </c>
      <c r="Q157" s="222" t="s">
        <v>162</v>
      </c>
      <c r="S157" s="222" t="s">
        <v>162</v>
      </c>
      <c r="T157" s="222" t="s">
        <v>162</v>
      </c>
      <c r="U157" s="258" t="s">
        <v>162</v>
      </c>
      <c r="V157" s="168"/>
      <c r="W157" s="158" t="s">
        <v>966</v>
      </c>
      <c r="X157" s="158" t="s">
        <v>185</v>
      </c>
      <c r="Y157" s="158"/>
      <c r="Z157" s="158" t="s">
        <v>185</v>
      </c>
      <c r="AA157" s="158" t="str">
        <f>IF(GCP_2[[#This Row],[Column14]]="-","", "v")</f>
        <v/>
      </c>
      <c r="AB157" s="158" t="str">
        <f>IF(GCP_2[[#This Row],[Column8]]="x","1",(IF(OR(GCP_2[[#This Row],[Column25]]=2,GCP_2[[#This Row],[Column26]]=2,GCP_2[[#This Row],[Column27]]=2),"1",(IF(GCP_2[[#This Row],[Column9]]="x","2",(IF(GCP_2[[#This Row],[Column10]]="x","3","")))))))</f>
        <v>2</v>
      </c>
      <c r="AC157" s="454" t="str">
        <f>IF(GCP_2[[#This Row],[Column14]] = "-", GCP_2[[#This Row],[Column14]], LEFT(GCP_2[[#This Row],[Column14]], SEARCH(" ", GCP_2[[#This Row],[Column14]] &amp; " ") - 1))</f>
        <v>-</v>
      </c>
    </row>
    <row r="158" spans="1:29" ht="15.75">
      <c r="A15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8" s="137" t="str">
        <f>GCP_2[[#This Row],[Column30]]</f>
        <v>-</v>
      </c>
      <c r="C158" s="137">
        <v>9.6</v>
      </c>
      <c r="D158" s="138" t="s">
        <v>390</v>
      </c>
      <c r="E158" s="162" t="s">
        <v>156</v>
      </c>
      <c r="F158" s="489" t="s">
        <v>2163</v>
      </c>
      <c r="G158" s="138" t="s">
        <v>706</v>
      </c>
      <c r="H158" s="137"/>
      <c r="I158" s="164" t="s">
        <v>185</v>
      </c>
      <c r="J158" s="200" t="s">
        <v>185</v>
      </c>
      <c r="K158" s="176" t="s">
        <v>185</v>
      </c>
      <c r="L158" s="176" t="s">
        <v>185</v>
      </c>
      <c r="M158" s="176" t="s">
        <v>185</v>
      </c>
      <c r="N158" s="222" t="s">
        <v>162</v>
      </c>
      <c r="O158" s="222" t="s">
        <v>162</v>
      </c>
      <c r="P158" s="222" t="s">
        <v>162</v>
      </c>
      <c r="Q158" s="222" t="s">
        <v>162</v>
      </c>
      <c r="S158" s="222" t="s">
        <v>162</v>
      </c>
      <c r="T158" s="222" t="s">
        <v>162</v>
      </c>
      <c r="U158" s="258" t="s">
        <v>162</v>
      </c>
      <c r="V158" s="168"/>
      <c r="W158" s="158" t="s">
        <v>966</v>
      </c>
      <c r="X158" s="158" t="s">
        <v>185</v>
      </c>
      <c r="Y158" s="158"/>
      <c r="Z158" s="158" t="s">
        <v>185</v>
      </c>
      <c r="AA158" s="158" t="str">
        <f>IF(GCP_2[[#This Row],[Column14]]="-","", "v")</f>
        <v/>
      </c>
      <c r="AB158" s="158" t="str">
        <f>IF(GCP_2[[#This Row],[Column8]]="x","1",(IF(OR(GCP_2[[#This Row],[Column25]]=2,GCP_2[[#This Row],[Column26]]=2,GCP_2[[#This Row],[Column27]]=2),"1",(IF(GCP_2[[#This Row],[Column9]]="x","2",(IF(GCP_2[[#This Row],[Column10]]="x","3","")))))))</f>
        <v>2</v>
      </c>
      <c r="AC158" s="454" t="str">
        <f>IF(GCP_2[[#This Row],[Column14]] = "-", GCP_2[[#This Row],[Column14]], LEFT(GCP_2[[#This Row],[Column14]], SEARCH(" ", GCP_2[[#This Row],[Column14]] &amp; " ") - 1))</f>
        <v>-</v>
      </c>
    </row>
    <row r="159" spans="1:29" ht="30">
      <c r="A15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NOT(ISBLANK(K159)),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NOT(ISBLANK(L159)),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NOT(ISBLANK(M159)),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59" s="137" t="str">
        <f>GCP_2[[#This Row],[Column30]]</f>
        <v>-</v>
      </c>
      <c r="C159" s="137">
        <v>9.6999999999999993</v>
      </c>
      <c r="D159" s="138" t="s">
        <v>390</v>
      </c>
      <c r="E159" s="162" t="s">
        <v>156</v>
      </c>
      <c r="F159" s="489" t="s">
        <v>2164</v>
      </c>
      <c r="G159" s="138" t="s">
        <v>708</v>
      </c>
      <c r="H159" s="137"/>
      <c r="I159" s="137"/>
      <c r="J159" s="200" t="s">
        <v>185</v>
      </c>
      <c r="K159" s="176" t="s">
        <v>185</v>
      </c>
      <c r="L159" s="176" t="s">
        <v>185</v>
      </c>
      <c r="M159" s="176" t="s">
        <v>185</v>
      </c>
      <c r="N159" s="222" t="s">
        <v>162</v>
      </c>
      <c r="O159" s="222" t="s">
        <v>162</v>
      </c>
      <c r="P159" s="222" t="s">
        <v>162</v>
      </c>
      <c r="Q159" s="222" t="s">
        <v>162</v>
      </c>
      <c r="S159" s="222" t="s">
        <v>162</v>
      </c>
      <c r="T159" s="222" t="s">
        <v>162</v>
      </c>
      <c r="U159" s="258" t="s">
        <v>162</v>
      </c>
      <c r="V159" s="168"/>
      <c r="W159" s="158" t="s">
        <v>966</v>
      </c>
      <c r="X159" s="158" t="s">
        <v>185</v>
      </c>
      <c r="Y159" s="158"/>
      <c r="Z159" s="158" t="s">
        <v>185</v>
      </c>
      <c r="AA159" s="158" t="str">
        <f>IF(GCP_2[[#This Row],[Column14]]="-","", "v")</f>
        <v/>
      </c>
      <c r="AB159" s="158" t="str">
        <f>IF(GCP_2[[#This Row],[Column8]]="x","1",(IF(OR(GCP_2[[#This Row],[Column25]]=2,GCP_2[[#This Row],[Column26]]=2,GCP_2[[#This Row],[Column27]]=2),"1",(IF(GCP_2[[#This Row],[Column9]]="x","2",(IF(GCP_2[[#This Row],[Column10]]="x","3","")))))))</f>
        <v>3</v>
      </c>
      <c r="AC159" s="454" t="str">
        <f>IF(GCP_2[[#This Row],[Column14]] = "-", GCP_2[[#This Row],[Column14]], LEFT(GCP_2[[#This Row],[Column14]], SEARCH(" ", GCP_2[[#This Row],[Column14]] &amp; " ") - 1))</f>
        <v>-</v>
      </c>
    </row>
    <row r="160" spans="1:29" ht="30">
      <c r="A160" s="221" t="s">
        <v>942</v>
      </c>
      <c r="B160" s="217" t="s">
        <v>162</v>
      </c>
      <c r="C160" s="217" t="s">
        <v>162</v>
      </c>
      <c r="D160" s="218" t="s">
        <v>162</v>
      </c>
      <c r="E160" s="218" t="s">
        <v>162</v>
      </c>
      <c r="F160" s="488" t="s">
        <v>2165</v>
      </c>
      <c r="G160" s="220" t="s">
        <v>710</v>
      </c>
      <c r="H160" s="218" t="s">
        <v>162</v>
      </c>
      <c r="I160" s="218" t="s">
        <v>162</v>
      </c>
      <c r="J160" s="218" t="s">
        <v>162</v>
      </c>
      <c r="K160" s="218" t="s">
        <v>162</v>
      </c>
      <c r="L160" s="218" t="s">
        <v>162</v>
      </c>
      <c r="M160" s="218" t="s">
        <v>162</v>
      </c>
      <c r="N160" s="260" t="s">
        <v>162</v>
      </c>
      <c r="O160" s="218" t="s">
        <v>162</v>
      </c>
      <c r="P160" s="218" t="s">
        <v>162</v>
      </c>
      <c r="Q160" s="218" t="s">
        <v>162</v>
      </c>
      <c r="R160" s="167"/>
      <c r="S160" s="218" t="s">
        <v>162</v>
      </c>
      <c r="T160" s="218" t="s">
        <v>162</v>
      </c>
      <c r="U160" s="217" t="s">
        <v>162</v>
      </c>
      <c r="V160" s="217" t="s">
        <v>162</v>
      </c>
      <c r="W160" s="217" t="s">
        <v>162</v>
      </c>
      <c r="X160" s="217" t="s">
        <v>162</v>
      </c>
      <c r="Y160" s="217" t="s">
        <v>162</v>
      </c>
      <c r="Z160" s="217" t="s">
        <v>162</v>
      </c>
      <c r="AA160" s="218" t="s">
        <v>162</v>
      </c>
      <c r="AB160" s="218" t="s">
        <v>162</v>
      </c>
      <c r="AC160" s="454" t="str">
        <f>IF(GCP_2[[#This Row],[Column14]] = "-", GCP_2[[#This Row],[Column14]], LEFT(GCP_2[[#This Row],[Column14]], SEARCH(" ", GCP_2[[#This Row],[Column14]] &amp; " ") - 1))</f>
        <v>-</v>
      </c>
    </row>
    <row r="161" spans="1:29" ht="15.75">
      <c r="A16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1" s="137" t="str">
        <f>GCP_2[[#This Row],[Column30]]</f>
        <v>-</v>
      </c>
      <c r="C161" s="137">
        <v>10.1</v>
      </c>
      <c r="D161" s="138" t="s">
        <v>352</v>
      </c>
      <c r="E161" s="162" t="s">
        <v>156</v>
      </c>
      <c r="F161" s="489" t="s">
        <v>2166</v>
      </c>
      <c r="G161" s="138" t="s">
        <v>712</v>
      </c>
      <c r="H161" s="163" t="s">
        <v>185</v>
      </c>
      <c r="I161" s="164" t="s">
        <v>185</v>
      </c>
      <c r="J161" s="200" t="s">
        <v>185</v>
      </c>
      <c r="K161" s="176" t="s">
        <v>185</v>
      </c>
      <c r="L161" s="176" t="s">
        <v>185</v>
      </c>
      <c r="M161" s="158"/>
      <c r="N161" s="222" t="s">
        <v>162</v>
      </c>
      <c r="O161" s="222" t="s">
        <v>162</v>
      </c>
      <c r="P161" s="222" t="s">
        <v>162</v>
      </c>
      <c r="Q161" s="222" t="s">
        <v>162</v>
      </c>
      <c r="S161" s="222" t="s">
        <v>162</v>
      </c>
      <c r="T161" s="222" t="s">
        <v>162</v>
      </c>
      <c r="U161" s="258" t="s">
        <v>162</v>
      </c>
      <c r="V161" s="168"/>
      <c r="W161" s="158" t="s">
        <v>966</v>
      </c>
      <c r="X161" s="158" t="s">
        <v>185</v>
      </c>
      <c r="Y161" s="158" t="s">
        <v>185</v>
      </c>
      <c r="Z161" s="158" t="s">
        <v>185</v>
      </c>
      <c r="AA161" s="158" t="str">
        <f>IF(GCP_2[[#This Row],[Column14]]="-","", "v")</f>
        <v/>
      </c>
      <c r="AB161" s="158" t="str">
        <f>IF(GCP_2[[#This Row],[Column8]]="x","1",(IF(OR(GCP_2[[#This Row],[Column25]]=2,GCP_2[[#This Row],[Column26]]=2,GCP_2[[#This Row],[Column27]]=2),"1",(IF(GCP_2[[#This Row],[Column9]]="x","2",(IF(GCP_2[[#This Row],[Column10]]="x","3","")))))))</f>
        <v>1</v>
      </c>
      <c r="AC161" s="454" t="str">
        <f>IF(GCP_2[[#This Row],[Column14]] = "-", GCP_2[[#This Row],[Column14]], LEFT(GCP_2[[#This Row],[Column14]], SEARCH(" ", GCP_2[[#This Row],[Column14]] &amp; " ") - 1))</f>
        <v>-</v>
      </c>
    </row>
    <row r="162" spans="1:29" ht="30">
      <c r="A16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2" s="137" t="str">
        <f>GCP_2[[#This Row],[Column30]]</f>
        <v>-</v>
      </c>
      <c r="C162" s="137">
        <v>10.199999999999999</v>
      </c>
      <c r="D162" s="138" t="s">
        <v>352</v>
      </c>
      <c r="E162" s="162" t="s">
        <v>156</v>
      </c>
      <c r="F162" s="489" t="s">
        <v>2167</v>
      </c>
      <c r="G162" s="138" t="s">
        <v>714</v>
      </c>
      <c r="H162" s="163" t="s">
        <v>185</v>
      </c>
      <c r="I162" s="164" t="s">
        <v>185</v>
      </c>
      <c r="J162" s="200" t="s">
        <v>185</v>
      </c>
      <c r="K162" s="176" t="s">
        <v>185</v>
      </c>
      <c r="L162" s="176" t="s">
        <v>185</v>
      </c>
      <c r="M162" s="158"/>
      <c r="N162" s="222" t="s">
        <v>162</v>
      </c>
      <c r="O162" s="222" t="s">
        <v>162</v>
      </c>
      <c r="P162" s="222" t="s">
        <v>162</v>
      </c>
      <c r="Q162" s="222" t="s">
        <v>162</v>
      </c>
      <c r="S162" s="222" t="s">
        <v>162</v>
      </c>
      <c r="T162" s="222" t="s">
        <v>162</v>
      </c>
      <c r="U162" s="258" t="s">
        <v>162</v>
      </c>
      <c r="V162" s="168"/>
      <c r="W162" s="158" t="s">
        <v>966</v>
      </c>
      <c r="X162" s="158" t="s">
        <v>185</v>
      </c>
      <c r="Y162" s="158" t="s">
        <v>185</v>
      </c>
      <c r="Z162" s="158" t="s">
        <v>185</v>
      </c>
      <c r="AA162" s="158" t="str">
        <f>IF(GCP_2[[#This Row],[Column14]]="-","", "v")</f>
        <v/>
      </c>
      <c r="AB162" s="158" t="str">
        <f>IF(GCP_2[[#This Row],[Column8]]="x","1",(IF(OR(GCP_2[[#This Row],[Column25]]=2,GCP_2[[#This Row],[Column26]]=2,GCP_2[[#This Row],[Column27]]=2),"1",(IF(GCP_2[[#This Row],[Column9]]="x","2",(IF(GCP_2[[#This Row],[Column10]]="x","3","")))))))</f>
        <v>1</v>
      </c>
      <c r="AC162" s="454" t="str">
        <f>IF(GCP_2[[#This Row],[Column14]] = "-", GCP_2[[#This Row],[Column14]], LEFT(GCP_2[[#This Row],[Column14]], SEARCH(" ", GCP_2[[#This Row],[Column14]] &amp; " ") - 1))</f>
        <v>-</v>
      </c>
    </row>
    <row r="163" spans="1:29" ht="15.75">
      <c r="A16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3" s="137" t="str">
        <f>GCP_2[[#This Row],[Column30]]</f>
        <v>-</v>
      </c>
      <c r="C163" s="137">
        <v>10.3</v>
      </c>
      <c r="D163" s="138" t="s">
        <v>352</v>
      </c>
      <c r="E163" s="162" t="s">
        <v>156</v>
      </c>
      <c r="F163" s="489" t="s">
        <v>2168</v>
      </c>
      <c r="G163" s="138" t="s">
        <v>716</v>
      </c>
      <c r="H163" s="163" t="s">
        <v>185</v>
      </c>
      <c r="I163" s="164" t="s">
        <v>185</v>
      </c>
      <c r="J163" s="200" t="s">
        <v>185</v>
      </c>
      <c r="K163" s="176" t="s">
        <v>185</v>
      </c>
      <c r="L163" s="176"/>
      <c r="M163" s="158"/>
      <c r="N163" s="222" t="s">
        <v>162</v>
      </c>
      <c r="O163" s="222" t="s">
        <v>162</v>
      </c>
      <c r="P163" s="222" t="s">
        <v>162</v>
      </c>
      <c r="Q163" s="222" t="s">
        <v>162</v>
      </c>
      <c r="S163" s="222" t="s">
        <v>162</v>
      </c>
      <c r="T163" s="222" t="s">
        <v>162</v>
      </c>
      <c r="U163" s="258" t="s">
        <v>162</v>
      </c>
      <c r="V163" s="168"/>
      <c r="W163" s="158" t="s">
        <v>966</v>
      </c>
      <c r="X163" s="158" t="s">
        <v>185</v>
      </c>
      <c r="Y163" s="158" t="s">
        <v>185</v>
      </c>
      <c r="Z163" s="158" t="s">
        <v>185</v>
      </c>
      <c r="AA163" s="158" t="str">
        <f>IF(GCP_2[[#This Row],[Column14]]="-","", "v")</f>
        <v/>
      </c>
      <c r="AB163" s="158" t="str">
        <f>IF(GCP_2[[#This Row],[Column8]]="x","1",(IF(OR(GCP_2[[#This Row],[Column25]]=2,GCP_2[[#This Row],[Column26]]=2,GCP_2[[#This Row],[Column27]]=2),"1",(IF(GCP_2[[#This Row],[Column9]]="x","2",(IF(GCP_2[[#This Row],[Column10]]="x","3","")))))))</f>
        <v>1</v>
      </c>
      <c r="AC163" s="454" t="str">
        <f>IF(GCP_2[[#This Row],[Column14]] = "-", GCP_2[[#This Row],[Column14]], LEFT(GCP_2[[#This Row],[Column14]], SEARCH(" ", GCP_2[[#This Row],[Column14]] &amp; " ") - 1))</f>
        <v>-</v>
      </c>
    </row>
    <row r="164" spans="1:29" ht="15.75">
      <c r="A16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4" s="137" t="str">
        <f>GCP_2[[#This Row],[Column30]]</f>
        <v>-</v>
      </c>
      <c r="C164" s="137">
        <v>10.4</v>
      </c>
      <c r="D164" s="138" t="s">
        <v>352</v>
      </c>
      <c r="E164" s="162" t="s">
        <v>155</v>
      </c>
      <c r="F164" s="489" t="s">
        <v>2169</v>
      </c>
      <c r="G164" s="138" t="s">
        <v>718</v>
      </c>
      <c r="H164" s="204"/>
      <c r="I164" s="164" t="s">
        <v>185</v>
      </c>
      <c r="J164" s="200" t="s">
        <v>185</v>
      </c>
      <c r="K164" s="176" t="s">
        <v>185</v>
      </c>
      <c r="L164" s="176"/>
      <c r="M164" s="158"/>
      <c r="N164" s="222" t="s">
        <v>162</v>
      </c>
      <c r="O164" s="222" t="s">
        <v>162</v>
      </c>
      <c r="P164" s="222" t="s">
        <v>162</v>
      </c>
      <c r="Q164" s="222" t="s">
        <v>162</v>
      </c>
      <c r="S164" s="222" t="s">
        <v>162</v>
      </c>
      <c r="T164" s="222" t="s">
        <v>162</v>
      </c>
      <c r="U164" s="258" t="s">
        <v>162</v>
      </c>
      <c r="V164" s="168"/>
      <c r="W164" s="158" t="s">
        <v>966</v>
      </c>
      <c r="X164" s="158" t="s">
        <v>185</v>
      </c>
      <c r="Y164" s="158" t="s">
        <v>185</v>
      </c>
      <c r="Z164" s="158" t="s">
        <v>185</v>
      </c>
      <c r="AA164" s="158" t="str">
        <f>IF(GCP_2[[#This Row],[Column14]]="-","", "v")</f>
        <v/>
      </c>
      <c r="AB164" s="158" t="str">
        <f>IF(GCP_2[[#This Row],[Column8]]="x","1",(IF(OR(GCP_2[[#This Row],[Column25]]=2,GCP_2[[#This Row],[Column26]]=2,GCP_2[[#This Row],[Column27]]=2),"1",(IF(GCP_2[[#This Row],[Column9]]="x","2",(IF(GCP_2[[#This Row],[Column10]]="x","3","")))))))</f>
        <v>2</v>
      </c>
      <c r="AC164" s="454" t="str">
        <f>IF(GCP_2[[#This Row],[Column14]] = "-", GCP_2[[#This Row],[Column14]], LEFT(GCP_2[[#This Row],[Column14]], SEARCH(" ", GCP_2[[#This Row],[Column14]] &amp; " ") - 1))</f>
        <v>-</v>
      </c>
    </row>
    <row r="165" spans="1:29" ht="60">
      <c r="A16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5" s="137" t="str">
        <f>GCP_2[[#This Row],[Column30]]</f>
        <v>-</v>
      </c>
      <c r="C165" s="137">
        <v>10.5</v>
      </c>
      <c r="D165" s="138" t="s">
        <v>352</v>
      </c>
      <c r="E165" s="162" t="s">
        <v>156</v>
      </c>
      <c r="F165" s="489" t="s">
        <v>2170</v>
      </c>
      <c r="G165" s="139" t="s">
        <v>720</v>
      </c>
      <c r="H165" s="204"/>
      <c r="I165" s="164" t="s">
        <v>185</v>
      </c>
      <c r="J165" s="200" t="s">
        <v>185</v>
      </c>
      <c r="K165" s="176" t="s">
        <v>185</v>
      </c>
      <c r="L165" s="176" t="s">
        <v>185</v>
      </c>
      <c r="M165" s="158"/>
      <c r="N165" s="222" t="s">
        <v>162</v>
      </c>
      <c r="O165" s="222" t="s">
        <v>162</v>
      </c>
      <c r="P165" s="222" t="s">
        <v>162</v>
      </c>
      <c r="Q165" s="222" t="s">
        <v>162</v>
      </c>
      <c r="S165" s="222" t="s">
        <v>162</v>
      </c>
      <c r="T165" s="222" t="s">
        <v>162</v>
      </c>
      <c r="U165" s="258" t="s">
        <v>162</v>
      </c>
      <c r="V165" s="168"/>
      <c r="W165" s="158" t="s">
        <v>966</v>
      </c>
      <c r="X165" s="158" t="s">
        <v>185</v>
      </c>
      <c r="Y165" s="158" t="s">
        <v>185</v>
      </c>
      <c r="Z165" s="158" t="s">
        <v>185</v>
      </c>
      <c r="AA165" s="158" t="str">
        <f>IF(GCP_2[[#This Row],[Column14]]="-","", "v")</f>
        <v/>
      </c>
      <c r="AB165" s="158" t="str">
        <f>IF(GCP_2[[#This Row],[Column8]]="x","1",(IF(OR(GCP_2[[#This Row],[Column25]]=2,GCP_2[[#This Row],[Column26]]=2,GCP_2[[#This Row],[Column27]]=2),"1",(IF(GCP_2[[#This Row],[Column9]]="x","2",(IF(GCP_2[[#This Row],[Column10]]="x","3","")))))))</f>
        <v>2</v>
      </c>
      <c r="AC165" s="454" t="str">
        <f>IF(GCP_2[[#This Row],[Column14]] = "-", GCP_2[[#This Row],[Column14]], LEFT(GCP_2[[#This Row],[Column14]], SEARCH(" ", GCP_2[[#This Row],[Column14]] &amp; " ") - 1))</f>
        <v>-</v>
      </c>
    </row>
    <row r="166" spans="1:29" ht="15.75">
      <c r="A16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6" s="137" t="str">
        <f>GCP_2[[#This Row],[Column30]]</f>
        <v>-</v>
      </c>
      <c r="C166" s="137">
        <v>10.6</v>
      </c>
      <c r="D166" s="138" t="s">
        <v>352</v>
      </c>
      <c r="E166" s="162" t="s">
        <v>156</v>
      </c>
      <c r="F166" s="489" t="s">
        <v>2171</v>
      </c>
      <c r="G166" s="138" t="s">
        <v>722</v>
      </c>
      <c r="H166" s="137"/>
      <c r="I166" s="164" t="s">
        <v>185</v>
      </c>
      <c r="J166" s="200" t="s">
        <v>185</v>
      </c>
      <c r="K166" s="176" t="s">
        <v>185</v>
      </c>
      <c r="L166" s="176" t="s">
        <v>185</v>
      </c>
      <c r="M166" s="158"/>
      <c r="N166" s="222" t="s">
        <v>162</v>
      </c>
      <c r="O166" s="222" t="s">
        <v>162</v>
      </c>
      <c r="P166" s="222" t="s">
        <v>162</v>
      </c>
      <c r="Q166" s="222" t="s">
        <v>162</v>
      </c>
      <c r="S166" s="222" t="s">
        <v>162</v>
      </c>
      <c r="T166" s="222" t="s">
        <v>162</v>
      </c>
      <c r="U166" s="258" t="s">
        <v>162</v>
      </c>
      <c r="V166" s="168"/>
      <c r="W166" s="158" t="s">
        <v>966</v>
      </c>
      <c r="X166" s="158" t="s">
        <v>185</v>
      </c>
      <c r="Y166" s="158" t="s">
        <v>185</v>
      </c>
      <c r="Z166" s="158" t="s">
        <v>185</v>
      </c>
      <c r="AA166" s="158" t="str">
        <f>IF(GCP_2[[#This Row],[Column14]]="-","", "v")</f>
        <v/>
      </c>
      <c r="AB166" s="158" t="str">
        <f>IF(GCP_2[[#This Row],[Column8]]="x","1",(IF(OR(GCP_2[[#This Row],[Column25]]=2,GCP_2[[#This Row],[Column26]]=2,GCP_2[[#This Row],[Column27]]=2),"1",(IF(GCP_2[[#This Row],[Column9]]="x","2",(IF(GCP_2[[#This Row],[Column10]]="x","3","")))))))</f>
        <v>2</v>
      </c>
      <c r="AC166" s="454" t="str">
        <f>IF(GCP_2[[#This Row],[Column14]] = "-", GCP_2[[#This Row],[Column14]], LEFT(GCP_2[[#This Row],[Column14]], SEARCH(" ", GCP_2[[#This Row],[Column14]] &amp; " ") - 1))</f>
        <v>-</v>
      </c>
    </row>
    <row r="167" spans="1:29" ht="15.75">
      <c r="A16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7" s="137" t="str">
        <f>GCP_2[[#This Row],[Column30]]</f>
        <v>-</v>
      </c>
      <c r="C167" s="137">
        <v>10.7</v>
      </c>
      <c r="D167" s="138" t="s">
        <v>352</v>
      </c>
      <c r="E167" s="162" t="s">
        <v>155</v>
      </c>
      <c r="F167" s="489" t="s">
        <v>2172</v>
      </c>
      <c r="G167" s="138" t="s">
        <v>724</v>
      </c>
      <c r="H167" s="137"/>
      <c r="I167" s="164" t="s">
        <v>185</v>
      </c>
      <c r="J167" s="200" t="s">
        <v>185</v>
      </c>
      <c r="K167" s="176" t="s">
        <v>185</v>
      </c>
      <c r="L167" s="176" t="s">
        <v>185</v>
      </c>
      <c r="M167" s="158"/>
      <c r="N167" s="222" t="s">
        <v>162</v>
      </c>
      <c r="O167" s="222" t="s">
        <v>162</v>
      </c>
      <c r="P167" s="222" t="s">
        <v>162</v>
      </c>
      <c r="Q167" s="222" t="s">
        <v>162</v>
      </c>
      <c r="S167" s="222" t="s">
        <v>162</v>
      </c>
      <c r="T167" s="222" t="s">
        <v>162</v>
      </c>
      <c r="U167" s="258" t="s">
        <v>162</v>
      </c>
      <c r="V167" s="168"/>
      <c r="W167" s="158" t="s">
        <v>966</v>
      </c>
      <c r="X167" s="158" t="s">
        <v>185</v>
      </c>
      <c r="Y167" s="158" t="s">
        <v>185</v>
      </c>
      <c r="Z167" s="158" t="s">
        <v>185</v>
      </c>
      <c r="AA167" s="158" t="str">
        <f>IF(GCP_2[[#This Row],[Column14]]="-","", "v")</f>
        <v/>
      </c>
      <c r="AB167" s="158" t="str">
        <f>IF(GCP_2[[#This Row],[Column8]]="x","1",(IF(OR(GCP_2[[#This Row],[Column25]]=2,GCP_2[[#This Row],[Column26]]=2,GCP_2[[#This Row],[Column27]]=2),"1",(IF(GCP_2[[#This Row],[Column9]]="x","2",(IF(GCP_2[[#This Row],[Column10]]="x","3","")))))))</f>
        <v>2</v>
      </c>
      <c r="AC167" s="454" t="str">
        <f>IF(GCP_2[[#This Row],[Column14]] = "-", GCP_2[[#This Row],[Column14]], LEFT(GCP_2[[#This Row],[Column14]], SEARCH(" ", GCP_2[[#This Row],[Column14]] &amp; " ") - 1))</f>
        <v>-</v>
      </c>
    </row>
    <row r="168" spans="1:29" ht="30">
      <c r="A168" s="221" t="s">
        <v>942</v>
      </c>
      <c r="B168" s="217" t="s">
        <v>162</v>
      </c>
      <c r="C168" s="217" t="s">
        <v>162</v>
      </c>
      <c r="D168" s="218" t="s">
        <v>162</v>
      </c>
      <c r="E168" s="218" t="s">
        <v>162</v>
      </c>
      <c r="F168" s="488" t="s">
        <v>2173</v>
      </c>
      <c r="G168" s="220" t="s">
        <v>726</v>
      </c>
      <c r="H168" s="218" t="s">
        <v>162</v>
      </c>
      <c r="I168" s="218" t="s">
        <v>162</v>
      </c>
      <c r="J168" s="218" t="s">
        <v>162</v>
      </c>
      <c r="K168" s="218" t="s">
        <v>162</v>
      </c>
      <c r="L168" s="218" t="s">
        <v>162</v>
      </c>
      <c r="M168" s="218" t="s">
        <v>162</v>
      </c>
      <c r="N168" s="260" t="s">
        <v>162</v>
      </c>
      <c r="O168" s="218" t="s">
        <v>162</v>
      </c>
      <c r="P168" s="218" t="s">
        <v>162</v>
      </c>
      <c r="Q168" s="218" t="s">
        <v>162</v>
      </c>
      <c r="R168" s="167"/>
      <c r="S168" s="218" t="s">
        <v>162</v>
      </c>
      <c r="T168" s="218" t="s">
        <v>162</v>
      </c>
      <c r="U168" s="217" t="s">
        <v>162</v>
      </c>
      <c r="V168" s="217" t="s">
        <v>162</v>
      </c>
      <c r="W168" s="217" t="s">
        <v>162</v>
      </c>
      <c r="X168" s="217" t="s">
        <v>162</v>
      </c>
      <c r="Y168" s="217" t="s">
        <v>162</v>
      </c>
      <c r="Z168" s="217" t="s">
        <v>162</v>
      </c>
      <c r="AA168" s="218" t="s">
        <v>162</v>
      </c>
      <c r="AB168" s="218" t="s">
        <v>162</v>
      </c>
      <c r="AC168" s="454" t="str">
        <f>IF(GCP_2[[#This Row],[Column14]] = "-", GCP_2[[#This Row],[Column14]], LEFT(GCP_2[[#This Row],[Column14]], SEARCH(" ", GCP_2[[#This Row],[Column14]] &amp; " ") - 1))</f>
        <v>-</v>
      </c>
    </row>
    <row r="169" spans="1:29" ht="60">
      <c r="A16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NOT(ISBLANK(K169)),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NOT(ISBLANK(L169)),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NOT(ISBLANK(M169)),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69" s="137" t="str">
        <f>GCP_2[[#This Row],[Column30]]</f>
        <v>-</v>
      </c>
      <c r="C169" s="137">
        <v>11.1</v>
      </c>
      <c r="D169" s="138" t="s">
        <v>182</v>
      </c>
      <c r="E169" s="169" t="s">
        <v>158</v>
      </c>
      <c r="F169" s="489" t="s">
        <v>2174</v>
      </c>
      <c r="G169" s="138" t="s">
        <v>337</v>
      </c>
      <c r="H169" s="163" t="s">
        <v>185</v>
      </c>
      <c r="I169" s="164" t="s">
        <v>185</v>
      </c>
      <c r="J169" s="200" t="s">
        <v>185</v>
      </c>
      <c r="K169" s="176" t="s">
        <v>185</v>
      </c>
      <c r="L169" s="176" t="s">
        <v>185</v>
      </c>
      <c r="M169" s="176" t="s">
        <v>185</v>
      </c>
      <c r="N169" s="222" t="s">
        <v>162</v>
      </c>
      <c r="O169" s="222" t="s">
        <v>162</v>
      </c>
      <c r="P169" s="222" t="s">
        <v>162</v>
      </c>
      <c r="Q169" s="222" t="s">
        <v>162</v>
      </c>
      <c r="R169" s="451"/>
      <c r="S169" s="222" t="s">
        <v>162</v>
      </c>
      <c r="T169" s="222" t="s">
        <v>162</v>
      </c>
      <c r="U169" s="258" t="s">
        <v>162</v>
      </c>
      <c r="V169" s="168"/>
      <c r="W169" s="158" t="s">
        <v>966</v>
      </c>
      <c r="X169" s="158"/>
      <c r="Y169" s="158"/>
      <c r="Z169" s="158" t="s">
        <v>185</v>
      </c>
      <c r="AA169" s="158" t="str">
        <f>IF(GCP_2[[#This Row],[Column14]]="-","", "v")</f>
        <v/>
      </c>
      <c r="AB169" s="158" t="str">
        <f>IF(GCP_2[[#This Row],[Column8]]="x","1",(IF(OR(GCP_2[[#This Row],[Column25]]=2,GCP_2[[#This Row],[Column26]]=2,GCP_2[[#This Row],[Column27]]=2),"1",(IF(GCP_2[[#This Row],[Column9]]="x","2",(IF(GCP_2[[#This Row],[Column10]]="x","3","")))))))</f>
        <v>1</v>
      </c>
      <c r="AC169" s="454" t="str">
        <f>IF(GCP_2[[#This Row],[Column14]] = "-", GCP_2[[#This Row],[Column14]], LEFT(GCP_2[[#This Row],[Column14]], SEARCH(" ", GCP_2[[#This Row],[Column14]] &amp; " ") - 1))</f>
        <v>-</v>
      </c>
    </row>
    <row r="170" spans="1:29" ht="409.5">
      <c r="A17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0" s="137" t="str">
        <f>GCP_2[[#This Row],[Column30]]</f>
        <v>6.7</v>
      </c>
      <c r="C170" s="137">
        <v>11.2</v>
      </c>
      <c r="D170" s="138" t="s">
        <v>182</v>
      </c>
      <c r="E170" s="169" t="s">
        <v>158</v>
      </c>
      <c r="F170" s="489" t="s">
        <v>2175</v>
      </c>
      <c r="G170" s="138" t="s">
        <v>339</v>
      </c>
      <c r="H170" s="163" t="s">
        <v>185</v>
      </c>
      <c r="I170" s="164" t="s">
        <v>185</v>
      </c>
      <c r="J170" s="200" t="s">
        <v>185</v>
      </c>
      <c r="K170" s="176" t="s">
        <v>185</v>
      </c>
      <c r="L170" s="176" t="s">
        <v>185</v>
      </c>
      <c r="M170" s="176" t="s">
        <v>185</v>
      </c>
      <c r="N170" s="222" t="s">
        <v>1441</v>
      </c>
      <c r="O170" s="212">
        <v>1</v>
      </c>
      <c r="P170" s="214" t="s">
        <v>1442</v>
      </c>
      <c r="Q170" s="214" t="s">
        <v>1443</v>
      </c>
      <c r="R170" s="451" t="s">
        <v>1444</v>
      </c>
      <c r="S170" s="214" t="s">
        <v>1445</v>
      </c>
      <c r="T170" s="214" t="s">
        <v>1446</v>
      </c>
      <c r="U170" s="158" t="s">
        <v>162</v>
      </c>
      <c r="V170" s="168" t="s">
        <v>1569</v>
      </c>
      <c r="W170" s="158" t="s">
        <v>967</v>
      </c>
      <c r="X170" s="158"/>
      <c r="Y170" s="158"/>
      <c r="Z170" s="158" t="s">
        <v>185</v>
      </c>
      <c r="AA170" s="158" t="str">
        <f>IF(GCP_2[[#This Row],[Column14]]="-","", "v")</f>
        <v>v</v>
      </c>
      <c r="AB170" s="158" t="str">
        <f>IF(GCP_2[[#This Row],[Column8]]="x","1",(IF(OR(GCP_2[[#This Row],[Column25]]=2,GCP_2[[#This Row],[Column26]]=2,GCP_2[[#This Row],[Column27]]=2),"1",(IF(GCP_2[[#This Row],[Column9]]="x","2",(IF(GCP_2[[#This Row],[Column10]]="x","3","")))))))</f>
        <v>1</v>
      </c>
      <c r="AC170" s="454" t="str">
        <f>IF(GCP_2[[#This Row],[Column14]] = "-", GCP_2[[#This Row],[Column14]], LEFT(GCP_2[[#This Row],[Column14]], SEARCH(" ", GCP_2[[#This Row],[Column14]] &amp; " ") - 1))</f>
        <v>6.7</v>
      </c>
    </row>
    <row r="171" spans="1:29" ht="30">
      <c r="A17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1" s="137" t="str">
        <f>GCP_2[[#This Row],[Column30]]</f>
        <v>-</v>
      </c>
      <c r="C171" s="137">
        <v>11.3</v>
      </c>
      <c r="D171" s="138" t="s">
        <v>182</v>
      </c>
      <c r="E171" s="162" t="s">
        <v>156</v>
      </c>
      <c r="F171" s="489" t="s">
        <v>2176</v>
      </c>
      <c r="G171" s="138" t="s">
        <v>341</v>
      </c>
      <c r="H171" s="163" t="s">
        <v>185</v>
      </c>
      <c r="I171" s="164" t="s">
        <v>185</v>
      </c>
      <c r="J171" s="200" t="s">
        <v>185</v>
      </c>
      <c r="K171" s="176" t="s">
        <v>185</v>
      </c>
      <c r="L171" s="176" t="s">
        <v>185</v>
      </c>
      <c r="M171" s="176" t="s">
        <v>185</v>
      </c>
      <c r="N171" s="222" t="s">
        <v>162</v>
      </c>
      <c r="O171" s="222" t="s">
        <v>162</v>
      </c>
      <c r="P171" s="222" t="s">
        <v>162</v>
      </c>
      <c r="Q171" s="222" t="s">
        <v>162</v>
      </c>
      <c r="R171" s="451"/>
      <c r="S171" s="222" t="s">
        <v>162</v>
      </c>
      <c r="T171" s="222" t="s">
        <v>162</v>
      </c>
      <c r="U171" s="258" t="s">
        <v>162</v>
      </c>
      <c r="V171" s="168"/>
      <c r="W171" s="158" t="s">
        <v>966</v>
      </c>
      <c r="X171" s="158"/>
      <c r="Y171" s="158"/>
      <c r="Z171" s="158" t="s">
        <v>185</v>
      </c>
      <c r="AA171" s="158" t="str">
        <f>IF(GCP_2[[#This Row],[Column14]]="-","", "v")</f>
        <v/>
      </c>
      <c r="AB171" s="158" t="str">
        <f>IF(GCP_2[[#This Row],[Column8]]="x","1",(IF(OR(GCP_2[[#This Row],[Column25]]=2,GCP_2[[#This Row],[Column26]]=2,GCP_2[[#This Row],[Column27]]=2),"1",(IF(GCP_2[[#This Row],[Column9]]="x","2",(IF(GCP_2[[#This Row],[Column10]]="x","3","")))))))</f>
        <v>1</v>
      </c>
      <c r="AC171" s="454" t="str">
        <f>IF(GCP_2[[#This Row],[Column14]] = "-", GCP_2[[#This Row],[Column14]], LEFT(GCP_2[[#This Row],[Column14]], SEARCH(" ", GCP_2[[#This Row],[Column14]] &amp; " ") - 1))</f>
        <v>-</v>
      </c>
    </row>
    <row r="172" spans="1:29" ht="45">
      <c r="A17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2" s="137" t="str">
        <f>GCP_2[[#This Row],[Column30]]</f>
        <v>-</v>
      </c>
      <c r="C172" s="137">
        <v>11.4</v>
      </c>
      <c r="D172" s="138" t="s">
        <v>182</v>
      </c>
      <c r="E172" s="169" t="s">
        <v>158</v>
      </c>
      <c r="F172" s="489" t="s">
        <v>2177</v>
      </c>
      <c r="G172" s="139" t="s">
        <v>343</v>
      </c>
      <c r="H172" s="163" t="s">
        <v>185</v>
      </c>
      <c r="I172" s="164" t="s">
        <v>185</v>
      </c>
      <c r="J172" s="200" t="s">
        <v>185</v>
      </c>
      <c r="K172" s="176" t="s">
        <v>185</v>
      </c>
      <c r="L172" s="176" t="s">
        <v>185</v>
      </c>
      <c r="M172" s="176" t="s">
        <v>185</v>
      </c>
      <c r="N172" s="222" t="s">
        <v>162</v>
      </c>
      <c r="O172" s="222" t="s">
        <v>162</v>
      </c>
      <c r="P172" s="222" t="s">
        <v>162</v>
      </c>
      <c r="Q172" s="222" t="s">
        <v>162</v>
      </c>
      <c r="R172" s="451"/>
      <c r="S172" s="222" t="s">
        <v>162</v>
      </c>
      <c r="T172" s="222" t="s">
        <v>162</v>
      </c>
      <c r="U172" s="258" t="s">
        <v>162</v>
      </c>
      <c r="V172" s="168"/>
      <c r="W172" s="158" t="s">
        <v>966</v>
      </c>
      <c r="X172" s="158"/>
      <c r="Y172" s="158"/>
      <c r="Z172" s="158" t="s">
        <v>185</v>
      </c>
      <c r="AA172" s="158" t="str">
        <f>IF(GCP_2[[#This Row],[Column14]]="-","", "v")</f>
        <v/>
      </c>
      <c r="AB172" s="158" t="str">
        <f>IF(GCP_2[[#This Row],[Column8]]="x","1",(IF(OR(GCP_2[[#This Row],[Column25]]=2,GCP_2[[#This Row],[Column26]]=2,GCP_2[[#This Row],[Column27]]=2),"1",(IF(GCP_2[[#This Row],[Column9]]="x","2",(IF(GCP_2[[#This Row],[Column10]]="x","3","")))))))</f>
        <v>1</v>
      </c>
      <c r="AC172" s="454" t="str">
        <f>IF(GCP_2[[#This Row],[Column14]] = "-", GCP_2[[#This Row],[Column14]], LEFT(GCP_2[[#This Row],[Column14]], SEARCH(" ", GCP_2[[#This Row],[Column14]] &amp; " ") - 1))</f>
        <v>-</v>
      </c>
    </row>
    <row r="173" spans="1:29" ht="30">
      <c r="A17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3" s="137" t="str">
        <f>GCP_2[[#This Row],[Column30]]</f>
        <v>-</v>
      </c>
      <c r="C173" s="137">
        <v>11.5</v>
      </c>
      <c r="D173" s="138" t="s">
        <v>182</v>
      </c>
      <c r="E173" s="169" t="s">
        <v>158</v>
      </c>
      <c r="F173" s="489" t="s">
        <v>2178</v>
      </c>
      <c r="G173" s="138" t="s">
        <v>345</v>
      </c>
      <c r="H173" s="204"/>
      <c r="I173" s="164" t="s">
        <v>185</v>
      </c>
      <c r="J173" s="200" t="s">
        <v>185</v>
      </c>
      <c r="K173" s="176" t="s">
        <v>185</v>
      </c>
      <c r="L173" s="176" t="s">
        <v>185</v>
      </c>
      <c r="M173" s="176" t="s">
        <v>185</v>
      </c>
      <c r="N173" s="222" t="s">
        <v>162</v>
      </c>
      <c r="O173" s="222" t="s">
        <v>162</v>
      </c>
      <c r="P173" s="222" t="s">
        <v>162</v>
      </c>
      <c r="Q173" s="222" t="s">
        <v>162</v>
      </c>
      <c r="R173" s="451"/>
      <c r="S173" s="222" t="s">
        <v>162</v>
      </c>
      <c r="T173" s="222" t="s">
        <v>162</v>
      </c>
      <c r="U173" s="258" t="s">
        <v>162</v>
      </c>
      <c r="V173" s="168"/>
      <c r="W173" s="158" t="s">
        <v>966</v>
      </c>
      <c r="X173" s="158"/>
      <c r="Y173" s="158"/>
      <c r="Z173" s="158" t="s">
        <v>185</v>
      </c>
      <c r="AA173" s="158" t="str">
        <f>IF(GCP_2[[#This Row],[Column14]]="-","", "v")</f>
        <v/>
      </c>
      <c r="AB173" s="158" t="str">
        <f>IF(GCP_2[[#This Row],[Column8]]="x","1",(IF(OR(GCP_2[[#This Row],[Column25]]=2,GCP_2[[#This Row],[Column26]]=2,GCP_2[[#This Row],[Column27]]=2),"1",(IF(GCP_2[[#This Row],[Column9]]="x","2",(IF(GCP_2[[#This Row],[Column10]]="x","3","")))))))</f>
        <v>2</v>
      </c>
      <c r="AC173" s="454" t="str">
        <f>IF(GCP_2[[#This Row],[Column14]] = "-", GCP_2[[#This Row],[Column14]], LEFT(GCP_2[[#This Row],[Column14]], SEARCH(" ", GCP_2[[#This Row],[Column14]] &amp; " ") - 1))</f>
        <v>-</v>
      </c>
    </row>
    <row r="174" spans="1:29" ht="45">
      <c r="A174" s="221" t="s">
        <v>942</v>
      </c>
      <c r="B174" s="217" t="s">
        <v>162</v>
      </c>
      <c r="C174" s="217" t="s">
        <v>162</v>
      </c>
      <c r="D174" s="218" t="s">
        <v>162</v>
      </c>
      <c r="E174" s="218" t="s">
        <v>162</v>
      </c>
      <c r="F174" s="488" t="s">
        <v>2179</v>
      </c>
      <c r="G174" s="220" t="s">
        <v>728</v>
      </c>
      <c r="H174" s="218" t="s">
        <v>162</v>
      </c>
      <c r="I174" s="218" t="s">
        <v>162</v>
      </c>
      <c r="J174" s="218" t="s">
        <v>162</v>
      </c>
      <c r="K174" s="218" t="s">
        <v>162</v>
      </c>
      <c r="L174" s="218" t="s">
        <v>162</v>
      </c>
      <c r="M174" s="218" t="s">
        <v>162</v>
      </c>
      <c r="N174" s="260" t="s">
        <v>162</v>
      </c>
      <c r="O174" s="218" t="s">
        <v>162</v>
      </c>
      <c r="P174" s="218" t="s">
        <v>162</v>
      </c>
      <c r="Q174" s="218" t="s">
        <v>162</v>
      </c>
      <c r="R174" s="167"/>
      <c r="S174" s="218" t="s">
        <v>162</v>
      </c>
      <c r="T174" s="218" t="s">
        <v>162</v>
      </c>
      <c r="U174" s="217" t="s">
        <v>162</v>
      </c>
      <c r="V174" s="217" t="s">
        <v>162</v>
      </c>
      <c r="W174" s="217" t="s">
        <v>162</v>
      </c>
      <c r="X174" s="217" t="s">
        <v>162</v>
      </c>
      <c r="Y174" s="217" t="s">
        <v>162</v>
      </c>
      <c r="Z174" s="217" t="s">
        <v>162</v>
      </c>
      <c r="AA174" s="218" t="s">
        <v>162</v>
      </c>
      <c r="AB174" s="218" t="s">
        <v>162</v>
      </c>
      <c r="AC174" s="454" t="str">
        <f>IF(GCP_2[[#This Row],[Column14]] = "-", GCP_2[[#This Row],[Column14]], LEFT(GCP_2[[#This Row],[Column14]], SEARCH(" ", GCP_2[[#This Row],[Column14]] &amp; " ") - 1))</f>
        <v>-</v>
      </c>
    </row>
    <row r="175" spans="1:29" ht="60">
      <c r="A17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5" s="137" t="str">
        <f>GCP_2[[#This Row],[Column30]]</f>
        <v>-</v>
      </c>
      <c r="C175" s="137">
        <v>12.1</v>
      </c>
      <c r="D175" s="138" t="s">
        <v>390</v>
      </c>
      <c r="E175" s="162" t="s">
        <v>156</v>
      </c>
      <c r="F175" s="489" t="s">
        <v>2180</v>
      </c>
      <c r="G175" s="138" t="s">
        <v>730</v>
      </c>
      <c r="H175" s="163" t="s">
        <v>185</v>
      </c>
      <c r="I175" s="164" t="s">
        <v>185</v>
      </c>
      <c r="J175" s="200" t="s">
        <v>185</v>
      </c>
      <c r="K175" s="176" t="s">
        <v>185</v>
      </c>
      <c r="L175" s="176"/>
      <c r="M175" s="176"/>
      <c r="N175" s="222" t="s">
        <v>162</v>
      </c>
      <c r="O175" s="222" t="s">
        <v>162</v>
      </c>
      <c r="P175" s="222" t="s">
        <v>162</v>
      </c>
      <c r="Q175" s="222" t="s">
        <v>162</v>
      </c>
      <c r="S175" s="222" t="s">
        <v>162</v>
      </c>
      <c r="T175" s="222" t="s">
        <v>162</v>
      </c>
      <c r="U175" s="258" t="s">
        <v>162</v>
      </c>
      <c r="V175" s="168"/>
      <c r="W175" s="158" t="s">
        <v>966</v>
      </c>
      <c r="X175" s="158" t="s">
        <v>185</v>
      </c>
      <c r="Y175" s="158"/>
      <c r="Z175" s="158" t="s">
        <v>185</v>
      </c>
      <c r="AA175" s="158" t="str">
        <f>IF(GCP_2[[#This Row],[Column14]]="-","", "v")</f>
        <v/>
      </c>
      <c r="AB175" s="158" t="str">
        <f>IF(GCP_2[[#This Row],[Column8]]="x","1",(IF(OR(GCP_2[[#This Row],[Column25]]=2,GCP_2[[#This Row],[Column26]]=2,GCP_2[[#This Row],[Column27]]=2),"1",(IF(GCP_2[[#This Row],[Column9]]="x","2",(IF(GCP_2[[#This Row],[Column10]]="x","3","")))))))</f>
        <v>1</v>
      </c>
      <c r="AC175" s="454" t="str">
        <f>IF(GCP_2[[#This Row],[Column14]] = "-", GCP_2[[#This Row],[Column14]], LEFT(GCP_2[[#This Row],[Column14]], SEARCH(" ", GCP_2[[#This Row],[Column14]] &amp; " ") - 1))</f>
        <v>-</v>
      </c>
    </row>
    <row r="176" spans="1:29" ht="45">
      <c r="A17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6" s="137" t="str">
        <f>GCP_2[[#This Row],[Column30]]</f>
        <v>-</v>
      </c>
      <c r="C176" s="137">
        <v>12.2</v>
      </c>
      <c r="D176" s="138" t="s">
        <v>390</v>
      </c>
      <c r="E176" s="162" t="s">
        <v>156</v>
      </c>
      <c r="F176" s="489" t="s">
        <v>2181</v>
      </c>
      <c r="G176" s="138" t="s">
        <v>732</v>
      </c>
      <c r="H176" s="204"/>
      <c r="I176" s="164" t="s">
        <v>185</v>
      </c>
      <c r="J176" s="200" t="s">
        <v>185</v>
      </c>
      <c r="K176" s="176" t="s">
        <v>185</v>
      </c>
      <c r="L176" s="176" t="s">
        <v>185</v>
      </c>
      <c r="M176" s="176" t="s">
        <v>185</v>
      </c>
      <c r="N176" s="222" t="s">
        <v>162</v>
      </c>
      <c r="O176" s="222" t="s">
        <v>162</v>
      </c>
      <c r="P176" s="222" t="s">
        <v>162</v>
      </c>
      <c r="Q176" s="222" t="s">
        <v>162</v>
      </c>
      <c r="S176" s="222" t="s">
        <v>162</v>
      </c>
      <c r="T176" s="222" t="s">
        <v>162</v>
      </c>
      <c r="U176" s="258" t="s">
        <v>162</v>
      </c>
      <c r="V176" s="168"/>
      <c r="W176" s="158" t="s">
        <v>966</v>
      </c>
      <c r="X176" s="158" t="s">
        <v>185</v>
      </c>
      <c r="Y176" s="158"/>
      <c r="Z176" s="158" t="s">
        <v>185</v>
      </c>
      <c r="AA176" s="158" t="str">
        <f>IF(GCP_2[[#This Row],[Column14]]="-","", "v")</f>
        <v/>
      </c>
      <c r="AB176" s="158" t="str">
        <f>IF(GCP_2[[#This Row],[Column8]]="x","1",(IF(OR(GCP_2[[#This Row],[Column25]]=2,GCP_2[[#This Row],[Column26]]=2,GCP_2[[#This Row],[Column27]]=2),"1",(IF(GCP_2[[#This Row],[Column9]]="x","2",(IF(GCP_2[[#This Row],[Column10]]="x","3","")))))))</f>
        <v>2</v>
      </c>
      <c r="AC176" s="454" t="str">
        <f>IF(GCP_2[[#This Row],[Column14]] = "-", GCP_2[[#This Row],[Column14]], LEFT(GCP_2[[#This Row],[Column14]], SEARCH(" ", GCP_2[[#This Row],[Column14]] &amp; " ") - 1))</f>
        <v>-</v>
      </c>
    </row>
    <row r="177" spans="1:29" ht="45">
      <c r="A17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7" s="137" t="str">
        <f>GCP_2[[#This Row],[Column30]]</f>
        <v>-</v>
      </c>
      <c r="C177" s="137">
        <v>12.3</v>
      </c>
      <c r="D177" s="138" t="s">
        <v>390</v>
      </c>
      <c r="E177" s="162" t="s">
        <v>156</v>
      </c>
      <c r="F177" s="489" t="s">
        <v>2182</v>
      </c>
      <c r="G177" s="138" t="s">
        <v>734</v>
      </c>
      <c r="H177" s="204"/>
      <c r="I177" s="164" t="s">
        <v>185</v>
      </c>
      <c r="J177" s="200" t="s">
        <v>185</v>
      </c>
      <c r="K177" s="176" t="s">
        <v>185</v>
      </c>
      <c r="L177" s="176" t="s">
        <v>185</v>
      </c>
      <c r="M177" s="176" t="s">
        <v>185</v>
      </c>
      <c r="N177" s="222" t="s">
        <v>162</v>
      </c>
      <c r="O177" s="222" t="s">
        <v>162</v>
      </c>
      <c r="P177" s="222" t="s">
        <v>162</v>
      </c>
      <c r="Q177" s="222" t="s">
        <v>162</v>
      </c>
      <c r="S177" s="222" t="s">
        <v>162</v>
      </c>
      <c r="T177" s="222" t="s">
        <v>162</v>
      </c>
      <c r="U177" s="258" t="s">
        <v>162</v>
      </c>
      <c r="V177" s="168"/>
      <c r="W177" s="158" t="s">
        <v>966</v>
      </c>
      <c r="X177" s="158" t="s">
        <v>185</v>
      </c>
      <c r="Y177" s="158"/>
      <c r="Z177" s="158" t="s">
        <v>185</v>
      </c>
      <c r="AA177" s="158" t="str">
        <f>IF(GCP_2[[#This Row],[Column14]]="-","", "v")</f>
        <v/>
      </c>
      <c r="AB177" s="158" t="str">
        <f>IF(GCP_2[[#This Row],[Column8]]="x","1",(IF(OR(GCP_2[[#This Row],[Column25]]=2,GCP_2[[#This Row],[Column26]]=2,GCP_2[[#This Row],[Column27]]=2),"1",(IF(GCP_2[[#This Row],[Column9]]="x","2",(IF(GCP_2[[#This Row],[Column10]]="x","3","")))))))</f>
        <v>2</v>
      </c>
      <c r="AC177" s="454" t="str">
        <f>IF(GCP_2[[#This Row],[Column14]] = "-", GCP_2[[#This Row],[Column14]], LEFT(GCP_2[[#This Row],[Column14]], SEARCH(" ", GCP_2[[#This Row],[Column14]] &amp; " ") - 1))</f>
        <v>-</v>
      </c>
    </row>
    <row r="178" spans="1:29" ht="45">
      <c r="A17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8" s="137" t="str">
        <f>GCP_2[[#This Row],[Column30]]</f>
        <v>-</v>
      </c>
      <c r="C178" s="137">
        <v>12.4</v>
      </c>
      <c r="D178" s="138" t="s">
        <v>390</v>
      </c>
      <c r="E178" s="162" t="s">
        <v>154</v>
      </c>
      <c r="F178" s="489" t="s">
        <v>2183</v>
      </c>
      <c r="G178" s="138" t="s">
        <v>736</v>
      </c>
      <c r="H178" s="204"/>
      <c r="I178" s="164" t="s">
        <v>185</v>
      </c>
      <c r="J178" s="200" t="s">
        <v>185</v>
      </c>
      <c r="K178" s="176" t="s">
        <v>185</v>
      </c>
      <c r="L178" s="176" t="s">
        <v>185</v>
      </c>
      <c r="M178" s="176" t="s">
        <v>185</v>
      </c>
      <c r="N178" s="222" t="s">
        <v>162</v>
      </c>
      <c r="O178" s="222" t="s">
        <v>162</v>
      </c>
      <c r="P178" s="222" t="s">
        <v>162</v>
      </c>
      <c r="Q178" s="222" t="s">
        <v>162</v>
      </c>
      <c r="S178" s="222" t="s">
        <v>162</v>
      </c>
      <c r="T178" s="222" t="s">
        <v>162</v>
      </c>
      <c r="U178" s="258" t="s">
        <v>162</v>
      </c>
      <c r="V178" s="168"/>
      <c r="W178" s="158" t="s">
        <v>966</v>
      </c>
      <c r="X178" s="158" t="s">
        <v>185</v>
      </c>
      <c r="Y178" s="158"/>
      <c r="Z178" s="158" t="s">
        <v>185</v>
      </c>
      <c r="AA178" s="158" t="str">
        <f>IF(GCP_2[[#This Row],[Column14]]="-","", "v")</f>
        <v/>
      </c>
      <c r="AB178" s="158" t="str">
        <f>IF(GCP_2[[#This Row],[Column8]]="x","1",(IF(OR(GCP_2[[#This Row],[Column25]]=2,GCP_2[[#This Row],[Column26]]=2,GCP_2[[#This Row],[Column27]]=2),"1",(IF(GCP_2[[#This Row],[Column9]]="x","2",(IF(GCP_2[[#This Row],[Column10]]="x","3","")))))))</f>
        <v>2</v>
      </c>
      <c r="AC178" s="454" t="str">
        <f>IF(GCP_2[[#This Row],[Column14]] = "-", GCP_2[[#This Row],[Column14]], LEFT(GCP_2[[#This Row],[Column14]], SEARCH(" ", GCP_2[[#This Row],[Column14]] &amp; " ") - 1))</f>
        <v>-</v>
      </c>
    </row>
    <row r="179" spans="1:29" ht="15.75">
      <c r="A17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NOT(ISBLANK(K179)),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NOT(ISBLANK(L179)),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NOT(ISBLANK(M179)),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79" s="137" t="str">
        <f>GCP_2[[#This Row],[Column30]]</f>
        <v>-</v>
      </c>
      <c r="C179" s="137">
        <v>12.5</v>
      </c>
      <c r="D179" s="138" t="s">
        <v>390</v>
      </c>
      <c r="E179" s="162" t="s">
        <v>156</v>
      </c>
      <c r="F179" s="489" t="s">
        <v>2184</v>
      </c>
      <c r="G179" s="138" t="s">
        <v>738</v>
      </c>
      <c r="H179" s="204"/>
      <c r="I179" s="164" t="s">
        <v>185</v>
      </c>
      <c r="J179" s="200" t="s">
        <v>185</v>
      </c>
      <c r="K179" s="176" t="s">
        <v>185</v>
      </c>
      <c r="L179" s="176"/>
      <c r="M179" s="176"/>
      <c r="N179" s="222" t="s">
        <v>162</v>
      </c>
      <c r="O179" s="222" t="s">
        <v>162</v>
      </c>
      <c r="P179" s="222" t="s">
        <v>162</v>
      </c>
      <c r="Q179" s="222" t="s">
        <v>162</v>
      </c>
      <c r="S179" s="222" t="s">
        <v>162</v>
      </c>
      <c r="T179" s="222" t="s">
        <v>162</v>
      </c>
      <c r="U179" s="258" t="s">
        <v>162</v>
      </c>
      <c r="V179" s="168"/>
      <c r="W179" s="158" t="s">
        <v>966</v>
      </c>
      <c r="X179" s="158" t="s">
        <v>185</v>
      </c>
      <c r="Y179" s="158"/>
      <c r="Z179" s="158" t="s">
        <v>185</v>
      </c>
      <c r="AA179" s="158" t="str">
        <f>IF(GCP_2[[#This Row],[Column14]]="-","", "v")</f>
        <v/>
      </c>
      <c r="AB179" s="158" t="str">
        <f>IF(GCP_2[[#This Row],[Column8]]="x","1",(IF(OR(GCP_2[[#This Row],[Column25]]=2,GCP_2[[#This Row],[Column26]]=2,GCP_2[[#This Row],[Column27]]=2),"1",(IF(GCP_2[[#This Row],[Column9]]="x","2",(IF(GCP_2[[#This Row],[Column10]]="x","3","")))))))</f>
        <v>2</v>
      </c>
      <c r="AC179" s="454" t="str">
        <f>IF(GCP_2[[#This Row],[Column14]] = "-", GCP_2[[#This Row],[Column14]], LEFT(GCP_2[[#This Row],[Column14]], SEARCH(" ", GCP_2[[#This Row],[Column14]] &amp; " ") - 1))</f>
        <v>-</v>
      </c>
    </row>
    <row r="180" spans="1:29" ht="30">
      <c r="A18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0" s="137" t="str">
        <f>GCP_2[[#This Row],[Column30]]</f>
        <v>-</v>
      </c>
      <c r="C180" s="137">
        <v>12.6</v>
      </c>
      <c r="D180" s="138" t="s">
        <v>390</v>
      </c>
      <c r="E180" s="162" t="s">
        <v>156</v>
      </c>
      <c r="F180" s="489" t="s">
        <v>2185</v>
      </c>
      <c r="G180" s="139" t="s">
        <v>740</v>
      </c>
      <c r="H180" s="204"/>
      <c r="I180" s="164" t="s">
        <v>185</v>
      </c>
      <c r="J180" s="200" t="s">
        <v>185</v>
      </c>
      <c r="K180" s="176" t="s">
        <v>185</v>
      </c>
      <c r="L180" s="176"/>
      <c r="M180" s="176"/>
      <c r="N180" s="222" t="s">
        <v>162</v>
      </c>
      <c r="O180" s="222" t="s">
        <v>162</v>
      </c>
      <c r="P180" s="222" t="s">
        <v>162</v>
      </c>
      <c r="Q180" s="222" t="s">
        <v>162</v>
      </c>
      <c r="S180" s="222" t="s">
        <v>162</v>
      </c>
      <c r="T180" s="222" t="s">
        <v>162</v>
      </c>
      <c r="U180" s="258" t="s">
        <v>162</v>
      </c>
      <c r="V180" s="168"/>
      <c r="W180" s="158" t="s">
        <v>966</v>
      </c>
      <c r="X180" s="158" t="s">
        <v>185</v>
      </c>
      <c r="Y180" s="158"/>
      <c r="Z180" s="158" t="s">
        <v>185</v>
      </c>
      <c r="AA180" s="158" t="str">
        <f>IF(GCP_2[[#This Row],[Column14]]="-","", "v")</f>
        <v/>
      </c>
      <c r="AB180" s="158" t="str">
        <f>IF(GCP_2[[#This Row],[Column8]]="x","1",(IF(OR(GCP_2[[#This Row],[Column25]]=2,GCP_2[[#This Row],[Column26]]=2,GCP_2[[#This Row],[Column27]]=2),"1",(IF(GCP_2[[#This Row],[Column9]]="x","2",(IF(GCP_2[[#This Row],[Column10]]="x","3","")))))))</f>
        <v>2</v>
      </c>
      <c r="AC180" s="454" t="str">
        <f>IF(GCP_2[[#This Row],[Column14]] = "-", GCP_2[[#This Row],[Column14]], LEFT(GCP_2[[#This Row],[Column14]], SEARCH(" ", GCP_2[[#This Row],[Column14]] &amp; " ") - 1))</f>
        <v>-</v>
      </c>
    </row>
    <row r="181" spans="1:29" ht="30">
      <c r="A18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1" s="137" t="str">
        <f>GCP_2[[#This Row],[Column30]]</f>
        <v>-</v>
      </c>
      <c r="C181" s="137">
        <v>12.7</v>
      </c>
      <c r="D181" s="138" t="s">
        <v>352</v>
      </c>
      <c r="E181" s="162" t="s">
        <v>156</v>
      </c>
      <c r="F181" s="489" t="s">
        <v>2186</v>
      </c>
      <c r="G181" s="139" t="s">
        <v>742</v>
      </c>
      <c r="H181" s="204"/>
      <c r="I181" s="164" t="s">
        <v>185</v>
      </c>
      <c r="J181" s="200" t="s">
        <v>185</v>
      </c>
      <c r="K181" s="176" t="s">
        <v>185</v>
      </c>
      <c r="L181" s="176"/>
      <c r="M181" s="176"/>
      <c r="N181" s="222" t="s">
        <v>162</v>
      </c>
      <c r="O181" s="222" t="s">
        <v>162</v>
      </c>
      <c r="P181" s="222" t="s">
        <v>162</v>
      </c>
      <c r="Q181" s="222" t="s">
        <v>162</v>
      </c>
      <c r="S181" s="222" t="s">
        <v>162</v>
      </c>
      <c r="T181" s="222" t="s">
        <v>162</v>
      </c>
      <c r="U181" s="258" t="s">
        <v>162</v>
      </c>
      <c r="V181" s="168"/>
      <c r="W181" s="158" t="s">
        <v>966</v>
      </c>
      <c r="X181" s="158" t="s">
        <v>185</v>
      </c>
      <c r="Y181" s="158"/>
      <c r="Z181" s="158" t="s">
        <v>185</v>
      </c>
      <c r="AA181" s="158" t="str">
        <f>IF(GCP_2[[#This Row],[Column14]]="-","", "v")</f>
        <v/>
      </c>
      <c r="AB181" s="158" t="str">
        <f>IF(GCP_2[[#This Row],[Column8]]="x","1",(IF(OR(GCP_2[[#This Row],[Column25]]=2,GCP_2[[#This Row],[Column26]]=2,GCP_2[[#This Row],[Column27]]=2),"1",(IF(GCP_2[[#This Row],[Column9]]="x","2",(IF(GCP_2[[#This Row],[Column10]]="x","3","")))))))</f>
        <v>2</v>
      </c>
      <c r="AC181" s="454" t="str">
        <f>IF(GCP_2[[#This Row],[Column14]] = "-", GCP_2[[#This Row],[Column14]], LEFT(GCP_2[[#This Row],[Column14]], SEARCH(" ", GCP_2[[#This Row],[Column14]] &amp; " ") - 1))</f>
        <v>-</v>
      </c>
    </row>
    <row r="182" spans="1:29" ht="60">
      <c r="A18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2" s="137" t="str">
        <f>GCP_2[[#This Row],[Column30]]</f>
        <v>-</v>
      </c>
      <c r="C182" s="137">
        <v>12.8</v>
      </c>
      <c r="D182" s="138" t="s">
        <v>352</v>
      </c>
      <c r="E182" s="162" t="s">
        <v>156</v>
      </c>
      <c r="F182" s="489" t="s">
        <v>2187</v>
      </c>
      <c r="G182" s="138" t="s">
        <v>744</v>
      </c>
      <c r="H182" s="137"/>
      <c r="I182" s="137"/>
      <c r="J182" s="200" t="s">
        <v>185</v>
      </c>
      <c r="K182" s="176" t="s">
        <v>185</v>
      </c>
      <c r="L182" s="176"/>
      <c r="M182" s="176"/>
      <c r="N182" s="222" t="s">
        <v>162</v>
      </c>
      <c r="O182" s="222" t="s">
        <v>162</v>
      </c>
      <c r="P182" s="222" t="s">
        <v>162</v>
      </c>
      <c r="Q182" s="222" t="s">
        <v>162</v>
      </c>
      <c r="S182" s="222" t="s">
        <v>162</v>
      </c>
      <c r="T182" s="222" t="s">
        <v>162</v>
      </c>
      <c r="U182" s="258" t="s">
        <v>162</v>
      </c>
      <c r="V182" s="168"/>
      <c r="W182" s="158" t="s">
        <v>966</v>
      </c>
      <c r="X182" s="158" t="s">
        <v>185</v>
      </c>
      <c r="Y182" s="158"/>
      <c r="Z182" s="158" t="s">
        <v>185</v>
      </c>
      <c r="AA182" s="158" t="str">
        <f>IF(GCP_2[[#This Row],[Column14]]="-","", "v")</f>
        <v/>
      </c>
      <c r="AB182" s="158" t="str">
        <f>IF(GCP_2[[#This Row],[Column8]]="x","1",(IF(OR(GCP_2[[#This Row],[Column25]]=2,GCP_2[[#This Row],[Column26]]=2,GCP_2[[#This Row],[Column27]]=2),"1",(IF(GCP_2[[#This Row],[Column9]]="x","2",(IF(GCP_2[[#This Row],[Column10]]="x","3","")))))))</f>
        <v>3</v>
      </c>
      <c r="AC182" s="454" t="str">
        <f>IF(GCP_2[[#This Row],[Column14]] = "-", GCP_2[[#This Row],[Column14]], LEFT(GCP_2[[#This Row],[Column14]], SEARCH(" ", GCP_2[[#This Row],[Column14]] &amp; " ") - 1))</f>
        <v>-</v>
      </c>
    </row>
    <row r="183" spans="1:29" ht="45">
      <c r="A183" s="221" t="s">
        <v>942</v>
      </c>
      <c r="B183" s="217" t="s">
        <v>162</v>
      </c>
      <c r="C183" s="217" t="s">
        <v>162</v>
      </c>
      <c r="D183" s="218" t="s">
        <v>162</v>
      </c>
      <c r="E183" s="218" t="s">
        <v>162</v>
      </c>
      <c r="F183" s="488" t="s">
        <v>2188</v>
      </c>
      <c r="G183" s="220" t="s">
        <v>746</v>
      </c>
      <c r="H183" s="218" t="s">
        <v>162</v>
      </c>
      <c r="I183" s="218" t="s">
        <v>162</v>
      </c>
      <c r="J183" s="218" t="s">
        <v>162</v>
      </c>
      <c r="K183" s="218" t="s">
        <v>162</v>
      </c>
      <c r="L183" s="218" t="s">
        <v>162</v>
      </c>
      <c r="M183" s="218" t="s">
        <v>162</v>
      </c>
      <c r="N183" s="260" t="s">
        <v>162</v>
      </c>
      <c r="O183" s="218" t="s">
        <v>162</v>
      </c>
      <c r="P183" s="218" t="s">
        <v>162</v>
      </c>
      <c r="Q183" s="218" t="s">
        <v>162</v>
      </c>
      <c r="R183" s="167"/>
      <c r="S183" s="218" t="s">
        <v>162</v>
      </c>
      <c r="T183" s="218" t="s">
        <v>162</v>
      </c>
      <c r="U183" s="217" t="s">
        <v>162</v>
      </c>
      <c r="V183" s="217" t="s">
        <v>162</v>
      </c>
      <c r="W183" s="217" t="s">
        <v>162</v>
      </c>
      <c r="X183" s="217" t="s">
        <v>162</v>
      </c>
      <c r="Y183" s="217" t="s">
        <v>162</v>
      </c>
      <c r="Z183" s="217" t="s">
        <v>162</v>
      </c>
      <c r="AA183" s="218" t="s">
        <v>162</v>
      </c>
      <c r="AB183" s="218" t="s">
        <v>162</v>
      </c>
      <c r="AC183" s="454" t="str">
        <f>IF(GCP_2[[#This Row],[Column14]] = "-", GCP_2[[#This Row],[Column14]], LEFT(GCP_2[[#This Row],[Column14]], SEARCH(" ", GCP_2[[#This Row],[Column14]] &amp; " ") - 1))</f>
        <v>-</v>
      </c>
    </row>
    <row r="184" spans="1:29" ht="60">
      <c r="A18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4" s="137" t="str">
        <f>GCP_2[[#This Row],[Column30]]</f>
        <v>-</v>
      </c>
      <c r="C184" s="137">
        <v>13.1</v>
      </c>
      <c r="D184" s="138" t="s">
        <v>390</v>
      </c>
      <c r="E184" s="162" t="s">
        <v>155</v>
      </c>
      <c r="F184" s="489" t="s">
        <v>2189</v>
      </c>
      <c r="G184" s="139" t="s">
        <v>748</v>
      </c>
      <c r="H184" s="137"/>
      <c r="I184" s="164" t="s">
        <v>185</v>
      </c>
      <c r="J184" s="200" t="s">
        <v>185</v>
      </c>
      <c r="K184" s="176" t="s">
        <v>185</v>
      </c>
      <c r="L184" s="176" t="s">
        <v>185</v>
      </c>
      <c r="M184" s="176" t="s">
        <v>185</v>
      </c>
      <c r="N184" s="222" t="s">
        <v>162</v>
      </c>
      <c r="O184" s="222" t="s">
        <v>162</v>
      </c>
      <c r="P184" s="222" t="s">
        <v>162</v>
      </c>
      <c r="Q184" s="222" t="s">
        <v>162</v>
      </c>
      <c r="R184" s="451"/>
      <c r="S184" s="222" t="s">
        <v>162</v>
      </c>
      <c r="T184" s="222" t="s">
        <v>162</v>
      </c>
      <c r="U184" s="258" t="s">
        <v>162</v>
      </c>
      <c r="V184" s="168"/>
      <c r="W184" s="158" t="s">
        <v>966</v>
      </c>
      <c r="X184" s="158" t="s">
        <v>185</v>
      </c>
      <c r="Y184" s="158"/>
      <c r="Z184" s="158" t="s">
        <v>185</v>
      </c>
      <c r="AA184" s="158" t="str">
        <f>IF(GCP_2[[#This Row],[Column14]]="-","", "v")</f>
        <v/>
      </c>
      <c r="AB184" s="158" t="str">
        <f>IF(GCP_2[[#This Row],[Column8]]="x","1",(IF(OR(GCP_2[[#This Row],[Column25]]=2,GCP_2[[#This Row],[Column26]]=2,GCP_2[[#This Row],[Column27]]=2),"1",(IF(GCP_2[[#This Row],[Column9]]="x","2",(IF(GCP_2[[#This Row],[Column10]]="x","3","")))))))</f>
        <v>2</v>
      </c>
      <c r="AC184" s="454" t="str">
        <f>IF(GCP_2[[#This Row],[Column14]] = "-", GCP_2[[#This Row],[Column14]], LEFT(GCP_2[[#This Row],[Column14]], SEARCH(" ", GCP_2[[#This Row],[Column14]] &amp; " ") - 1))</f>
        <v>-</v>
      </c>
    </row>
    <row r="185" spans="1:29" ht="30">
      <c r="A18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5" s="137" t="str">
        <f>GCP_2[[#This Row],[Column30]]</f>
        <v>-</v>
      </c>
      <c r="C185" s="137">
        <v>13.2</v>
      </c>
      <c r="D185" s="138" t="s">
        <v>352</v>
      </c>
      <c r="E185" s="162" t="s">
        <v>155</v>
      </c>
      <c r="F185" s="489" t="s">
        <v>2190</v>
      </c>
      <c r="G185" s="138" t="s">
        <v>750</v>
      </c>
      <c r="H185" s="137"/>
      <c r="I185" s="164" t="s">
        <v>185</v>
      </c>
      <c r="J185" s="200" t="s">
        <v>185</v>
      </c>
      <c r="K185" s="176" t="s">
        <v>185</v>
      </c>
      <c r="L185" s="176"/>
      <c r="M185" s="176"/>
      <c r="N185" s="222" t="s">
        <v>162</v>
      </c>
      <c r="O185" s="222" t="s">
        <v>162</v>
      </c>
      <c r="P185" s="222" t="s">
        <v>162</v>
      </c>
      <c r="Q185" s="222" t="s">
        <v>162</v>
      </c>
      <c r="R185" s="451"/>
      <c r="S185" s="222" t="s">
        <v>162</v>
      </c>
      <c r="T185" s="222" t="s">
        <v>162</v>
      </c>
      <c r="U185" s="258" t="s">
        <v>162</v>
      </c>
      <c r="V185" s="168"/>
      <c r="W185" s="158" t="s">
        <v>966</v>
      </c>
      <c r="X185" s="158" t="s">
        <v>185</v>
      </c>
      <c r="Y185" s="158"/>
      <c r="Z185" s="158" t="s">
        <v>185</v>
      </c>
      <c r="AA185" s="158" t="str">
        <f>IF(GCP_2[[#This Row],[Column14]]="-","", "v")</f>
        <v/>
      </c>
      <c r="AB185" s="158" t="str">
        <f>IF(GCP_2[[#This Row],[Column8]]="x","1",(IF(OR(GCP_2[[#This Row],[Column25]]=2,GCP_2[[#This Row],[Column26]]=2,GCP_2[[#This Row],[Column27]]=2),"1",(IF(GCP_2[[#This Row],[Column9]]="x","2",(IF(GCP_2[[#This Row],[Column10]]="x","3","")))))))</f>
        <v>2</v>
      </c>
      <c r="AC185" s="454" t="str">
        <f>IF(GCP_2[[#This Row],[Column14]] = "-", GCP_2[[#This Row],[Column14]], LEFT(GCP_2[[#This Row],[Column14]], SEARCH(" ", GCP_2[[#This Row],[Column14]] &amp; " ") - 1))</f>
        <v>-</v>
      </c>
    </row>
    <row r="186" spans="1:29" ht="45">
      <c r="A18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6" s="137" t="str">
        <f>GCP_2[[#This Row],[Column30]]</f>
        <v>-</v>
      </c>
      <c r="C186" s="137">
        <v>13.3</v>
      </c>
      <c r="D186" s="138" t="s">
        <v>390</v>
      </c>
      <c r="E186" s="162" t="s">
        <v>155</v>
      </c>
      <c r="F186" s="489" t="s">
        <v>2191</v>
      </c>
      <c r="G186" s="139" t="s">
        <v>752</v>
      </c>
      <c r="H186" s="137"/>
      <c r="I186" s="164" t="s">
        <v>185</v>
      </c>
      <c r="J186" s="200" t="s">
        <v>185</v>
      </c>
      <c r="K186" s="176" t="s">
        <v>185</v>
      </c>
      <c r="L186" s="176"/>
      <c r="M186" s="176"/>
      <c r="N186" s="222" t="s">
        <v>162</v>
      </c>
      <c r="O186" s="222" t="s">
        <v>162</v>
      </c>
      <c r="P186" s="222" t="s">
        <v>162</v>
      </c>
      <c r="Q186" s="222" t="s">
        <v>162</v>
      </c>
      <c r="R186" s="451"/>
      <c r="S186" s="222" t="s">
        <v>162</v>
      </c>
      <c r="T186" s="222" t="s">
        <v>162</v>
      </c>
      <c r="U186" s="258" t="s">
        <v>162</v>
      </c>
      <c r="V186" s="168"/>
      <c r="W186" s="158" t="s">
        <v>966</v>
      </c>
      <c r="X186" s="158" t="s">
        <v>185</v>
      </c>
      <c r="Y186" s="158"/>
      <c r="Z186" s="158" t="s">
        <v>185</v>
      </c>
      <c r="AA186" s="158" t="str">
        <f>IF(GCP_2[[#This Row],[Column14]]="-","", "v")</f>
        <v/>
      </c>
      <c r="AB186" s="158" t="str">
        <f>IF(GCP_2[[#This Row],[Column8]]="x","1",(IF(OR(GCP_2[[#This Row],[Column25]]=2,GCP_2[[#This Row],[Column26]]=2,GCP_2[[#This Row],[Column27]]=2),"1",(IF(GCP_2[[#This Row],[Column9]]="x","2",(IF(GCP_2[[#This Row],[Column10]]="x","3","")))))))</f>
        <v>2</v>
      </c>
      <c r="AC186" s="454" t="str">
        <f>IF(GCP_2[[#This Row],[Column14]] = "-", GCP_2[[#This Row],[Column14]], LEFT(GCP_2[[#This Row],[Column14]], SEARCH(" ", GCP_2[[#This Row],[Column14]] &amp; " ") - 1))</f>
        <v>-</v>
      </c>
    </row>
    <row r="187" spans="1:29" ht="15.75">
      <c r="A18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7" s="137" t="str">
        <f>GCP_2[[#This Row],[Column30]]</f>
        <v>-</v>
      </c>
      <c r="C187" s="137">
        <v>13.4</v>
      </c>
      <c r="D187" s="138" t="s">
        <v>390</v>
      </c>
      <c r="E187" s="162" t="s">
        <v>156</v>
      </c>
      <c r="F187" s="489" t="s">
        <v>2192</v>
      </c>
      <c r="G187" s="138" t="s">
        <v>754</v>
      </c>
      <c r="H187" s="137"/>
      <c r="I187" s="164" t="s">
        <v>185</v>
      </c>
      <c r="J187" s="200" t="s">
        <v>185</v>
      </c>
      <c r="K187" s="176" t="s">
        <v>185</v>
      </c>
      <c r="L187" s="176"/>
      <c r="M187" s="176"/>
      <c r="N187" s="222" t="s">
        <v>162</v>
      </c>
      <c r="O187" s="222" t="s">
        <v>162</v>
      </c>
      <c r="P187" s="222" t="s">
        <v>162</v>
      </c>
      <c r="Q187" s="222" t="s">
        <v>162</v>
      </c>
      <c r="R187" s="451"/>
      <c r="S187" s="222" t="s">
        <v>162</v>
      </c>
      <c r="T187" s="222" t="s">
        <v>162</v>
      </c>
      <c r="U187" s="258" t="s">
        <v>162</v>
      </c>
      <c r="V187" s="168"/>
      <c r="W187" s="158" t="s">
        <v>967</v>
      </c>
      <c r="X187" s="158" t="s">
        <v>185</v>
      </c>
      <c r="Y187" s="158"/>
      <c r="Z187" s="158" t="s">
        <v>185</v>
      </c>
      <c r="AA187" s="158" t="str">
        <f>IF(GCP_2[[#This Row],[Column14]]="-","", "v")</f>
        <v/>
      </c>
      <c r="AB187" s="158" t="str">
        <f>IF(GCP_2[[#This Row],[Column8]]="x","1",(IF(OR(GCP_2[[#This Row],[Column25]]=2,GCP_2[[#This Row],[Column26]]=2,GCP_2[[#This Row],[Column27]]=2),"1",(IF(GCP_2[[#This Row],[Column9]]="x","2",(IF(GCP_2[[#This Row],[Column10]]="x","3","")))))))</f>
        <v>2</v>
      </c>
      <c r="AC187" s="454" t="str">
        <f>IF(GCP_2[[#This Row],[Column14]] = "-", GCP_2[[#This Row],[Column14]], LEFT(GCP_2[[#This Row],[Column14]], SEARCH(" ", GCP_2[[#This Row],[Column14]] &amp; " ") - 1))</f>
        <v>-</v>
      </c>
    </row>
    <row r="188" spans="1:29" ht="15.75">
      <c r="A18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8" s="137" t="str">
        <f>GCP_2[[#This Row],[Column30]]</f>
        <v>-</v>
      </c>
      <c r="C188" s="137">
        <v>13.4</v>
      </c>
      <c r="D188" s="138" t="s">
        <v>390</v>
      </c>
      <c r="E188" s="162" t="s">
        <v>156</v>
      </c>
      <c r="F188" s="489" t="s">
        <v>2192</v>
      </c>
      <c r="G188" s="138" t="s">
        <v>754</v>
      </c>
      <c r="H188" s="137"/>
      <c r="I188" s="164" t="s">
        <v>185</v>
      </c>
      <c r="J188" s="200" t="s">
        <v>185</v>
      </c>
      <c r="K188" s="176" t="s">
        <v>185</v>
      </c>
      <c r="L188" s="176"/>
      <c r="M188" s="176"/>
      <c r="N188" s="222" t="s">
        <v>162</v>
      </c>
      <c r="O188" s="222" t="s">
        <v>162</v>
      </c>
      <c r="P188" s="222" t="s">
        <v>162</v>
      </c>
      <c r="Q188" s="222" t="s">
        <v>162</v>
      </c>
      <c r="R188" s="451"/>
      <c r="S188" s="222" t="s">
        <v>162</v>
      </c>
      <c r="T188" s="222" t="s">
        <v>162</v>
      </c>
      <c r="U188" s="258" t="s">
        <v>162</v>
      </c>
      <c r="V188" s="168"/>
      <c r="W188" s="158" t="s">
        <v>967</v>
      </c>
      <c r="X188" s="158" t="s">
        <v>185</v>
      </c>
      <c r="Y188" s="158"/>
      <c r="Z188" s="158" t="s">
        <v>185</v>
      </c>
      <c r="AA188" s="158" t="str">
        <f>IF(GCP_2[[#This Row],[Column14]]="-","", "v")</f>
        <v/>
      </c>
      <c r="AB188" s="158" t="str">
        <f>IF(GCP_2[[#This Row],[Column8]]="x","1",(IF(OR(GCP_2[[#This Row],[Column25]]=2,GCP_2[[#This Row],[Column26]]=2,GCP_2[[#This Row],[Column27]]=2),"1",(IF(GCP_2[[#This Row],[Column9]]="x","2",(IF(GCP_2[[#This Row],[Column10]]="x","3","")))))))</f>
        <v>2</v>
      </c>
      <c r="AC188" s="454" t="str">
        <f>IF(GCP_2[[#This Row],[Column14]] = "-", GCP_2[[#This Row],[Column14]], LEFT(GCP_2[[#This Row],[Column14]], SEARCH(" ", GCP_2[[#This Row],[Column14]] &amp; " ") - 1))</f>
        <v>-</v>
      </c>
    </row>
    <row r="189" spans="1:29" ht="15.75">
      <c r="A18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NOT(ISBLANK(K189)),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NOT(ISBLANK(L189)),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NOT(ISBLANK(M189)),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89" s="137" t="str">
        <f>GCP_2[[#This Row],[Column30]]</f>
        <v>-</v>
      </c>
      <c r="C189" s="137">
        <v>13.4</v>
      </c>
      <c r="D189" s="138" t="s">
        <v>390</v>
      </c>
      <c r="E189" s="162" t="s">
        <v>156</v>
      </c>
      <c r="F189" s="489" t="s">
        <v>2192</v>
      </c>
      <c r="G189" s="138" t="s">
        <v>754</v>
      </c>
      <c r="H189" s="137"/>
      <c r="I189" s="164" t="s">
        <v>185</v>
      </c>
      <c r="J189" s="200" t="s">
        <v>185</v>
      </c>
      <c r="K189" s="176" t="s">
        <v>185</v>
      </c>
      <c r="L189" s="176"/>
      <c r="M189" s="176"/>
      <c r="N189" s="222" t="s">
        <v>162</v>
      </c>
      <c r="O189" s="222" t="s">
        <v>162</v>
      </c>
      <c r="P189" s="222" t="s">
        <v>162</v>
      </c>
      <c r="Q189" s="222" t="s">
        <v>162</v>
      </c>
      <c r="R189" s="451"/>
      <c r="S189" s="222" t="s">
        <v>162</v>
      </c>
      <c r="T189" s="222" t="s">
        <v>162</v>
      </c>
      <c r="U189" s="258" t="s">
        <v>162</v>
      </c>
      <c r="V189" s="168"/>
      <c r="W189" s="158" t="s">
        <v>967</v>
      </c>
      <c r="X189" s="158" t="s">
        <v>185</v>
      </c>
      <c r="Y189" s="158"/>
      <c r="Z189" s="158" t="s">
        <v>185</v>
      </c>
      <c r="AA189" s="158" t="str">
        <f>IF(GCP_2[[#This Row],[Column14]]="-","", "v")</f>
        <v/>
      </c>
      <c r="AB189" s="158" t="str">
        <f>IF(GCP_2[[#This Row],[Column8]]="x","1",(IF(OR(GCP_2[[#This Row],[Column25]]=2,GCP_2[[#This Row],[Column26]]=2,GCP_2[[#This Row],[Column27]]=2),"1",(IF(GCP_2[[#This Row],[Column9]]="x","2",(IF(GCP_2[[#This Row],[Column10]]="x","3","")))))))</f>
        <v>2</v>
      </c>
      <c r="AC189" s="454" t="str">
        <f>IF(GCP_2[[#This Row],[Column14]] = "-", GCP_2[[#This Row],[Column14]], LEFT(GCP_2[[#This Row],[Column14]], SEARCH(" ", GCP_2[[#This Row],[Column14]] &amp; " ") - 1))</f>
        <v>-</v>
      </c>
    </row>
    <row r="190" spans="1:29" ht="75">
      <c r="A19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0" s="137" t="str">
        <f>GCP_2[[#This Row],[Column30]]</f>
        <v>-</v>
      </c>
      <c r="C190" s="137">
        <v>13.5</v>
      </c>
      <c r="D190" s="138" t="s">
        <v>352</v>
      </c>
      <c r="E190" s="162" t="s">
        <v>156</v>
      </c>
      <c r="F190" s="489" t="s">
        <v>2193</v>
      </c>
      <c r="G190" s="139" t="s">
        <v>766</v>
      </c>
      <c r="H190" s="137"/>
      <c r="I190" s="164" t="s">
        <v>185</v>
      </c>
      <c r="J190" s="200" t="s">
        <v>185</v>
      </c>
      <c r="K190" s="176" t="s">
        <v>185</v>
      </c>
      <c r="L190" s="176"/>
      <c r="M190" s="176"/>
      <c r="N190" s="222" t="s">
        <v>162</v>
      </c>
      <c r="O190" s="222" t="s">
        <v>162</v>
      </c>
      <c r="P190" s="222" t="s">
        <v>162</v>
      </c>
      <c r="Q190" s="222" t="s">
        <v>162</v>
      </c>
      <c r="R190" s="451"/>
      <c r="S190" s="222" t="s">
        <v>162</v>
      </c>
      <c r="T190" s="222" t="s">
        <v>162</v>
      </c>
      <c r="U190" s="258" t="s">
        <v>162</v>
      </c>
      <c r="V190" s="168"/>
      <c r="W190" s="158" t="s">
        <v>966</v>
      </c>
      <c r="X190" s="158" t="s">
        <v>185</v>
      </c>
      <c r="Y190" s="158"/>
      <c r="Z190" s="158" t="s">
        <v>185</v>
      </c>
      <c r="AA190" s="158" t="str">
        <f>IF(GCP_2[[#This Row],[Column14]]="-","", "v")</f>
        <v/>
      </c>
      <c r="AB190" s="158" t="str">
        <f>IF(GCP_2[[#This Row],[Column8]]="x","1",(IF(OR(GCP_2[[#This Row],[Column25]]=2,GCP_2[[#This Row],[Column26]]=2,GCP_2[[#This Row],[Column27]]=2),"1",(IF(GCP_2[[#This Row],[Column9]]="x","2",(IF(GCP_2[[#This Row],[Column10]]="x","3","")))))))</f>
        <v>2</v>
      </c>
      <c r="AC190" s="454" t="str">
        <f>IF(GCP_2[[#This Row],[Column14]] = "-", GCP_2[[#This Row],[Column14]], LEFT(GCP_2[[#This Row],[Column14]], SEARCH(" ", GCP_2[[#This Row],[Column14]] &amp; " ") - 1))</f>
        <v>-</v>
      </c>
    </row>
    <row r="191" spans="1:29" ht="409.5">
      <c r="A19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1" s="137" t="str">
        <f>GCP_2[[#This Row],[Column30]]</f>
        <v>3.8</v>
      </c>
      <c r="C191" s="137">
        <v>13.6</v>
      </c>
      <c r="D191" s="138" t="s">
        <v>390</v>
      </c>
      <c r="E191" s="162" t="s">
        <v>155</v>
      </c>
      <c r="F191" s="489" t="s">
        <v>2194</v>
      </c>
      <c r="G191" s="138" t="s">
        <v>768</v>
      </c>
      <c r="H191" s="137"/>
      <c r="I191" s="164" t="s">
        <v>185</v>
      </c>
      <c r="J191" s="200" t="s">
        <v>185</v>
      </c>
      <c r="K191" s="176" t="s">
        <v>185</v>
      </c>
      <c r="L191" s="176"/>
      <c r="M191" s="176"/>
      <c r="N191" s="222" t="s">
        <v>1388</v>
      </c>
      <c r="O191" s="212">
        <v>2</v>
      </c>
      <c r="P191" s="214" t="s">
        <v>1389</v>
      </c>
      <c r="Q191" s="214" t="s">
        <v>1390</v>
      </c>
      <c r="R191" s="451" t="s">
        <v>1391</v>
      </c>
      <c r="S191" s="214" t="s">
        <v>1392</v>
      </c>
      <c r="T191" s="214" t="s">
        <v>1393</v>
      </c>
      <c r="U191" s="258" t="s">
        <v>162</v>
      </c>
      <c r="V191" s="168" t="s">
        <v>1568</v>
      </c>
      <c r="W191" s="158" t="s">
        <v>967</v>
      </c>
      <c r="X191" s="158" t="s">
        <v>185</v>
      </c>
      <c r="Y191" s="158"/>
      <c r="Z191" s="158" t="s">
        <v>185</v>
      </c>
      <c r="AA191" s="158" t="str">
        <f>IF(GCP_2[[#This Row],[Column14]]="-","", "v")</f>
        <v>v</v>
      </c>
      <c r="AB191" s="158" t="str">
        <f>IF(GCP_2[[#This Row],[Column8]]="x","1",(IF(OR(GCP_2[[#This Row],[Column25]]=2,GCP_2[[#This Row],[Column26]]=2,GCP_2[[#This Row],[Column27]]=2),"1",(IF(GCP_2[[#This Row],[Column9]]="x","2",(IF(GCP_2[[#This Row],[Column10]]="x","3","")))))))</f>
        <v>2</v>
      </c>
      <c r="AC191" s="454" t="str">
        <f>IF(GCP_2[[#This Row],[Column14]] = "-", GCP_2[[#This Row],[Column14]], LEFT(GCP_2[[#This Row],[Column14]], SEARCH(" ", GCP_2[[#This Row],[Column14]] &amp; " ") - 1))</f>
        <v>3.8</v>
      </c>
    </row>
    <row r="192" spans="1:29" ht="45">
      <c r="A19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2" s="137" t="str">
        <f>GCP_2[[#This Row],[Column30]]</f>
        <v>-</v>
      </c>
      <c r="C192" s="137">
        <v>13.7</v>
      </c>
      <c r="D192" s="138" t="s">
        <v>352</v>
      </c>
      <c r="E192" s="162" t="s">
        <v>156</v>
      </c>
      <c r="F192" s="489" t="s">
        <v>2195</v>
      </c>
      <c r="G192" s="139" t="s">
        <v>770</v>
      </c>
      <c r="H192" s="137"/>
      <c r="I192" s="137"/>
      <c r="J192" s="200" t="s">
        <v>185</v>
      </c>
      <c r="K192" s="176" t="s">
        <v>185</v>
      </c>
      <c r="L192" s="176"/>
      <c r="M192" s="176"/>
      <c r="N192" s="222" t="s">
        <v>162</v>
      </c>
      <c r="O192" s="222" t="s">
        <v>162</v>
      </c>
      <c r="P192" s="222" t="s">
        <v>162</v>
      </c>
      <c r="Q192" s="222" t="s">
        <v>162</v>
      </c>
      <c r="R192" s="451"/>
      <c r="S192" s="222" t="s">
        <v>162</v>
      </c>
      <c r="T192" s="222" t="s">
        <v>162</v>
      </c>
      <c r="U192" s="258" t="s">
        <v>162</v>
      </c>
      <c r="V192" s="168"/>
      <c r="W192" s="158" t="s">
        <v>966</v>
      </c>
      <c r="X192" s="158" t="s">
        <v>185</v>
      </c>
      <c r="Y192" s="158"/>
      <c r="Z192" s="158" t="s">
        <v>185</v>
      </c>
      <c r="AA192" s="158" t="str">
        <f>IF(GCP_2[[#This Row],[Column14]]="-","", "v")</f>
        <v/>
      </c>
      <c r="AB192" s="158" t="str">
        <f>IF(GCP_2[[#This Row],[Column8]]="x","1",(IF(OR(GCP_2[[#This Row],[Column25]]=2,GCP_2[[#This Row],[Column26]]=2,GCP_2[[#This Row],[Column27]]=2),"1",(IF(GCP_2[[#This Row],[Column9]]="x","2",(IF(GCP_2[[#This Row],[Column10]]="x","3","")))))))</f>
        <v>3</v>
      </c>
      <c r="AC192" s="454" t="str">
        <f>IF(GCP_2[[#This Row],[Column14]] = "-", GCP_2[[#This Row],[Column14]], LEFT(GCP_2[[#This Row],[Column14]], SEARCH(" ", GCP_2[[#This Row],[Column14]] &amp; " ") - 1))</f>
        <v>-</v>
      </c>
    </row>
    <row r="193" spans="1:29" ht="45">
      <c r="A19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3" s="137" t="str">
        <f>GCP_2[[#This Row],[Column30]]</f>
        <v>-</v>
      </c>
      <c r="C193" s="137">
        <v>13.8</v>
      </c>
      <c r="D193" s="138" t="s">
        <v>390</v>
      </c>
      <c r="E193" s="162" t="s">
        <v>156</v>
      </c>
      <c r="F193" s="489" t="s">
        <v>2196</v>
      </c>
      <c r="G193" s="138" t="s">
        <v>772</v>
      </c>
      <c r="H193" s="137"/>
      <c r="I193" s="137"/>
      <c r="J193" s="200" t="s">
        <v>185</v>
      </c>
      <c r="K193" s="158" t="s">
        <v>185</v>
      </c>
      <c r="L193" s="158"/>
      <c r="M193" s="158"/>
      <c r="N193" s="222" t="s">
        <v>162</v>
      </c>
      <c r="O193" s="222" t="s">
        <v>162</v>
      </c>
      <c r="P193" s="222" t="s">
        <v>162</v>
      </c>
      <c r="Q193" s="222" t="s">
        <v>162</v>
      </c>
      <c r="R193" s="451"/>
      <c r="S193" s="222" t="s">
        <v>162</v>
      </c>
      <c r="T193" s="222" t="s">
        <v>162</v>
      </c>
      <c r="U193" s="258" t="s">
        <v>162</v>
      </c>
      <c r="V193" s="168"/>
      <c r="W193" s="158" t="s">
        <v>966</v>
      </c>
      <c r="X193" s="158" t="s">
        <v>185</v>
      </c>
      <c r="Y193" s="158"/>
      <c r="Z193" s="158" t="s">
        <v>185</v>
      </c>
      <c r="AA193" s="158" t="str">
        <f>IF(GCP_2[[#This Row],[Column14]]="-","", "v")</f>
        <v/>
      </c>
      <c r="AB193" s="158" t="str">
        <f>IF(GCP_2[[#This Row],[Column8]]="x","1",(IF(OR(GCP_2[[#This Row],[Column25]]=2,GCP_2[[#This Row],[Column26]]=2,GCP_2[[#This Row],[Column27]]=2),"1",(IF(GCP_2[[#This Row],[Column9]]="x","2",(IF(GCP_2[[#This Row],[Column10]]="x","3","")))))))</f>
        <v>3</v>
      </c>
      <c r="AC193" s="454" t="str">
        <f>IF(GCP_2[[#This Row],[Column14]] = "-", GCP_2[[#This Row],[Column14]], LEFT(GCP_2[[#This Row],[Column14]], SEARCH(" ", GCP_2[[#This Row],[Column14]] &amp; " ") - 1))</f>
        <v>-</v>
      </c>
    </row>
    <row r="194" spans="1:29" ht="45">
      <c r="A19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4" s="137" t="str">
        <f>GCP_2[[#This Row],[Column30]]</f>
        <v>-</v>
      </c>
      <c r="C194" s="137">
        <v>13.9</v>
      </c>
      <c r="D194" s="138" t="s">
        <v>352</v>
      </c>
      <c r="E194" s="162" t="s">
        <v>156</v>
      </c>
      <c r="F194" s="489" t="s">
        <v>2197</v>
      </c>
      <c r="G194" s="138" t="s">
        <v>774</v>
      </c>
      <c r="H194" s="137"/>
      <c r="I194" s="137"/>
      <c r="J194" s="200" t="s">
        <v>185</v>
      </c>
      <c r="K194" s="176" t="s">
        <v>185</v>
      </c>
      <c r="L194" s="158"/>
      <c r="M194" s="158"/>
      <c r="N194" s="222" t="s">
        <v>162</v>
      </c>
      <c r="O194" s="222" t="s">
        <v>162</v>
      </c>
      <c r="P194" s="222" t="s">
        <v>162</v>
      </c>
      <c r="Q194" s="222" t="s">
        <v>162</v>
      </c>
      <c r="R194" s="451"/>
      <c r="S194" s="222" t="s">
        <v>162</v>
      </c>
      <c r="T194" s="222" t="s">
        <v>162</v>
      </c>
      <c r="U194" s="258" t="s">
        <v>162</v>
      </c>
      <c r="V194" s="168"/>
      <c r="W194" s="158" t="s">
        <v>966</v>
      </c>
      <c r="X194" s="158" t="s">
        <v>185</v>
      </c>
      <c r="Y194" s="158"/>
      <c r="Z194" s="158" t="s">
        <v>185</v>
      </c>
      <c r="AA194" s="158" t="str">
        <f>IF(GCP_2[[#This Row],[Column14]]="-","", "v")</f>
        <v/>
      </c>
      <c r="AB194" s="158" t="str">
        <f>IF(GCP_2[[#This Row],[Column8]]="x","1",(IF(OR(GCP_2[[#This Row],[Column25]]=2,GCP_2[[#This Row],[Column26]]=2,GCP_2[[#This Row],[Column27]]=2),"1",(IF(GCP_2[[#This Row],[Column9]]="x","2",(IF(GCP_2[[#This Row],[Column10]]="x","3","")))))))</f>
        <v>3</v>
      </c>
      <c r="AC194" s="454" t="str">
        <f>IF(GCP_2[[#This Row],[Column14]] = "-", GCP_2[[#This Row],[Column14]], LEFT(GCP_2[[#This Row],[Column14]], SEARCH(" ", GCP_2[[#This Row],[Column14]] &amp; " ") - 1))</f>
        <v>-</v>
      </c>
    </row>
    <row r="195" spans="1:29" ht="30">
      <c r="A19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5" s="137" t="str">
        <f>GCP_2[[#This Row],[Column30]]</f>
        <v>-</v>
      </c>
      <c r="C195" s="142">
        <v>13.1</v>
      </c>
      <c r="D195" s="138" t="s">
        <v>390</v>
      </c>
      <c r="E195" s="162" t="s">
        <v>156</v>
      </c>
      <c r="F195" s="489" t="s">
        <v>2198</v>
      </c>
      <c r="G195" s="138" t="s">
        <v>776</v>
      </c>
      <c r="H195" s="137"/>
      <c r="I195" s="137"/>
      <c r="J195" s="200" t="s">
        <v>185</v>
      </c>
      <c r="K195" s="176" t="s">
        <v>185</v>
      </c>
      <c r="L195" s="176"/>
      <c r="M195" s="176"/>
      <c r="N195" s="222" t="s">
        <v>162</v>
      </c>
      <c r="O195" s="222" t="s">
        <v>162</v>
      </c>
      <c r="P195" s="222" t="s">
        <v>162</v>
      </c>
      <c r="Q195" s="222" t="s">
        <v>162</v>
      </c>
      <c r="R195" s="451"/>
      <c r="S195" s="222" t="s">
        <v>162</v>
      </c>
      <c r="T195" s="222" t="s">
        <v>162</v>
      </c>
      <c r="U195" s="258" t="s">
        <v>162</v>
      </c>
      <c r="V195" s="168"/>
      <c r="W195" s="158" t="s">
        <v>966</v>
      </c>
      <c r="X195" s="158" t="s">
        <v>185</v>
      </c>
      <c r="Y195" s="158"/>
      <c r="Z195" s="158" t="s">
        <v>185</v>
      </c>
      <c r="AA195" s="158" t="str">
        <f>IF(GCP_2[[#This Row],[Column14]]="-","", "v")</f>
        <v/>
      </c>
      <c r="AB195" s="158" t="str">
        <f>IF(GCP_2[[#This Row],[Column8]]="x","1",(IF(OR(GCP_2[[#This Row],[Column25]]=2,GCP_2[[#This Row],[Column26]]=2,GCP_2[[#This Row],[Column27]]=2),"1",(IF(GCP_2[[#This Row],[Column9]]="x","2",(IF(GCP_2[[#This Row],[Column10]]="x","3","")))))))</f>
        <v>3</v>
      </c>
      <c r="AC195" s="454" t="str">
        <f>IF(GCP_2[[#This Row],[Column14]] = "-", GCP_2[[#This Row],[Column14]], LEFT(GCP_2[[#This Row],[Column14]], SEARCH(" ", GCP_2[[#This Row],[Column14]] &amp; " ") - 1))</f>
        <v>-</v>
      </c>
    </row>
    <row r="196" spans="1:29" ht="15.75">
      <c r="A19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6" s="137" t="str">
        <f>GCP_2[[#This Row],[Column30]]</f>
        <v>-</v>
      </c>
      <c r="C196" s="137">
        <v>13.11</v>
      </c>
      <c r="D196" s="138" t="s">
        <v>390</v>
      </c>
      <c r="E196" s="162" t="s">
        <v>155</v>
      </c>
      <c r="F196" s="489" t="s">
        <v>2199</v>
      </c>
      <c r="G196" s="138" t="s">
        <v>778</v>
      </c>
      <c r="H196" s="137"/>
      <c r="I196" s="137"/>
      <c r="J196" s="200" t="s">
        <v>185</v>
      </c>
      <c r="K196" s="176" t="s">
        <v>185</v>
      </c>
      <c r="L196" s="176" t="s">
        <v>185</v>
      </c>
      <c r="M196" s="176" t="s">
        <v>185</v>
      </c>
      <c r="N196" s="222" t="s">
        <v>162</v>
      </c>
      <c r="O196" s="222" t="s">
        <v>162</v>
      </c>
      <c r="P196" s="222" t="s">
        <v>162</v>
      </c>
      <c r="Q196" s="222" t="s">
        <v>162</v>
      </c>
      <c r="R196" s="451"/>
      <c r="S196" s="222" t="s">
        <v>162</v>
      </c>
      <c r="T196" s="222" t="s">
        <v>162</v>
      </c>
      <c r="U196" s="258" t="s">
        <v>162</v>
      </c>
      <c r="V196" s="168"/>
      <c r="W196" s="158" t="s">
        <v>966</v>
      </c>
      <c r="X196" s="158" t="s">
        <v>185</v>
      </c>
      <c r="Y196" s="158"/>
      <c r="Z196" s="158" t="s">
        <v>185</v>
      </c>
      <c r="AA196" s="158" t="str">
        <f>IF(GCP_2[[#This Row],[Column14]]="-","", "v")</f>
        <v/>
      </c>
      <c r="AB196" s="158" t="str">
        <f>IF(GCP_2[[#This Row],[Column8]]="x","1",(IF(OR(GCP_2[[#This Row],[Column25]]=2,GCP_2[[#This Row],[Column26]]=2,GCP_2[[#This Row],[Column27]]=2),"1",(IF(GCP_2[[#This Row],[Column9]]="x","2",(IF(GCP_2[[#This Row],[Column10]]="x","3","")))))))</f>
        <v>3</v>
      </c>
      <c r="AC196" s="454" t="str">
        <f>IF(GCP_2[[#This Row],[Column14]] = "-", GCP_2[[#This Row],[Column14]], LEFT(GCP_2[[#This Row],[Column14]], SEARCH(" ", GCP_2[[#This Row],[Column14]] &amp; " ") - 1))</f>
        <v>-</v>
      </c>
    </row>
    <row r="197" spans="1:29" ht="45">
      <c r="A197" s="221" t="s">
        <v>942</v>
      </c>
      <c r="B197" s="217" t="s">
        <v>162</v>
      </c>
      <c r="C197" s="217" t="s">
        <v>162</v>
      </c>
      <c r="D197" s="218" t="s">
        <v>162</v>
      </c>
      <c r="E197" s="218" t="s">
        <v>162</v>
      </c>
      <c r="F197" s="488" t="s">
        <v>2200</v>
      </c>
      <c r="G197" s="220" t="s">
        <v>780</v>
      </c>
      <c r="H197" s="218" t="s">
        <v>162</v>
      </c>
      <c r="I197" s="218" t="s">
        <v>162</v>
      </c>
      <c r="J197" s="218" t="s">
        <v>162</v>
      </c>
      <c r="K197" s="218" t="s">
        <v>162</v>
      </c>
      <c r="L197" s="218" t="s">
        <v>162</v>
      </c>
      <c r="M197" s="218" t="s">
        <v>162</v>
      </c>
      <c r="N197" s="260" t="s">
        <v>162</v>
      </c>
      <c r="O197" s="218" t="s">
        <v>162</v>
      </c>
      <c r="P197" s="218" t="s">
        <v>162</v>
      </c>
      <c r="Q197" s="218" t="s">
        <v>162</v>
      </c>
      <c r="R197" s="167"/>
      <c r="S197" s="218" t="s">
        <v>162</v>
      </c>
      <c r="T197" s="218" t="s">
        <v>162</v>
      </c>
      <c r="U197" s="217" t="s">
        <v>162</v>
      </c>
      <c r="V197" s="217" t="s">
        <v>162</v>
      </c>
      <c r="W197" s="217" t="s">
        <v>162</v>
      </c>
      <c r="X197" s="217" t="s">
        <v>162</v>
      </c>
      <c r="Y197" s="217" t="s">
        <v>162</v>
      </c>
      <c r="Z197" s="217" t="s">
        <v>162</v>
      </c>
      <c r="AA197" s="218" t="s">
        <v>162</v>
      </c>
      <c r="AB197" s="218" t="s">
        <v>162</v>
      </c>
      <c r="AC197" s="454" t="str">
        <f>IF(GCP_2[[#This Row],[Column14]] = "-", GCP_2[[#This Row],[Column14]], LEFT(GCP_2[[#This Row],[Column14]], SEARCH(" ", GCP_2[[#This Row],[Column14]] &amp; " ") - 1))</f>
        <v>-</v>
      </c>
    </row>
    <row r="198" spans="1:29" ht="75">
      <c r="A19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8" s="137" t="str">
        <f>GCP_2[[#This Row],[Column30]]</f>
        <v>-</v>
      </c>
      <c r="C198" s="137">
        <v>14.1</v>
      </c>
      <c r="D198" s="138" t="s">
        <v>781</v>
      </c>
      <c r="E198" s="162" t="s">
        <v>156</v>
      </c>
      <c r="F198" s="489" t="s">
        <v>2201</v>
      </c>
      <c r="G198" s="138" t="s">
        <v>783</v>
      </c>
      <c r="H198" s="163" t="s">
        <v>185</v>
      </c>
      <c r="I198" s="164" t="s">
        <v>185</v>
      </c>
      <c r="J198" s="200" t="s">
        <v>185</v>
      </c>
      <c r="K198" s="176" t="s">
        <v>185</v>
      </c>
      <c r="L198" s="176" t="s">
        <v>185</v>
      </c>
      <c r="M198" s="176" t="s">
        <v>185</v>
      </c>
      <c r="N198" s="222" t="s">
        <v>162</v>
      </c>
      <c r="O198" s="222" t="s">
        <v>162</v>
      </c>
      <c r="P198" s="222" t="s">
        <v>162</v>
      </c>
      <c r="Q198" s="222" t="s">
        <v>162</v>
      </c>
      <c r="S198" s="222" t="s">
        <v>162</v>
      </c>
      <c r="T198" s="222" t="s">
        <v>162</v>
      </c>
      <c r="U198" s="258" t="s">
        <v>162</v>
      </c>
      <c r="V198" s="168"/>
      <c r="W198" s="158" t="s">
        <v>966</v>
      </c>
      <c r="X198" s="158" t="s">
        <v>185</v>
      </c>
      <c r="Y198" s="158" t="s">
        <v>185</v>
      </c>
      <c r="Z198" s="158" t="s">
        <v>185</v>
      </c>
      <c r="AA198" s="158" t="str">
        <f>IF(GCP_2[[#This Row],[Column14]]="-","", "v")</f>
        <v/>
      </c>
      <c r="AB198" s="158" t="str">
        <f>IF(GCP_2[[#This Row],[Column8]]="x","1",(IF(OR(GCP_2[[#This Row],[Column25]]=2,GCP_2[[#This Row],[Column26]]=2,GCP_2[[#This Row],[Column27]]=2),"1",(IF(GCP_2[[#This Row],[Column9]]="x","2",(IF(GCP_2[[#This Row],[Column10]]="x","3","")))))))</f>
        <v>1</v>
      </c>
      <c r="AC198" s="454" t="str">
        <f>IF(GCP_2[[#This Row],[Column14]] = "-", GCP_2[[#This Row],[Column14]], LEFT(GCP_2[[#This Row],[Column14]], SEARCH(" ", GCP_2[[#This Row],[Column14]] &amp; " ") - 1))</f>
        <v>-</v>
      </c>
    </row>
    <row r="199" spans="1:29" ht="30">
      <c r="A19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NOT(ISBLANK(K199)),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NOT(ISBLANK(L199)),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NOT(ISBLANK(M199)),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199" s="137" t="str">
        <f>GCP_2[[#This Row],[Column30]]</f>
        <v>-</v>
      </c>
      <c r="C199" s="137">
        <v>14.2</v>
      </c>
      <c r="D199" s="138" t="s">
        <v>781</v>
      </c>
      <c r="E199" s="162" t="s">
        <v>156</v>
      </c>
      <c r="F199" s="489" t="s">
        <v>2202</v>
      </c>
      <c r="G199" s="138" t="s">
        <v>785</v>
      </c>
      <c r="H199" s="163" t="s">
        <v>185</v>
      </c>
      <c r="I199" s="164" t="s">
        <v>185</v>
      </c>
      <c r="J199" s="200" t="s">
        <v>185</v>
      </c>
      <c r="K199" s="176" t="s">
        <v>185</v>
      </c>
      <c r="L199" s="176" t="s">
        <v>185</v>
      </c>
      <c r="M199" s="176" t="s">
        <v>185</v>
      </c>
      <c r="N199" s="222" t="s">
        <v>162</v>
      </c>
      <c r="O199" s="222" t="s">
        <v>162</v>
      </c>
      <c r="P199" s="222" t="s">
        <v>162</v>
      </c>
      <c r="Q199" s="222" t="s">
        <v>162</v>
      </c>
      <c r="S199" s="222" t="s">
        <v>162</v>
      </c>
      <c r="T199" s="222" t="s">
        <v>162</v>
      </c>
      <c r="U199" s="258" t="s">
        <v>162</v>
      </c>
      <c r="V199" s="168"/>
      <c r="W199" s="158" t="s">
        <v>966</v>
      </c>
      <c r="X199" s="158" t="s">
        <v>185</v>
      </c>
      <c r="Y199" s="158" t="s">
        <v>185</v>
      </c>
      <c r="Z199" s="158" t="s">
        <v>185</v>
      </c>
      <c r="AA199" s="158" t="str">
        <f>IF(GCP_2[[#This Row],[Column14]]="-","", "v")</f>
        <v/>
      </c>
      <c r="AB199" s="158" t="str">
        <f>IF(GCP_2[[#This Row],[Column8]]="x","1",(IF(OR(GCP_2[[#This Row],[Column25]]=2,GCP_2[[#This Row],[Column26]]=2,GCP_2[[#This Row],[Column27]]=2),"1",(IF(GCP_2[[#This Row],[Column9]]="x","2",(IF(GCP_2[[#This Row],[Column10]]="x","3","")))))))</f>
        <v>1</v>
      </c>
      <c r="AC199" s="454" t="str">
        <f>IF(GCP_2[[#This Row],[Column14]] = "-", GCP_2[[#This Row],[Column14]], LEFT(GCP_2[[#This Row],[Column14]], SEARCH(" ", GCP_2[[#This Row],[Column14]] &amp; " ") - 1))</f>
        <v>-</v>
      </c>
    </row>
    <row r="200" spans="1:29" ht="30">
      <c r="A20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0" s="137" t="str">
        <f>GCP_2[[#This Row],[Column30]]</f>
        <v>-</v>
      </c>
      <c r="C200" s="137">
        <v>14.3</v>
      </c>
      <c r="D200" s="138" t="s">
        <v>781</v>
      </c>
      <c r="E200" s="162" t="s">
        <v>156</v>
      </c>
      <c r="F200" s="489" t="s">
        <v>2203</v>
      </c>
      <c r="G200" s="138" t="s">
        <v>787</v>
      </c>
      <c r="H200" s="163" t="s">
        <v>185</v>
      </c>
      <c r="I200" s="164" t="s">
        <v>185</v>
      </c>
      <c r="J200" s="200" t="s">
        <v>185</v>
      </c>
      <c r="K200" s="176" t="s">
        <v>185</v>
      </c>
      <c r="L200" s="176" t="s">
        <v>185</v>
      </c>
      <c r="M200" s="176" t="s">
        <v>185</v>
      </c>
      <c r="N200" s="222" t="s">
        <v>162</v>
      </c>
      <c r="O200" s="222" t="s">
        <v>162</v>
      </c>
      <c r="P200" s="222" t="s">
        <v>162</v>
      </c>
      <c r="Q200" s="222" t="s">
        <v>162</v>
      </c>
      <c r="S200" s="222" t="s">
        <v>162</v>
      </c>
      <c r="T200" s="222" t="s">
        <v>162</v>
      </c>
      <c r="U200" s="258" t="s">
        <v>162</v>
      </c>
      <c r="V200" s="168"/>
      <c r="W200" s="158" t="s">
        <v>966</v>
      </c>
      <c r="X200" s="158" t="s">
        <v>185</v>
      </c>
      <c r="Y200" s="158" t="s">
        <v>185</v>
      </c>
      <c r="Z200" s="158" t="s">
        <v>185</v>
      </c>
      <c r="AA200" s="158" t="str">
        <f>IF(GCP_2[[#This Row],[Column14]]="-","", "v")</f>
        <v/>
      </c>
      <c r="AB200" s="158" t="str">
        <f>IF(GCP_2[[#This Row],[Column8]]="x","1",(IF(OR(GCP_2[[#This Row],[Column25]]=2,GCP_2[[#This Row],[Column26]]=2,GCP_2[[#This Row],[Column27]]=2),"1",(IF(GCP_2[[#This Row],[Column9]]="x","2",(IF(GCP_2[[#This Row],[Column10]]="x","3","")))))))</f>
        <v>1</v>
      </c>
      <c r="AC200" s="454" t="str">
        <f>IF(GCP_2[[#This Row],[Column14]] = "-", GCP_2[[#This Row],[Column14]], LEFT(GCP_2[[#This Row],[Column14]], SEARCH(" ", GCP_2[[#This Row],[Column14]] &amp; " ") - 1))</f>
        <v>-</v>
      </c>
    </row>
    <row r="201" spans="1:29" ht="75">
      <c r="A20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1" s="137" t="str">
        <f>GCP_2[[#This Row],[Column30]]</f>
        <v>-</v>
      </c>
      <c r="C201" s="137">
        <v>14.4</v>
      </c>
      <c r="D201" s="138" t="s">
        <v>781</v>
      </c>
      <c r="E201" s="162" t="s">
        <v>156</v>
      </c>
      <c r="F201" s="489" t="s">
        <v>2204</v>
      </c>
      <c r="G201" s="138" t="s">
        <v>789</v>
      </c>
      <c r="H201" s="163" t="s">
        <v>185</v>
      </c>
      <c r="I201" s="164" t="s">
        <v>185</v>
      </c>
      <c r="J201" s="200" t="s">
        <v>185</v>
      </c>
      <c r="K201" s="176" t="s">
        <v>185</v>
      </c>
      <c r="L201" s="176" t="s">
        <v>185</v>
      </c>
      <c r="M201" s="176" t="s">
        <v>185</v>
      </c>
      <c r="N201" s="222" t="s">
        <v>162</v>
      </c>
      <c r="O201" s="222" t="s">
        <v>162</v>
      </c>
      <c r="P201" s="222" t="s">
        <v>162</v>
      </c>
      <c r="Q201" s="222" t="s">
        <v>162</v>
      </c>
      <c r="S201" s="222" t="s">
        <v>162</v>
      </c>
      <c r="T201" s="222" t="s">
        <v>162</v>
      </c>
      <c r="U201" s="258" t="s">
        <v>162</v>
      </c>
      <c r="V201" s="168"/>
      <c r="W201" s="158" t="s">
        <v>966</v>
      </c>
      <c r="X201" s="158" t="s">
        <v>185</v>
      </c>
      <c r="Y201" s="158" t="s">
        <v>185</v>
      </c>
      <c r="Z201" s="158" t="s">
        <v>185</v>
      </c>
      <c r="AA201" s="158" t="str">
        <f>IF(GCP_2[[#This Row],[Column14]]="-","", "v")</f>
        <v/>
      </c>
      <c r="AB201" s="158" t="str">
        <f>IF(GCP_2[[#This Row],[Column8]]="x","1",(IF(OR(GCP_2[[#This Row],[Column25]]=2,GCP_2[[#This Row],[Column26]]=2,GCP_2[[#This Row],[Column27]]=2),"1",(IF(GCP_2[[#This Row],[Column9]]="x","2",(IF(GCP_2[[#This Row],[Column10]]="x","3","")))))))</f>
        <v>1</v>
      </c>
      <c r="AC201" s="454" t="str">
        <f>IF(GCP_2[[#This Row],[Column14]] = "-", GCP_2[[#This Row],[Column14]], LEFT(GCP_2[[#This Row],[Column14]], SEARCH(" ", GCP_2[[#This Row],[Column14]] &amp; " ") - 1))</f>
        <v>-</v>
      </c>
    </row>
    <row r="202" spans="1:29" ht="45">
      <c r="A20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2" s="137" t="str">
        <f>GCP_2[[#This Row],[Column30]]</f>
        <v>-</v>
      </c>
      <c r="C202" s="137">
        <v>14.5</v>
      </c>
      <c r="D202" s="138" t="s">
        <v>781</v>
      </c>
      <c r="E202" s="162" t="s">
        <v>156</v>
      </c>
      <c r="F202" s="489" t="s">
        <v>2205</v>
      </c>
      <c r="G202" s="139" t="s">
        <v>791</v>
      </c>
      <c r="H202" s="163" t="s">
        <v>185</v>
      </c>
      <c r="I202" s="164" t="s">
        <v>185</v>
      </c>
      <c r="J202" s="200" t="s">
        <v>185</v>
      </c>
      <c r="K202" s="176" t="s">
        <v>185</v>
      </c>
      <c r="L202" s="176" t="s">
        <v>185</v>
      </c>
      <c r="M202" s="176" t="s">
        <v>185</v>
      </c>
      <c r="N202" s="222" t="s">
        <v>162</v>
      </c>
      <c r="O202" s="222" t="s">
        <v>162</v>
      </c>
      <c r="P202" s="222" t="s">
        <v>162</v>
      </c>
      <c r="Q202" s="222" t="s">
        <v>162</v>
      </c>
      <c r="S202" s="222" t="s">
        <v>162</v>
      </c>
      <c r="T202" s="222" t="s">
        <v>162</v>
      </c>
      <c r="U202" s="258" t="s">
        <v>162</v>
      </c>
      <c r="V202" s="168"/>
      <c r="W202" s="158" t="s">
        <v>966</v>
      </c>
      <c r="X202" s="158" t="s">
        <v>185</v>
      </c>
      <c r="Y202" s="158" t="s">
        <v>185</v>
      </c>
      <c r="Z202" s="158" t="s">
        <v>185</v>
      </c>
      <c r="AA202" s="158" t="str">
        <f>IF(GCP_2[[#This Row],[Column14]]="-","", "v")</f>
        <v/>
      </c>
      <c r="AB202" s="158" t="str">
        <f>IF(GCP_2[[#This Row],[Column8]]="x","1",(IF(OR(GCP_2[[#This Row],[Column25]]=2,GCP_2[[#This Row],[Column26]]=2,GCP_2[[#This Row],[Column27]]=2),"1",(IF(GCP_2[[#This Row],[Column9]]="x","2",(IF(GCP_2[[#This Row],[Column10]]="x","3","")))))))</f>
        <v>1</v>
      </c>
      <c r="AC202" s="454" t="str">
        <f>IF(GCP_2[[#This Row],[Column14]] = "-", GCP_2[[#This Row],[Column14]], LEFT(GCP_2[[#This Row],[Column14]], SEARCH(" ", GCP_2[[#This Row],[Column14]] &amp; " ") - 1))</f>
        <v>-</v>
      </c>
    </row>
    <row r="203" spans="1:29" ht="30">
      <c r="A20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3" s="137" t="str">
        <f>GCP_2[[#This Row],[Column30]]</f>
        <v>-</v>
      </c>
      <c r="C203" s="137">
        <v>14.6</v>
      </c>
      <c r="D203" s="138" t="s">
        <v>781</v>
      </c>
      <c r="E203" s="162" t="s">
        <v>156</v>
      </c>
      <c r="F203" s="489" t="s">
        <v>2206</v>
      </c>
      <c r="G203" s="138" t="s">
        <v>793</v>
      </c>
      <c r="H203" s="163" t="s">
        <v>185</v>
      </c>
      <c r="I203" s="164" t="s">
        <v>185</v>
      </c>
      <c r="J203" s="200" t="s">
        <v>185</v>
      </c>
      <c r="K203" s="176" t="s">
        <v>185</v>
      </c>
      <c r="L203" s="176" t="s">
        <v>185</v>
      </c>
      <c r="M203" s="176" t="s">
        <v>185</v>
      </c>
      <c r="N203" s="222" t="s">
        <v>162</v>
      </c>
      <c r="O203" s="222" t="s">
        <v>162</v>
      </c>
      <c r="P203" s="222" t="s">
        <v>162</v>
      </c>
      <c r="Q203" s="222" t="s">
        <v>162</v>
      </c>
      <c r="S203" s="222" t="s">
        <v>162</v>
      </c>
      <c r="T203" s="222" t="s">
        <v>162</v>
      </c>
      <c r="U203" s="258" t="s">
        <v>162</v>
      </c>
      <c r="V203" s="168"/>
      <c r="W203" s="158" t="s">
        <v>966</v>
      </c>
      <c r="X203" s="158" t="s">
        <v>185</v>
      </c>
      <c r="Y203" s="158" t="s">
        <v>185</v>
      </c>
      <c r="Z203" s="158" t="s">
        <v>185</v>
      </c>
      <c r="AA203" s="158" t="str">
        <f>IF(GCP_2[[#This Row],[Column14]]="-","", "v")</f>
        <v/>
      </c>
      <c r="AB203" s="158" t="str">
        <f>IF(GCP_2[[#This Row],[Column8]]="x","1",(IF(OR(GCP_2[[#This Row],[Column25]]=2,GCP_2[[#This Row],[Column26]]=2,GCP_2[[#This Row],[Column27]]=2),"1",(IF(GCP_2[[#This Row],[Column9]]="x","2",(IF(GCP_2[[#This Row],[Column10]]="x","3","")))))))</f>
        <v>1</v>
      </c>
      <c r="AC203" s="454" t="str">
        <f>IF(GCP_2[[#This Row],[Column14]] = "-", GCP_2[[#This Row],[Column14]], LEFT(GCP_2[[#This Row],[Column14]], SEARCH(" ", GCP_2[[#This Row],[Column14]] &amp; " ") - 1))</f>
        <v>-</v>
      </c>
    </row>
    <row r="204" spans="1:29" ht="60">
      <c r="A20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4" s="137" t="str">
        <f>GCP_2[[#This Row],[Column30]]</f>
        <v>-</v>
      </c>
      <c r="C204" s="137">
        <v>14.7</v>
      </c>
      <c r="D204" s="138" t="s">
        <v>781</v>
      </c>
      <c r="E204" s="162" t="s">
        <v>156</v>
      </c>
      <c r="F204" s="489" t="s">
        <v>2207</v>
      </c>
      <c r="G204" s="138" t="s">
        <v>795</v>
      </c>
      <c r="H204" s="163" t="s">
        <v>185</v>
      </c>
      <c r="I204" s="164" t="s">
        <v>185</v>
      </c>
      <c r="J204" s="200" t="s">
        <v>185</v>
      </c>
      <c r="K204" s="176" t="s">
        <v>185</v>
      </c>
      <c r="L204" s="176" t="s">
        <v>185</v>
      </c>
      <c r="M204" s="176" t="s">
        <v>185</v>
      </c>
      <c r="N204" s="222" t="s">
        <v>162</v>
      </c>
      <c r="O204" s="222" t="s">
        <v>162</v>
      </c>
      <c r="P204" s="222" t="s">
        <v>162</v>
      </c>
      <c r="Q204" s="222" t="s">
        <v>162</v>
      </c>
      <c r="S204" s="222" t="s">
        <v>162</v>
      </c>
      <c r="T204" s="222" t="s">
        <v>162</v>
      </c>
      <c r="U204" s="258" t="s">
        <v>162</v>
      </c>
      <c r="V204" s="168"/>
      <c r="W204" s="158" t="s">
        <v>966</v>
      </c>
      <c r="X204" s="158" t="s">
        <v>185</v>
      </c>
      <c r="Y204" s="158" t="s">
        <v>185</v>
      </c>
      <c r="Z204" s="158" t="s">
        <v>185</v>
      </c>
      <c r="AA204" s="158" t="str">
        <f>IF(GCP_2[[#This Row],[Column14]]="-","", "v")</f>
        <v/>
      </c>
      <c r="AB204" s="158" t="str">
        <f>IF(GCP_2[[#This Row],[Column8]]="x","1",(IF(OR(GCP_2[[#This Row],[Column25]]=2,GCP_2[[#This Row],[Column26]]=2,GCP_2[[#This Row],[Column27]]=2),"1",(IF(GCP_2[[#This Row],[Column9]]="x","2",(IF(GCP_2[[#This Row],[Column10]]="x","3","")))))))</f>
        <v>1</v>
      </c>
      <c r="AC204" s="454" t="str">
        <f>IF(GCP_2[[#This Row],[Column14]] = "-", GCP_2[[#This Row],[Column14]], LEFT(GCP_2[[#This Row],[Column14]], SEARCH(" ", GCP_2[[#This Row],[Column14]] &amp; " ") - 1))</f>
        <v>-</v>
      </c>
    </row>
    <row r="205" spans="1:29" ht="60">
      <c r="A20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5" s="137" t="str">
        <f>GCP_2[[#This Row],[Column30]]</f>
        <v>-</v>
      </c>
      <c r="C205" s="137">
        <v>14.8</v>
      </c>
      <c r="D205" s="138" t="s">
        <v>781</v>
      </c>
      <c r="E205" s="162" t="s">
        <v>156</v>
      </c>
      <c r="F205" s="489" t="s">
        <v>2208</v>
      </c>
      <c r="G205" s="138" t="s">
        <v>797</v>
      </c>
      <c r="H205" s="163" t="s">
        <v>185</v>
      </c>
      <c r="I205" s="164" t="s">
        <v>185</v>
      </c>
      <c r="J205" s="200" t="s">
        <v>185</v>
      </c>
      <c r="K205" s="176" t="s">
        <v>185</v>
      </c>
      <c r="L205" s="176" t="s">
        <v>185</v>
      </c>
      <c r="M205" s="176" t="s">
        <v>185</v>
      </c>
      <c r="N205" s="222" t="s">
        <v>162</v>
      </c>
      <c r="O205" s="222" t="s">
        <v>162</v>
      </c>
      <c r="P205" s="222" t="s">
        <v>162</v>
      </c>
      <c r="Q205" s="222" t="s">
        <v>162</v>
      </c>
      <c r="S205" s="222" t="s">
        <v>162</v>
      </c>
      <c r="T205" s="222" t="s">
        <v>162</v>
      </c>
      <c r="U205" s="258" t="s">
        <v>162</v>
      </c>
      <c r="V205" s="168"/>
      <c r="W205" s="158" t="s">
        <v>966</v>
      </c>
      <c r="X205" s="158" t="s">
        <v>185</v>
      </c>
      <c r="Y205" s="158" t="s">
        <v>185</v>
      </c>
      <c r="Z205" s="158" t="s">
        <v>185</v>
      </c>
      <c r="AA205" s="158" t="str">
        <f>IF(GCP_2[[#This Row],[Column14]]="-","", "v")</f>
        <v/>
      </c>
      <c r="AB205" s="158" t="str">
        <f>IF(GCP_2[[#This Row],[Column8]]="x","1",(IF(OR(GCP_2[[#This Row],[Column25]]=2,GCP_2[[#This Row],[Column26]]=2,GCP_2[[#This Row],[Column27]]=2),"1",(IF(GCP_2[[#This Row],[Column9]]="x","2",(IF(GCP_2[[#This Row],[Column10]]="x","3","")))))))</f>
        <v>1</v>
      </c>
      <c r="AC205" s="454" t="str">
        <f>IF(GCP_2[[#This Row],[Column14]] = "-", GCP_2[[#This Row],[Column14]], LEFT(GCP_2[[#This Row],[Column14]], SEARCH(" ", GCP_2[[#This Row],[Column14]] &amp; " ") - 1))</f>
        <v>-</v>
      </c>
    </row>
    <row r="206" spans="1:29" ht="75">
      <c r="A20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6" s="137" t="str">
        <f>GCP_2[[#This Row],[Column30]]</f>
        <v>-</v>
      </c>
      <c r="C206" s="137">
        <v>14.9</v>
      </c>
      <c r="D206" s="138" t="s">
        <v>781</v>
      </c>
      <c r="E206" s="162" t="s">
        <v>156</v>
      </c>
      <c r="F206" s="489" t="s">
        <v>2209</v>
      </c>
      <c r="G206" s="139" t="s">
        <v>799</v>
      </c>
      <c r="H206" s="204"/>
      <c r="I206" s="164" t="s">
        <v>185</v>
      </c>
      <c r="J206" s="200" t="s">
        <v>185</v>
      </c>
      <c r="K206" s="176" t="s">
        <v>185</v>
      </c>
      <c r="L206" s="176" t="s">
        <v>185</v>
      </c>
      <c r="M206" s="176" t="s">
        <v>185</v>
      </c>
      <c r="N206" s="222" t="s">
        <v>162</v>
      </c>
      <c r="O206" s="222" t="s">
        <v>162</v>
      </c>
      <c r="P206" s="222" t="s">
        <v>162</v>
      </c>
      <c r="Q206" s="222" t="s">
        <v>162</v>
      </c>
      <c r="S206" s="222" t="s">
        <v>162</v>
      </c>
      <c r="T206" s="222" t="s">
        <v>162</v>
      </c>
      <c r="U206" s="258" t="s">
        <v>162</v>
      </c>
      <c r="V206" s="168"/>
      <c r="W206" s="158" t="s">
        <v>966</v>
      </c>
      <c r="X206" s="158" t="s">
        <v>185</v>
      </c>
      <c r="Y206" s="158" t="s">
        <v>185</v>
      </c>
      <c r="Z206" s="158" t="s">
        <v>185</v>
      </c>
      <c r="AA206" s="158" t="str">
        <f>IF(GCP_2[[#This Row],[Column14]]="-","", "v")</f>
        <v/>
      </c>
      <c r="AB206" s="158" t="str">
        <f>IF(GCP_2[[#This Row],[Column8]]="x","1",(IF(OR(GCP_2[[#This Row],[Column25]]=2,GCP_2[[#This Row],[Column26]]=2,GCP_2[[#This Row],[Column27]]=2),"1",(IF(GCP_2[[#This Row],[Column9]]="x","2",(IF(GCP_2[[#This Row],[Column10]]="x","3","")))))))</f>
        <v>2</v>
      </c>
      <c r="AC206" s="454" t="str">
        <f>IF(GCP_2[[#This Row],[Column14]] = "-", GCP_2[[#This Row],[Column14]], LEFT(GCP_2[[#This Row],[Column14]], SEARCH(" ", GCP_2[[#This Row],[Column14]] &amp; " ") - 1))</f>
        <v>-</v>
      </c>
    </row>
    <row r="207" spans="1:29" ht="60">
      <c r="A207" s="221" t="s">
        <v>942</v>
      </c>
      <c r="B207" s="217" t="s">
        <v>162</v>
      </c>
      <c r="C207" s="217" t="s">
        <v>162</v>
      </c>
      <c r="D207" s="218" t="s">
        <v>162</v>
      </c>
      <c r="E207" s="218" t="s">
        <v>162</v>
      </c>
      <c r="F207" s="488" t="s">
        <v>2210</v>
      </c>
      <c r="G207" s="220" t="s">
        <v>801</v>
      </c>
      <c r="H207" s="218" t="s">
        <v>162</v>
      </c>
      <c r="I207" s="218" t="s">
        <v>162</v>
      </c>
      <c r="J207" s="218" t="s">
        <v>162</v>
      </c>
      <c r="K207" s="218" t="s">
        <v>162</v>
      </c>
      <c r="L207" s="218" t="s">
        <v>162</v>
      </c>
      <c r="M207" s="218" t="s">
        <v>162</v>
      </c>
      <c r="N207" s="260" t="s">
        <v>162</v>
      </c>
      <c r="O207" s="218" t="s">
        <v>162</v>
      </c>
      <c r="P207" s="218" t="s">
        <v>162</v>
      </c>
      <c r="Q207" s="218" t="s">
        <v>162</v>
      </c>
      <c r="R207" s="167"/>
      <c r="S207" s="218" t="s">
        <v>162</v>
      </c>
      <c r="T207" s="218" t="s">
        <v>162</v>
      </c>
      <c r="U207" s="217" t="s">
        <v>162</v>
      </c>
      <c r="V207" s="217" t="s">
        <v>162</v>
      </c>
      <c r="W207" s="217" t="s">
        <v>162</v>
      </c>
      <c r="X207" s="217" t="s">
        <v>162</v>
      </c>
      <c r="Y207" s="217" t="s">
        <v>162</v>
      </c>
      <c r="Z207" s="217" t="s">
        <v>162</v>
      </c>
      <c r="AA207" s="218" t="s">
        <v>162</v>
      </c>
      <c r="AB207" s="218" t="s">
        <v>162</v>
      </c>
      <c r="AC207" s="454" t="str">
        <f>IF(GCP_2[[#This Row],[Column14]] = "-", GCP_2[[#This Row],[Column14]], LEFT(GCP_2[[#This Row],[Column14]], SEARCH(" ", GCP_2[[#This Row],[Column14]] &amp; " ") - 1))</f>
        <v>-</v>
      </c>
    </row>
    <row r="208" spans="1:29" ht="60">
      <c r="A20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8" s="137" t="str">
        <f>GCP_2[[#This Row],[Column30]]</f>
        <v>-</v>
      </c>
      <c r="C208" s="137">
        <v>15.1</v>
      </c>
      <c r="D208" s="138" t="s">
        <v>781</v>
      </c>
      <c r="E208" s="162" t="s">
        <v>154</v>
      </c>
      <c r="F208" s="489" t="s">
        <v>2211</v>
      </c>
      <c r="G208" s="139" t="s">
        <v>803</v>
      </c>
      <c r="H208" s="163" t="s">
        <v>185</v>
      </c>
      <c r="I208" s="164" t="s">
        <v>185</v>
      </c>
      <c r="J208" s="200" t="s">
        <v>185</v>
      </c>
      <c r="K208" s="176" t="s">
        <v>185</v>
      </c>
      <c r="L208" s="176" t="s">
        <v>185</v>
      </c>
      <c r="M208" s="176" t="s">
        <v>185</v>
      </c>
      <c r="N208" s="222" t="s">
        <v>162</v>
      </c>
      <c r="O208" s="222" t="s">
        <v>162</v>
      </c>
      <c r="P208" s="222" t="s">
        <v>162</v>
      </c>
      <c r="Q208" s="222" t="s">
        <v>162</v>
      </c>
      <c r="S208" s="222" t="s">
        <v>162</v>
      </c>
      <c r="T208" s="222" t="s">
        <v>162</v>
      </c>
      <c r="U208" s="258" t="s">
        <v>162</v>
      </c>
      <c r="V208" s="168"/>
      <c r="W208" s="158" t="s">
        <v>966</v>
      </c>
      <c r="X208" s="158" t="s">
        <v>185</v>
      </c>
      <c r="Y208" s="158"/>
      <c r="Z208" s="158" t="s">
        <v>185</v>
      </c>
      <c r="AA208" s="158" t="str">
        <f>IF(GCP_2[[#This Row],[Column14]]="-","", "v")</f>
        <v/>
      </c>
      <c r="AB208" s="158" t="str">
        <f>IF(GCP_2[[#This Row],[Column8]]="x","1",(IF(OR(GCP_2[[#This Row],[Column25]]=2,GCP_2[[#This Row],[Column26]]=2,GCP_2[[#This Row],[Column27]]=2),"1",(IF(GCP_2[[#This Row],[Column9]]="x","2",(IF(GCP_2[[#This Row],[Column10]]="x","3","")))))))</f>
        <v>1</v>
      </c>
      <c r="AC208" s="454" t="str">
        <f>IF(GCP_2[[#This Row],[Column14]] = "-", GCP_2[[#This Row],[Column14]], LEFT(GCP_2[[#This Row],[Column14]], SEARCH(" ", GCP_2[[#This Row],[Column14]] &amp; " ") - 1))</f>
        <v>-</v>
      </c>
    </row>
    <row r="209" spans="1:29" ht="60">
      <c r="A20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NOT(ISBLANK(K209)),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NOT(ISBLANK(L209)),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NOT(ISBLANK(M209)),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09" s="137" t="str">
        <f>GCP_2[[#This Row],[Column30]]</f>
        <v>-</v>
      </c>
      <c r="C209" s="137">
        <v>15.2</v>
      </c>
      <c r="D209" s="138" t="s">
        <v>781</v>
      </c>
      <c r="E209" s="162" t="s">
        <v>154</v>
      </c>
      <c r="F209" s="489" t="s">
        <v>2212</v>
      </c>
      <c r="G209" s="138" t="s">
        <v>805</v>
      </c>
      <c r="H209" s="204"/>
      <c r="I209" s="164" t="s">
        <v>185</v>
      </c>
      <c r="J209" s="200" t="s">
        <v>185</v>
      </c>
      <c r="K209" s="176" t="s">
        <v>185</v>
      </c>
      <c r="L209" s="176" t="s">
        <v>185</v>
      </c>
      <c r="M209" s="176" t="s">
        <v>185</v>
      </c>
      <c r="N209" s="222" t="s">
        <v>162</v>
      </c>
      <c r="O209" s="222" t="s">
        <v>162</v>
      </c>
      <c r="P209" s="222" t="s">
        <v>162</v>
      </c>
      <c r="Q209" s="222" t="s">
        <v>162</v>
      </c>
      <c r="S209" s="222" t="s">
        <v>162</v>
      </c>
      <c r="T209" s="222" t="s">
        <v>162</v>
      </c>
      <c r="U209" s="258" t="s">
        <v>162</v>
      </c>
      <c r="V209" s="168"/>
      <c r="W209" s="158" t="s">
        <v>966</v>
      </c>
      <c r="X209" s="158" t="s">
        <v>185</v>
      </c>
      <c r="Y209" s="158"/>
      <c r="Z209" s="158" t="s">
        <v>185</v>
      </c>
      <c r="AA209" s="158" t="str">
        <f>IF(GCP_2[[#This Row],[Column14]]="-","", "v")</f>
        <v/>
      </c>
      <c r="AB209" s="158" t="str">
        <f>IF(GCP_2[[#This Row],[Column8]]="x","1",(IF(OR(GCP_2[[#This Row],[Column25]]=2,GCP_2[[#This Row],[Column26]]=2,GCP_2[[#This Row],[Column27]]=2),"1",(IF(GCP_2[[#This Row],[Column9]]="x","2",(IF(GCP_2[[#This Row],[Column10]]="x","3","")))))))</f>
        <v>2</v>
      </c>
      <c r="AC209" s="454" t="str">
        <f>IF(GCP_2[[#This Row],[Column14]] = "-", GCP_2[[#This Row],[Column14]], LEFT(GCP_2[[#This Row],[Column14]], SEARCH(" ", GCP_2[[#This Row],[Column14]] &amp; " ") - 1))</f>
        <v>-</v>
      </c>
    </row>
    <row r="210" spans="1:29" ht="75">
      <c r="A21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0" s="137" t="str">
        <f>GCP_2[[#This Row],[Column30]]</f>
        <v>-</v>
      </c>
      <c r="C210" s="137">
        <v>15.3</v>
      </c>
      <c r="D210" s="138" t="s">
        <v>781</v>
      </c>
      <c r="E210" s="162" t="s">
        <v>154</v>
      </c>
      <c r="F210" s="489" t="s">
        <v>2213</v>
      </c>
      <c r="G210" s="138" t="s">
        <v>807</v>
      </c>
      <c r="H210" s="204"/>
      <c r="I210" s="164" t="s">
        <v>185</v>
      </c>
      <c r="J210" s="200" t="s">
        <v>185</v>
      </c>
      <c r="K210" s="176" t="s">
        <v>185</v>
      </c>
      <c r="L210" s="176" t="s">
        <v>185</v>
      </c>
      <c r="M210" s="176" t="s">
        <v>185</v>
      </c>
      <c r="N210" s="222" t="s">
        <v>162</v>
      </c>
      <c r="O210" s="222" t="s">
        <v>162</v>
      </c>
      <c r="P210" s="222" t="s">
        <v>162</v>
      </c>
      <c r="Q210" s="222" t="s">
        <v>162</v>
      </c>
      <c r="S210" s="222" t="s">
        <v>162</v>
      </c>
      <c r="T210" s="222" t="s">
        <v>162</v>
      </c>
      <c r="U210" s="258" t="s">
        <v>162</v>
      </c>
      <c r="V210" s="168"/>
      <c r="W210" s="158" t="s">
        <v>966</v>
      </c>
      <c r="X210" s="158" t="s">
        <v>185</v>
      </c>
      <c r="Y210" s="158"/>
      <c r="Z210" s="158" t="s">
        <v>185</v>
      </c>
      <c r="AA210" s="158" t="str">
        <f>IF(GCP_2[[#This Row],[Column14]]="-","", "v")</f>
        <v/>
      </c>
      <c r="AB210" s="158" t="str">
        <f>IF(GCP_2[[#This Row],[Column8]]="x","1",(IF(OR(GCP_2[[#This Row],[Column25]]=2,GCP_2[[#This Row],[Column26]]=2,GCP_2[[#This Row],[Column27]]=2),"1",(IF(GCP_2[[#This Row],[Column9]]="x","2",(IF(GCP_2[[#This Row],[Column10]]="x","3","")))))))</f>
        <v>2</v>
      </c>
      <c r="AC210" s="454" t="str">
        <f>IF(GCP_2[[#This Row],[Column14]] = "-", GCP_2[[#This Row],[Column14]], LEFT(GCP_2[[#This Row],[Column14]], SEARCH(" ", GCP_2[[#This Row],[Column14]] &amp; " ") - 1))</f>
        <v>-</v>
      </c>
    </row>
    <row r="211" spans="1:29" ht="105">
      <c r="A21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1" s="137" t="str">
        <f>GCP_2[[#This Row],[Column30]]</f>
        <v>-</v>
      </c>
      <c r="C211" s="137">
        <v>15.4</v>
      </c>
      <c r="D211" s="138" t="s">
        <v>781</v>
      </c>
      <c r="E211" s="162" t="s">
        <v>156</v>
      </c>
      <c r="F211" s="489" t="s">
        <v>2214</v>
      </c>
      <c r="G211" s="139" t="s">
        <v>809</v>
      </c>
      <c r="H211" s="204"/>
      <c r="I211" s="164" t="s">
        <v>185</v>
      </c>
      <c r="J211" s="200" t="s">
        <v>185</v>
      </c>
      <c r="K211" s="176" t="s">
        <v>185</v>
      </c>
      <c r="L211" s="176" t="s">
        <v>185</v>
      </c>
      <c r="M211" s="176" t="s">
        <v>185</v>
      </c>
      <c r="N211" s="222" t="s">
        <v>162</v>
      </c>
      <c r="O211" s="222" t="s">
        <v>162</v>
      </c>
      <c r="P211" s="222" t="s">
        <v>162</v>
      </c>
      <c r="Q211" s="222" t="s">
        <v>162</v>
      </c>
      <c r="S211" s="222" t="s">
        <v>162</v>
      </c>
      <c r="T211" s="222" t="s">
        <v>162</v>
      </c>
      <c r="U211" s="258" t="s">
        <v>162</v>
      </c>
      <c r="V211" s="168"/>
      <c r="W211" s="158" t="s">
        <v>966</v>
      </c>
      <c r="X211" s="158" t="s">
        <v>185</v>
      </c>
      <c r="Y211" s="158"/>
      <c r="Z211" s="158" t="s">
        <v>185</v>
      </c>
      <c r="AA211" s="158" t="str">
        <f>IF(GCP_2[[#This Row],[Column14]]="-","", "v")</f>
        <v/>
      </c>
      <c r="AB211" s="158" t="str">
        <f>IF(GCP_2[[#This Row],[Column8]]="x","1",(IF(OR(GCP_2[[#This Row],[Column25]]=2,GCP_2[[#This Row],[Column26]]=2,GCP_2[[#This Row],[Column27]]=2),"1",(IF(GCP_2[[#This Row],[Column9]]="x","2",(IF(GCP_2[[#This Row],[Column10]]="x","3","")))))))</f>
        <v>2</v>
      </c>
      <c r="AC211" s="454" t="str">
        <f>IF(GCP_2[[#This Row],[Column14]] = "-", GCP_2[[#This Row],[Column14]], LEFT(GCP_2[[#This Row],[Column14]], SEARCH(" ", GCP_2[[#This Row],[Column14]] &amp; " ") - 1))</f>
        <v>-</v>
      </c>
    </row>
    <row r="212" spans="1:29" ht="105">
      <c r="A21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2" s="137" t="str">
        <f>GCP_2[[#This Row],[Column30]]</f>
        <v>-</v>
      </c>
      <c r="C212" s="137">
        <v>15.5</v>
      </c>
      <c r="D212" s="138" t="s">
        <v>781</v>
      </c>
      <c r="E212" s="162" t="s">
        <v>154</v>
      </c>
      <c r="F212" s="489" t="s">
        <v>2215</v>
      </c>
      <c r="G212" s="139" t="s">
        <v>811</v>
      </c>
      <c r="H212" s="204"/>
      <c r="I212" s="204"/>
      <c r="J212" s="200" t="s">
        <v>185</v>
      </c>
      <c r="K212" s="176" t="s">
        <v>185</v>
      </c>
      <c r="L212" s="176" t="s">
        <v>185</v>
      </c>
      <c r="M212" s="176" t="s">
        <v>185</v>
      </c>
      <c r="N212" s="222" t="s">
        <v>162</v>
      </c>
      <c r="O212" s="222" t="s">
        <v>162</v>
      </c>
      <c r="P212" s="222" t="s">
        <v>162</v>
      </c>
      <c r="Q212" s="222" t="s">
        <v>162</v>
      </c>
      <c r="S212" s="222" t="s">
        <v>162</v>
      </c>
      <c r="T212" s="222" t="s">
        <v>162</v>
      </c>
      <c r="U212" s="258" t="s">
        <v>162</v>
      </c>
      <c r="V212" s="168"/>
      <c r="W212" s="158" t="s">
        <v>966</v>
      </c>
      <c r="X212" s="158" t="s">
        <v>185</v>
      </c>
      <c r="Y212" s="158"/>
      <c r="Z212" s="158" t="s">
        <v>185</v>
      </c>
      <c r="AA212" s="158" t="str">
        <f>IF(GCP_2[[#This Row],[Column14]]="-","", "v")</f>
        <v/>
      </c>
      <c r="AB212" s="158" t="str">
        <f>IF(GCP_2[[#This Row],[Column8]]="x","1",(IF(OR(GCP_2[[#This Row],[Column25]]=2,GCP_2[[#This Row],[Column26]]=2,GCP_2[[#This Row],[Column27]]=2),"1",(IF(GCP_2[[#This Row],[Column9]]="x","2",(IF(GCP_2[[#This Row],[Column10]]="x","3","")))))))</f>
        <v>3</v>
      </c>
      <c r="AC212" s="454" t="str">
        <f>IF(GCP_2[[#This Row],[Column14]] = "-", GCP_2[[#This Row],[Column14]], LEFT(GCP_2[[#This Row],[Column14]], SEARCH(" ", GCP_2[[#This Row],[Column14]] &amp; " ") - 1))</f>
        <v>-</v>
      </c>
    </row>
    <row r="213" spans="1:29" ht="60">
      <c r="A21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3" s="137" t="str">
        <f>GCP_2[[#This Row],[Column30]]</f>
        <v>-</v>
      </c>
      <c r="C213" s="137">
        <v>15.6</v>
      </c>
      <c r="D213" s="138" t="s">
        <v>182</v>
      </c>
      <c r="E213" s="162" t="s">
        <v>155</v>
      </c>
      <c r="F213" s="489" t="s">
        <v>2216</v>
      </c>
      <c r="G213" s="139" t="s">
        <v>347</v>
      </c>
      <c r="H213" s="204"/>
      <c r="I213" s="204"/>
      <c r="J213" s="200" t="s">
        <v>185</v>
      </c>
      <c r="K213" s="176" t="s">
        <v>185</v>
      </c>
      <c r="L213" s="176" t="s">
        <v>185</v>
      </c>
      <c r="M213" s="176" t="s">
        <v>185</v>
      </c>
      <c r="N213" s="222" t="s">
        <v>162</v>
      </c>
      <c r="O213" s="222" t="s">
        <v>162</v>
      </c>
      <c r="P213" s="222" t="s">
        <v>162</v>
      </c>
      <c r="Q213" s="222" t="s">
        <v>162</v>
      </c>
      <c r="S213" s="222" t="s">
        <v>162</v>
      </c>
      <c r="T213" s="222" t="s">
        <v>162</v>
      </c>
      <c r="U213" s="258" t="s">
        <v>162</v>
      </c>
      <c r="V213" s="168"/>
      <c r="W213" s="158" t="s">
        <v>966</v>
      </c>
      <c r="X213" s="158" t="s">
        <v>185</v>
      </c>
      <c r="Y213" s="158"/>
      <c r="Z213" s="158" t="s">
        <v>185</v>
      </c>
      <c r="AA213" s="158" t="str">
        <f>IF(GCP_2[[#This Row],[Column14]]="-","", "v")</f>
        <v/>
      </c>
      <c r="AB213" s="158" t="str">
        <f>IF(GCP_2[[#This Row],[Column8]]="x","1",(IF(OR(GCP_2[[#This Row],[Column25]]=2,GCP_2[[#This Row],[Column26]]=2,GCP_2[[#This Row],[Column27]]=2),"1",(IF(GCP_2[[#This Row],[Column9]]="x","2",(IF(GCP_2[[#This Row],[Column10]]="x","3","")))))))</f>
        <v>3</v>
      </c>
      <c r="AC213" s="454" t="str">
        <f>IF(GCP_2[[#This Row],[Column14]] = "-", GCP_2[[#This Row],[Column14]], LEFT(GCP_2[[#This Row],[Column14]], SEARCH(" ", GCP_2[[#This Row],[Column14]] &amp; " ") - 1))</f>
        <v>-</v>
      </c>
    </row>
    <row r="214" spans="1:29" ht="45">
      <c r="A21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4" s="137" t="str">
        <f>GCP_2[[#This Row],[Column30]]</f>
        <v>-</v>
      </c>
      <c r="C214" s="137">
        <v>15.7</v>
      </c>
      <c r="D214" s="138" t="s">
        <v>182</v>
      </c>
      <c r="E214" s="162" t="s">
        <v>156</v>
      </c>
      <c r="F214" s="489" t="s">
        <v>2217</v>
      </c>
      <c r="G214" s="139" t="s">
        <v>349</v>
      </c>
      <c r="H214" s="204"/>
      <c r="I214" s="204"/>
      <c r="J214" s="200" t="s">
        <v>185</v>
      </c>
      <c r="K214" s="176" t="s">
        <v>185</v>
      </c>
      <c r="L214" s="176" t="s">
        <v>185</v>
      </c>
      <c r="M214" s="176" t="s">
        <v>185</v>
      </c>
      <c r="N214" s="222" t="s">
        <v>162</v>
      </c>
      <c r="O214" s="222" t="s">
        <v>162</v>
      </c>
      <c r="P214" s="222" t="s">
        <v>162</v>
      </c>
      <c r="Q214" s="222" t="s">
        <v>162</v>
      </c>
      <c r="S214" s="222" t="s">
        <v>162</v>
      </c>
      <c r="T214" s="222" t="s">
        <v>162</v>
      </c>
      <c r="U214" s="258" t="s">
        <v>162</v>
      </c>
      <c r="V214" s="168"/>
      <c r="W214" s="158" t="s">
        <v>966</v>
      </c>
      <c r="X214" s="158" t="s">
        <v>185</v>
      </c>
      <c r="Y214" s="158"/>
      <c r="Z214" s="158" t="s">
        <v>185</v>
      </c>
      <c r="AA214" s="158" t="str">
        <f>IF(GCP_2[[#This Row],[Column14]]="-","", "v")</f>
        <v/>
      </c>
      <c r="AB214" s="158" t="str">
        <f>IF(GCP_2[[#This Row],[Column8]]="x","1",(IF(OR(GCP_2[[#This Row],[Column25]]=2,GCP_2[[#This Row],[Column26]]=2,GCP_2[[#This Row],[Column27]]=2),"1",(IF(GCP_2[[#This Row],[Column9]]="x","2",(IF(GCP_2[[#This Row],[Column10]]="x","3","")))))))</f>
        <v>3</v>
      </c>
      <c r="AC214" s="454" t="str">
        <f>IF(GCP_2[[#This Row],[Column14]] = "-", GCP_2[[#This Row],[Column14]], LEFT(GCP_2[[#This Row],[Column14]], SEARCH(" ", GCP_2[[#This Row],[Column14]] &amp; " ") - 1))</f>
        <v>-</v>
      </c>
    </row>
    <row r="215" spans="1:29" ht="45">
      <c r="A215" s="221" t="s">
        <v>942</v>
      </c>
      <c r="B215" s="217" t="s">
        <v>162</v>
      </c>
      <c r="C215" s="217" t="s">
        <v>162</v>
      </c>
      <c r="D215" s="218" t="s">
        <v>162</v>
      </c>
      <c r="E215" s="218" t="s">
        <v>162</v>
      </c>
      <c r="F215" s="488" t="s">
        <v>2218</v>
      </c>
      <c r="G215" s="220" t="s">
        <v>813</v>
      </c>
      <c r="H215" s="218" t="s">
        <v>162</v>
      </c>
      <c r="I215" s="218" t="s">
        <v>162</v>
      </c>
      <c r="J215" s="218" t="s">
        <v>162</v>
      </c>
      <c r="K215" s="218" t="s">
        <v>162</v>
      </c>
      <c r="L215" s="218" t="s">
        <v>162</v>
      </c>
      <c r="M215" s="218" t="s">
        <v>162</v>
      </c>
      <c r="N215" s="260" t="s">
        <v>162</v>
      </c>
      <c r="O215" s="218" t="s">
        <v>162</v>
      </c>
      <c r="P215" s="218" t="s">
        <v>162</v>
      </c>
      <c r="Q215" s="218" t="s">
        <v>162</v>
      </c>
      <c r="R215" s="167"/>
      <c r="S215" s="218" t="s">
        <v>162</v>
      </c>
      <c r="T215" s="218" t="s">
        <v>162</v>
      </c>
      <c r="U215" s="217" t="s">
        <v>162</v>
      </c>
      <c r="V215" s="217" t="s">
        <v>162</v>
      </c>
      <c r="W215" s="217" t="s">
        <v>162</v>
      </c>
      <c r="X215" s="217" t="s">
        <v>162</v>
      </c>
      <c r="Y215" s="217" t="s">
        <v>162</v>
      </c>
      <c r="Z215" s="217" t="s">
        <v>162</v>
      </c>
      <c r="AA215" s="218" t="s">
        <v>162</v>
      </c>
      <c r="AB215" s="218" t="s">
        <v>162</v>
      </c>
      <c r="AC215" s="454" t="str">
        <f>IF(GCP_2[[#This Row],[Column14]] = "-", GCP_2[[#This Row],[Column14]], LEFT(GCP_2[[#This Row],[Column14]], SEARCH(" ", GCP_2[[#This Row],[Column14]] &amp; " ") - 1))</f>
        <v>-</v>
      </c>
    </row>
    <row r="216" spans="1:29" ht="90">
      <c r="A21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6" s="137" t="str">
        <f>GCP_2[[#This Row],[Column30]]</f>
        <v>-</v>
      </c>
      <c r="C216" s="137">
        <v>16.100000000000001</v>
      </c>
      <c r="D216" s="138" t="s">
        <v>371</v>
      </c>
      <c r="E216" s="162" t="s">
        <v>156</v>
      </c>
      <c r="F216" s="489" t="s">
        <v>2219</v>
      </c>
      <c r="G216" s="139" t="s">
        <v>815</v>
      </c>
      <c r="H216" s="204"/>
      <c r="I216" s="164" t="s">
        <v>185</v>
      </c>
      <c r="J216" s="200" t="s">
        <v>185</v>
      </c>
      <c r="K216" s="176" t="s">
        <v>185</v>
      </c>
      <c r="L216" s="176" t="s">
        <v>185</v>
      </c>
      <c r="M216" s="176" t="s">
        <v>185</v>
      </c>
      <c r="N216" s="222" t="s">
        <v>162</v>
      </c>
      <c r="O216" s="222" t="s">
        <v>162</v>
      </c>
      <c r="P216" s="222" t="s">
        <v>162</v>
      </c>
      <c r="Q216" s="222" t="s">
        <v>162</v>
      </c>
      <c r="R216" s="451"/>
      <c r="S216" s="222" t="s">
        <v>162</v>
      </c>
      <c r="T216" s="222" t="s">
        <v>162</v>
      </c>
      <c r="U216" s="258" t="s">
        <v>162</v>
      </c>
      <c r="V216" s="168"/>
      <c r="W216" s="158" t="s">
        <v>966</v>
      </c>
      <c r="X216" s="158" t="s">
        <v>185</v>
      </c>
      <c r="Y216" s="158" t="s">
        <v>185</v>
      </c>
      <c r="Z216" s="158"/>
      <c r="AA216" s="158" t="str">
        <f>IF(GCP_2[[#This Row],[Column14]]="-","", "v")</f>
        <v/>
      </c>
      <c r="AB216" s="158" t="str">
        <f>IF(GCP_2[[#This Row],[Column8]]="x","1",(IF(OR(GCP_2[[#This Row],[Column25]]=2,GCP_2[[#This Row],[Column26]]=2,GCP_2[[#This Row],[Column27]]=2),"1",(IF(GCP_2[[#This Row],[Column9]]="x","2",(IF(GCP_2[[#This Row],[Column10]]="x","3","")))))))</f>
        <v>2</v>
      </c>
      <c r="AC216" s="454" t="str">
        <f>IF(GCP_2[[#This Row],[Column14]] = "-", GCP_2[[#This Row],[Column14]], LEFT(GCP_2[[#This Row],[Column14]], SEARCH(" ", GCP_2[[#This Row],[Column14]] &amp; " ") - 1))</f>
        <v>-</v>
      </c>
    </row>
    <row r="217" spans="1:29" ht="180">
      <c r="A21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7" s="137" t="str">
        <f>GCP_2[[#This Row],[Column30]]</f>
        <v>-</v>
      </c>
      <c r="C217" s="137">
        <v>16.2</v>
      </c>
      <c r="D217" s="138" t="s">
        <v>371</v>
      </c>
      <c r="E217" s="162" t="s">
        <v>156</v>
      </c>
      <c r="F217" s="489" t="s">
        <v>2220</v>
      </c>
      <c r="G217" s="139" t="s">
        <v>817</v>
      </c>
      <c r="H217" s="204"/>
      <c r="I217" s="164" t="s">
        <v>185</v>
      </c>
      <c r="J217" s="200" t="s">
        <v>185</v>
      </c>
      <c r="K217" s="176" t="s">
        <v>185</v>
      </c>
      <c r="L217" s="176" t="s">
        <v>185</v>
      </c>
      <c r="M217" s="176" t="s">
        <v>185</v>
      </c>
      <c r="N217" s="222" t="s">
        <v>162</v>
      </c>
      <c r="O217" s="222" t="s">
        <v>162</v>
      </c>
      <c r="P217" s="222" t="s">
        <v>162</v>
      </c>
      <c r="Q217" s="222" t="s">
        <v>162</v>
      </c>
      <c r="R217" s="451"/>
      <c r="S217" s="222" t="s">
        <v>162</v>
      </c>
      <c r="T217" s="222" t="s">
        <v>162</v>
      </c>
      <c r="U217" s="258" t="s">
        <v>162</v>
      </c>
      <c r="V217" s="168"/>
      <c r="W217" s="158" t="s">
        <v>966</v>
      </c>
      <c r="X217" s="158" t="s">
        <v>185</v>
      </c>
      <c r="Y217" s="158" t="s">
        <v>185</v>
      </c>
      <c r="Z217" s="158"/>
      <c r="AA217" s="158" t="str">
        <f>IF(GCP_2[[#This Row],[Column14]]="-","", "v")</f>
        <v/>
      </c>
      <c r="AB217" s="158" t="str">
        <f>IF(GCP_2[[#This Row],[Column8]]="x","1",(IF(OR(GCP_2[[#This Row],[Column25]]=2,GCP_2[[#This Row],[Column26]]=2,GCP_2[[#This Row],[Column27]]=2),"1",(IF(GCP_2[[#This Row],[Column9]]="x","2",(IF(GCP_2[[#This Row],[Column10]]="x","3","")))))))</f>
        <v>2</v>
      </c>
      <c r="AC217" s="454" t="str">
        <f>IF(GCP_2[[#This Row],[Column14]] = "-", GCP_2[[#This Row],[Column14]], LEFT(GCP_2[[#This Row],[Column14]], SEARCH(" ", GCP_2[[#This Row],[Column14]] &amp; " ") - 1))</f>
        <v>-</v>
      </c>
    </row>
    <row r="218" spans="1:29" ht="60">
      <c r="A21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8" s="137" t="str">
        <f>GCP_2[[#This Row],[Column30]]</f>
        <v>-</v>
      </c>
      <c r="C218" s="137">
        <v>16.3</v>
      </c>
      <c r="D218" s="138" t="s">
        <v>371</v>
      </c>
      <c r="E218" s="162" t="s">
        <v>156</v>
      </c>
      <c r="F218" s="489" t="s">
        <v>2221</v>
      </c>
      <c r="G218" s="139" t="s">
        <v>819</v>
      </c>
      <c r="H218" s="204"/>
      <c r="I218" s="164" t="s">
        <v>185</v>
      </c>
      <c r="J218" s="200" t="s">
        <v>185</v>
      </c>
      <c r="K218" s="176" t="s">
        <v>185</v>
      </c>
      <c r="L218" s="176" t="s">
        <v>185</v>
      </c>
      <c r="M218" s="176" t="s">
        <v>185</v>
      </c>
      <c r="N218" s="222" t="s">
        <v>162</v>
      </c>
      <c r="O218" s="222" t="s">
        <v>162</v>
      </c>
      <c r="P218" s="222" t="s">
        <v>162</v>
      </c>
      <c r="Q218" s="222" t="s">
        <v>162</v>
      </c>
      <c r="R218" s="451"/>
      <c r="S218" s="222" t="s">
        <v>162</v>
      </c>
      <c r="T218" s="222" t="s">
        <v>162</v>
      </c>
      <c r="U218" s="258" t="s">
        <v>162</v>
      </c>
      <c r="V218" s="168"/>
      <c r="W218" s="158" t="s">
        <v>966</v>
      </c>
      <c r="X218" s="158" t="s">
        <v>185</v>
      </c>
      <c r="Y218" s="158" t="s">
        <v>185</v>
      </c>
      <c r="Z218" s="158"/>
      <c r="AA218" s="158" t="str">
        <f>IF(GCP_2[[#This Row],[Column14]]="-","", "v")</f>
        <v/>
      </c>
      <c r="AB218" s="158" t="str">
        <f>IF(GCP_2[[#This Row],[Column8]]="x","1",(IF(OR(GCP_2[[#This Row],[Column25]]=2,GCP_2[[#This Row],[Column26]]=2,GCP_2[[#This Row],[Column27]]=2),"1",(IF(GCP_2[[#This Row],[Column9]]="x","2",(IF(GCP_2[[#This Row],[Column10]]="x","3","")))))))</f>
        <v>2</v>
      </c>
      <c r="AC218" s="454" t="str">
        <f>IF(GCP_2[[#This Row],[Column14]] = "-", GCP_2[[#This Row],[Column14]], LEFT(GCP_2[[#This Row],[Column14]], SEARCH(" ", GCP_2[[#This Row],[Column14]] &amp; " ") - 1))</f>
        <v>-</v>
      </c>
    </row>
    <row r="219" spans="1:29" ht="90">
      <c r="A21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NOT(ISBLANK(M219)),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19" s="137" t="str">
        <f>GCP_2[[#This Row],[Column30]]</f>
        <v>-</v>
      </c>
      <c r="C219" s="137">
        <v>16.399999999999999</v>
      </c>
      <c r="D219" s="138" t="s">
        <v>371</v>
      </c>
      <c r="E219" s="162" t="s">
        <v>156</v>
      </c>
      <c r="F219" s="489" t="s">
        <v>2222</v>
      </c>
      <c r="G219" s="139" t="s">
        <v>821</v>
      </c>
      <c r="H219" s="204"/>
      <c r="I219" s="164" t="s">
        <v>185</v>
      </c>
      <c r="J219" s="200" t="s">
        <v>185</v>
      </c>
      <c r="K219" s="176" t="s">
        <v>185</v>
      </c>
      <c r="L219" s="176" t="s">
        <v>185</v>
      </c>
      <c r="M219" s="176" t="s">
        <v>185</v>
      </c>
      <c r="N219" s="222" t="s">
        <v>162</v>
      </c>
      <c r="O219" s="222" t="s">
        <v>162</v>
      </c>
      <c r="P219" s="222" t="s">
        <v>162</v>
      </c>
      <c r="Q219" s="222" t="s">
        <v>162</v>
      </c>
      <c r="R219" s="451"/>
      <c r="S219" s="222" t="s">
        <v>162</v>
      </c>
      <c r="T219" s="222" t="s">
        <v>162</v>
      </c>
      <c r="U219" s="258" t="s">
        <v>162</v>
      </c>
      <c r="V219" s="168"/>
      <c r="W219" s="158" t="s">
        <v>966</v>
      </c>
      <c r="X219" s="158" t="s">
        <v>185</v>
      </c>
      <c r="Y219" s="158" t="s">
        <v>185</v>
      </c>
      <c r="Z219" s="158"/>
      <c r="AA219" s="158" t="str">
        <f>IF(GCP_2[[#This Row],[Column14]]="-","", "v")</f>
        <v/>
      </c>
      <c r="AB219" s="158" t="str">
        <f>IF(GCP_2[[#This Row],[Column8]]="x","1",(IF(OR(GCP_2[[#This Row],[Column25]]=2,GCP_2[[#This Row],[Column26]]=2,GCP_2[[#This Row],[Column27]]=2),"1",(IF(GCP_2[[#This Row],[Column9]]="x","2",(IF(GCP_2[[#This Row],[Column10]]="x","3","")))))))</f>
        <v>2</v>
      </c>
      <c r="AC219" s="454" t="str">
        <f>IF(GCP_2[[#This Row],[Column14]] = "-", GCP_2[[#This Row],[Column14]], LEFT(GCP_2[[#This Row],[Column14]], SEARCH(" ", GCP_2[[#This Row],[Column14]] &amp; " ") - 1))</f>
        <v>-</v>
      </c>
    </row>
    <row r="220" spans="1:29" ht="60">
      <c r="A22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0" s="137" t="str">
        <f>GCP_2[[#This Row],[Column30]]</f>
        <v>-</v>
      </c>
      <c r="C220" s="137">
        <v>16.5</v>
      </c>
      <c r="D220" s="138" t="s">
        <v>371</v>
      </c>
      <c r="E220" s="162" t="s">
        <v>156</v>
      </c>
      <c r="F220" s="489" t="s">
        <v>2223</v>
      </c>
      <c r="G220" s="138" t="s">
        <v>823</v>
      </c>
      <c r="H220" s="204"/>
      <c r="I220" s="164" t="s">
        <v>185</v>
      </c>
      <c r="J220" s="200" t="s">
        <v>185</v>
      </c>
      <c r="K220" s="176" t="s">
        <v>185</v>
      </c>
      <c r="L220" s="176" t="s">
        <v>185</v>
      </c>
      <c r="M220" s="176" t="s">
        <v>185</v>
      </c>
      <c r="N220" s="222" t="s">
        <v>162</v>
      </c>
      <c r="O220" s="222" t="s">
        <v>162</v>
      </c>
      <c r="P220" s="222" t="s">
        <v>162</v>
      </c>
      <c r="Q220" s="222" t="s">
        <v>162</v>
      </c>
      <c r="R220" s="451"/>
      <c r="S220" s="222" t="s">
        <v>162</v>
      </c>
      <c r="T220" s="222" t="s">
        <v>162</v>
      </c>
      <c r="U220" s="258" t="s">
        <v>162</v>
      </c>
      <c r="V220" s="168"/>
      <c r="W220" s="158" t="s">
        <v>966</v>
      </c>
      <c r="X220" s="158" t="s">
        <v>185</v>
      </c>
      <c r="Y220" s="158" t="s">
        <v>185</v>
      </c>
      <c r="Z220" s="158"/>
      <c r="AA220" s="158" t="str">
        <f>IF(GCP_2[[#This Row],[Column14]]="-","", "v")</f>
        <v/>
      </c>
      <c r="AB220" s="158" t="str">
        <f>IF(GCP_2[[#This Row],[Column8]]="x","1",(IF(OR(GCP_2[[#This Row],[Column25]]=2,GCP_2[[#This Row],[Column26]]=2,GCP_2[[#This Row],[Column27]]=2),"1",(IF(GCP_2[[#This Row],[Column9]]="x","2",(IF(GCP_2[[#This Row],[Column10]]="x","3","")))))))</f>
        <v>2</v>
      </c>
      <c r="AC220" s="454" t="str">
        <f>IF(GCP_2[[#This Row],[Column14]] = "-", GCP_2[[#This Row],[Column14]], LEFT(GCP_2[[#This Row],[Column14]], SEARCH(" ", GCP_2[[#This Row],[Column14]] &amp; " ") - 1))</f>
        <v>-</v>
      </c>
    </row>
    <row r="221" spans="1:29" ht="105">
      <c r="A22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1" s="137" t="str">
        <f>GCP_2[[#This Row],[Column30]]</f>
        <v>-</v>
      </c>
      <c r="C221" s="137">
        <v>16.600000000000001</v>
      </c>
      <c r="D221" s="138" t="s">
        <v>371</v>
      </c>
      <c r="E221" s="162" t="s">
        <v>156</v>
      </c>
      <c r="F221" s="489" t="s">
        <v>2224</v>
      </c>
      <c r="G221" s="138" t="s">
        <v>825</v>
      </c>
      <c r="H221" s="204"/>
      <c r="I221" s="164" t="s">
        <v>185</v>
      </c>
      <c r="J221" s="200" t="s">
        <v>185</v>
      </c>
      <c r="K221" s="176" t="s">
        <v>185</v>
      </c>
      <c r="L221" s="176" t="s">
        <v>185</v>
      </c>
      <c r="M221" s="176" t="s">
        <v>185</v>
      </c>
      <c r="N221" s="222" t="s">
        <v>162</v>
      </c>
      <c r="O221" s="222" t="s">
        <v>162</v>
      </c>
      <c r="P221" s="222" t="s">
        <v>162</v>
      </c>
      <c r="Q221" s="222" t="s">
        <v>162</v>
      </c>
      <c r="R221" s="451"/>
      <c r="S221" s="222" t="s">
        <v>162</v>
      </c>
      <c r="T221" s="222" t="s">
        <v>162</v>
      </c>
      <c r="U221" s="258" t="s">
        <v>162</v>
      </c>
      <c r="V221" s="168"/>
      <c r="W221" s="158" t="s">
        <v>966</v>
      </c>
      <c r="X221" s="158" t="s">
        <v>185</v>
      </c>
      <c r="Y221" s="158" t="s">
        <v>185</v>
      </c>
      <c r="Z221" s="158"/>
      <c r="AA221" s="158" t="str">
        <f>IF(GCP_2[[#This Row],[Column14]]="-","", "v")</f>
        <v/>
      </c>
      <c r="AB221" s="158" t="str">
        <f>IF(GCP_2[[#This Row],[Column8]]="x","1",(IF(OR(GCP_2[[#This Row],[Column25]]=2,GCP_2[[#This Row],[Column26]]=2,GCP_2[[#This Row],[Column27]]=2),"1",(IF(GCP_2[[#This Row],[Column9]]="x","2",(IF(GCP_2[[#This Row],[Column10]]="x","3","")))))))</f>
        <v>2</v>
      </c>
      <c r="AC221" s="454" t="str">
        <f>IF(GCP_2[[#This Row],[Column14]] = "-", GCP_2[[#This Row],[Column14]], LEFT(GCP_2[[#This Row],[Column14]], SEARCH(" ", GCP_2[[#This Row],[Column14]] &amp; " ") - 1))</f>
        <v>-</v>
      </c>
    </row>
    <row r="222" spans="1:29" ht="409.5">
      <c r="A22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2" s="137" t="str">
        <f>GCP_2[[#This Row],[Column30]]</f>
        <v>6.1.3</v>
      </c>
      <c r="C222" s="137">
        <v>16.7</v>
      </c>
      <c r="D222" s="138" t="s">
        <v>371</v>
      </c>
      <c r="E222" s="162" t="s">
        <v>156</v>
      </c>
      <c r="F222" s="489" t="s">
        <v>2225</v>
      </c>
      <c r="G222" s="138" t="s">
        <v>827</v>
      </c>
      <c r="H222" s="204"/>
      <c r="I222" s="164" t="s">
        <v>185</v>
      </c>
      <c r="J222" s="200" t="s">
        <v>185</v>
      </c>
      <c r="K222" s="176" t="s">
        <v>185</v>
      </c>
      <c r="L222" s="176" t="s">
        <v>185</v>
      </c>
      <c r="M222" s="176" t="s">
        <v>185</v>
      </c>
      <c r="N222" s="222" t="s">
        <v>1447</v>
      </c>
      <c r="O222" s="212">
        <v>1</v>
      </c>
      <c r="P222" s="214" t="s">
        <v>1448</v>
      </c>
      <c r="Q222" s="214" t="s">
        <v>1449</v>
      </c>
      <c r="R222" s="451" t="s">
        <v>1450</v>
      </c>
      <c r="S222" s="214" t="s">
        <v>162</v>
      </c>
      <c r="T222" s="214" t="s">
        <v>1451</v>
      </c>
      <c r="U222" s="158" t="s">
        <v>162</v>
      </c>
      <c r="V222" s="168" t="s">
        <v>1569</v>
      </c>
      <c r="W222" s="158" t="s">
        <v>967</v>
      </c>
      <c r="X222" s="158" t="s">
        <v>185</v>
      </c>
      <c r="Y222" s="158" t="s">
        <v>185</v>
      </c>
      <c r="Z222" s="158"/>
      <c r="AA222" s="158" t="str">
        <f>IF(GCP_2[[#This Row],[Column14]]="-","", "v")</f>
        <v>v</v>
      </c>
      <c r="AB222" s="158" t="str">
        <f>IF(GCP_2[[#This Row],[Column8]]="x","1",(IF(OR(GCP_2[[#This Row],[Column25]]=2,GCP_2[[#This Row],[Column26]]=2,GCP_2[[#This Row],[Column27]]=2),"1",(IF(GCP_2[[#This Row],[Column9]]="x","2",(IF(GCP_2[[#This Row],[Column10]]="x","3","")))))))</f>
        <v>2</v>
      </c>
      <c r="AC222" s="454" t="str">
        <f>IF(GCP_2[[#This Row],[Column14]] = "-", GCP_2[[#This Row],[Column14]], LEFT(GCP_2[[#This Row],[Column14]], SEARCH(" ", GCP_2[[#This Row],[Column14]] &amp; " ") - 1))</f>
        <v>6.1.3</v>
      </c>
    </row>
    <row r="223" spans="1:29" ht="15.75">
      <c r="A223"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NOT(ISBLANK(M223)),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3" s="137" t="str">
        <f>GCP_2[[#This Row],[Column30]]</f>
        <v>-</v>
      </c>
      <c r="C223" s="137">
        <v>16.8</v>
      </c>
      <c r="D223" s="138" t="s">
        <v>371</v>
      </c>
      <c r="E223" s="162" t="s">
        <v>156</v>
      </c>
      <c r="F223" s="489" t="s">
        <v>2226</v>
      </c>
      <c r="G223" s="138" t="s">
        <v>829</v>
      </c>
      <c r="H223" s="204"/>
      <c r="I223" s="164" t="s">
        <v>185</v>
      </c>
      <c r="J223" s="200" t="s">
        <v>185</v>
      </c>
      <c r="K223" s="176" t="s">
        <v>185</v>
      </c>
      <c r="L223" s="176" t="s">
        <v>185</v>
      </c>
      <c r="M223" s="176" t="s">
        <v>185</v>
      </c>
      <c r="N223" s="222" t="s">
        <v>162</v>
      </c>
      <c r="O223" s="222" t="s">
        <v>162</v>
      </c>
      <c r="P223" s="222" t="s">
        <v>162</v>
      </c>
      <c r="Q223" s="222" t="s">
        <v>162</v>
      </c>
      <c r="R223" s="451"/>
      <c r="S223" s="222" t="s">
        <v>162</v>
      </c>
      <c r="T223" s="222" t="s">
        <v>162</v>
      </c>
      <c r="U223" s="258" t="s">
        <v>162</v>
      </c>
      <c r="V223" s="168"/>
      <c r="W223" s="158" t="s">
        <v>966</v>
      </c>
      <c r="X223" s="158" t="s">
        <v>185</v>
      </c>
      <c r="Y223" s="158" t="s">
        <v>185</v>
      </c>
      <c r="Z223" s="158"/>
      <c r="AA223" s="158" t="str">
        <f>IF(GCP_2[[#This Row],[Column14]]="-","", "v")</f>
        <v/>
      </c>
      <c r="AB223" s="158" t="str">
        <f>IF(GCP_2[[#This Row],[Column8]]="x","1",(IF(OR(GCP_2[[#This Row],[Column25]]=2,GCP_2[[#This Row],[Column26]]=2,GCP_2[[#This Row],[Column27]]=2),"1",(IF(GCP_2[[#This Row],[Column9]]="x","2",(IF(GCP_2[[#This Row],[Column10]]="x","3","")))))))</f>
        <v>2</v>
      </c>
      <c r="AC223" s="454" t="str">
        <f>IF(GCP_2[[#This Row],[Column14]] = "-", GCP_2[[#This Row],[Column14]], LEFT(GCP_2[[#This Row],[Column14]], SEARCH(" ", GCP_2[[#This Row],[Column14]] &amp; " ") - 1))</f>
        <v>-</v>
      </c>
    </row>
    <row r="224" spans="1:29" ht="90">
      <c r="A22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4" s="137" t="str">
        <f>GCP_2[[#This Row],[Column30]]</f>
        <v>-</v>
      </c>
      <c r="C224" s="137">
        <v>16.899999999999999</v>
      </c>
      <c r="D224" s="138" t="s">
        <v>371</v>
      </c>
      <c r="E224" s="162" t="s">
        <v>156</v>
      </c>
      <c r="F224" s="489" t="s">
        <v>2227</v>
      </c>
      <c r="G224" s="138" t="s">
        <v>831</v>
      </c>
      <c r="H224" s="204"/>
      <c r="I224" s="164" t="s">
        <v>185</v>
      </c>
      <c r="J224" s="200" t="s">
        <v>185</v>
      </c>
      <c r="K224" s="176" t="s">
        <v>185</v>
      </c>
      <c r="L224" s="176" t="s">
        <v>185</v>
      </c>
      <c r="M224" s="176" t="s">
        <v>185</v>
      </c>
      <c r="N224" s="222" t="s">
        <v>162</v>
      </c>
      <c r="O224" s="222" t="s">
        <v>162</v>
      </c>
      <c r="P224" s="222" t="s">
        <v>162</v>
      </c>
      <c r="Q224" s="222" t="s">
        <v>162</v>
      </c>
      <c r="R224" s="451"/>
      <c r="S224" s="222" t="s">
        <v>162</v>
      </c>
      <c r="T224" s="222" t="s">
        <v>162</v>
      </c>
      <c r="U224" s="258" t="s">
        <v>162</v>
      </c>
      <c r="V224" s="168"/>
      <c r="W224" s="158" t="s">
        <v>966</v>
      </c>
      <c r="X224" s="158" t="s">
        <v>185</v>
      </c>
      <c r="Y224" s="158" t="s">
        <v>185</v>
      </c>
      <c r="Z224" s="158"/>
      <c r="AA224" s="158" t="str">
        <f>IF(GCP_2[[#This Row],[Column14]]="-","", "v")</f>
        <v/>
      </c>
      <c r="AB224" s="158" t="str">
        <f>IF(GCP_2[[#This Row],[Column8]]="x","1",(IF(OR(GCP_2[[#This Row],[Column25]]=2,GCP_2[[#This Row],[Column26]]=2,GCP_2[[#This Row],[Column27]]=2),"1",(IF(GCP_2[[#This Row],[Column9]]="x","2",(IF(GCP_2[[#This Row],[Column10]]="x","3","")))))))</f>
        <v>2</v>
      </c>
      <c r="AC224" s="454" t="str">
        <f>IF(GCP_2[[#This Row],[Column14]] = "-", GCP_2[[#This Row],[Column14]], LEFT(GCP_2[[#This Row],[Column14]], SEARCH(" ", GCP_2[[#This Row],[Column14]] &amp; " ") - 1))</f>
        <v>-</v>
      </c>
    </row>
    <row r="225" spans="1:29" ht="409.5">
      <c r="A22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5" s="137" t="str">
        <f>GCP_2[[#This Row],[Column30]]</f>
        <v>1.12</v>
      </c>
      <c r="C225" s="140">
        <v>16.100000000000001</v>
      </c>
      <c r="D225" s="138" t="s">
        <v>371</v>
      </c>
      <c r="E225" s="162" t="s">
        <v>156</v>
      </c>
      <c r="F225" s="489" t="s">
        <v>2228</v>
      </c>
      <c r="G225" s="138" t="s">
        <v>833</v>
      </c>
      <c r="H225" s="204"/>
      <c r="I225" s="164" t="s">
        <v>185</v>
      </c>
      <c r="J225" s="200" t="s">
        <v>185</v>
      </c>
      <c r="K225" s="176" t="s">
        <v>185</v>
      </c>
      <c r="L225" s="176" t="s">
        <v>185</v>
      </c>
      <c r="M225" s="176" t="s">
        <v>185</v>
      </c>
      <c r="N225" s="222" t="s">
        <v>1452</v>
      </c>
      <c r="O225" s="212">
        <v>2</v>
      </c>
      <c r="P225" s="214" t="s">
        <v>1453</v>
      </c>
      <c r="Q225" s="214" t="s">
        <v>1454</v>
      </c>
      <c r="R225" s="451" t="s">
        <v>1455</v>
      </c>
      <c r="S225" s="214" t="s">
        <v>1456</v>
      </c>
      <c r="T225" s="214" t="s">
        <v>1457</v>
      </c>
      <c r="U225" s="158" t="s">
        <v>162</v>
      </c>
      <c r="V225" s="168" t="s">
        <v>1570</v>
      </c>
      <c r="W225" s="158" t="s">
        <v>967</v>
      </c>
      <c r="X225" s="158" t="s">
        <v>185</v>
      </c>
      <c r="Y225" s="158" t="s">
        <v>185</v>
      </c>
      <c r="Z225" s="158"/>
      <c r="AA225" s="158" t="str">
        <f>IF(GCP_2[[#This Row],[Column14]]="-","", "v")</f>
        <v>v</v>
      </c>
      <c r="AB225" s="158" t="str">
        <f>IF(GCP_2[[#This Row],[Column8]]="x","1",(IF(OR(GCP_2[[#This Row],[Column25]]=2,GCP_2[[#This Row],[Column26]]=2,GCP_2[[#This Row],[Column27]]=2),"1",(IF(GCP_2[[#This Row],[Column9]]="x","2",(IF(GCP_2[[#This Row],[Column10]]="x","3","")))))))</f>
        <v>2</v>
      </c>
      <c r="AC225" s="454" t="str">
        <f>IF(GCP_2[[#This Row],[Column14]] = "-", GCP_2[[#This Row],[Column14]], LEFT(GCP_2[[#This Row],[Column14]], SEARCH(" ", GCP_2[[#This Row],[Column14]] &amp; " ") - 1))</f>
        <v>1.12</v>
      </c>
    </row>
    <row r="226" spans="1:29" ht="409.5">
      <c r="A22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6" s="137" t="str">
        <f>GCP_2[[#This Row],[Column30]]</f>
        <v>1.13</v>
      </c>
      <c r="C226" s="140">
        <v>16.100000000000001</v>
      </c>
      <c r="D226" s="138" t="s">
        <v>371</v>
      </c>
      <c r="E226" s="162" t="s">
        <v>156</v>
      </c>
      <c r="F226" s="489" t="s">
        <v>2228</v>
      </c>
      <c r="G226" s="138" t="s">
        <v>833</v>
      </c>
      <c r="H226" s="204"/>
      <c r="I226" s="164" t="s">
        <v>185</v>
      </c>
      <c r="J226" s="200" t="s">
        <v>185</v>
      </c>
      <c r="K226" s="176" t="s">
        <v>185</v>
      </c>
      <c r="L226" s="176" t="s">
        <v>185</v>
      </c>
      <c r="M226" s="176" t="s">
        <v>185</v>
      </c>
      <c r="N226" s="222" t="s">
        <v>1458</v>
      </c>
      <c r="O226" s="212">
        <v>2</v>
      </c>
      <c r="P226" s="214" t="s">
        <v>1459</v>
      </c>
      <c r="Q226" s="214" t="s">
        <v>1460</v>
      </c>
      <c r="R226" s="451" t="s">
        <v>1461</v>
      </c>
      <c r="S226" s="214" t="s">
        <v>1462</v>
      </c>
      <c r="T226" s="214" t="s">
        <v>1463</v>
      </c>
      <c r="U226" s="258" t="s">
        <v>162</v>
      </c>
      <c r="V226" s="168" t="s">
        <v>1570</v>
      </c>
      <c r="W226" s="158" t="s">
        <v>967</v>
      </c>
      <c r="X226" s="158" t="s">
        <v>185</v>
      </c>
      <c r="Y226" s="158" t="s">
        <v>185</v>
      </c>
      <c r="Z226" s="158"/>
      <c r="AA226" s="158" t="str">
        <f>IF(GCP_2[[#This Row],[Column14]]="-","", "v")</f>
        <v>v</v>
      </c>
      <c r="AB226" s="158" t="str">
        <f>IF(GCP_2[[#This Row],[Column8]]="x","1",(IF(OR(GCP_2[[#This Row],[Column25]]=2,GCP_2[[#This Row],[Column26]]=2,GCP_2[[#This Row],[Column27]]=2),"1",(IF(GCP_2[[#This Row],[Column9]]="x","2",(IF(GCP_2[[#This Row],[Column10]]="x","3","")))))))</f>
        <v>2</v>
      </c>
      <c r="AC226" s="454" t="str">
        <f>IF(GCP_2[[#This Row],[Column14]] = "-", GCP_2[[#This Row],[Column14]], LEFT(GCP_2[[#This Row],[Column14]], SEARCH(" ", GCP_2[[#This Row],[Column14]] &amp; " ") - 1))</f>
        <v>1.13</v>
      </c>
    </row>
    <row r="227" spans="1:29" ht="409.5">
      <c r="A22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7" s="137" t="str">
        <f>GCP_2[[#This Row],[Column30]]</f>
        <v>1.14</v>
      </c>
      <c r="C227" s="140">
        <v>16.100000000000001</v>
      </c>
      <c r="D227" s="138" t="s">
        <v>371</v>
      </c>
      <c r="E227" s="162" t="s">
        <v>156</v>
      </c>
      <c r="F227" s="489" t="s">
        <v>2228</v>
      </c>
      <c r="G227" s="138" t="s">
        <v>833</v>
      </c>
      <c r="H227" s="204"/>
      <c r="I227" s="164" t="s">
        <v>185</v>
      </c>
      <c r="J227" s="200" t="s">
        <v>185</v>
      </c>
      <c r="K227" s="176" t="s">
        <v>185</v>
      </c>
      <c r="L227" s="176" t="s">
        <v>185</v>
      </c>
      <c r="M227" s="176" t="s">
        <v>185</v>
      </c>
      <c r="N227" s="222" t="s">
        <v>1464</v>
      </c>
      <c r="O227" s="212">
        <v>2</v>
      </c>
      <c r="P227" s="214" t="s">
        <v>1465</v>
      </c>
      <c r="Q227" s="214" t="s">
        <v>1466</v>
      </c>
      <c r="R227" s="451" t="s">
        <v>1467</v>
      </c>
      <c r="S227" s="214" t="s">
        <v>1468</v>
      </c>
      <c r="T227" s="214" t="s">
        <v>1469</v>
      </c>
      <c r="U227" s="258" t="s">
        <v>162</v>
      </c>
      <c r="V227" s="168" t="s">
        <v>1570</v>
      </c>
      <c r="W227" s="158" t="s">
        <v>967</v>
      </c>
      <c r="X227" s="158" t="s">
        <v>185</v>
      </c>
      <c r="Y227" s="158" t="s">
        <v>185</v>
      </c>
      <c r="Z227" s="158"/>
      <c r="AA227" s="158" t="str">
        <f>IF(GCP_2[[#This Row],[Column14]]="-","", "v")</f>
        <v>v</v>
      </c>
      <c r="AB227" s="158" t="str">
        <f>IF(GCP_2[[#This Row],[Column8]]="x","1",(IF(OR(GCP_2[[#This Row],[Column25]]=2,GCP_2[[#This Row],[Column26]]=2,GCP_2[[#This Row],[Column27]]=2),"1",(IF(GCP_2[[#This Row],[Column9]]="x","2",(IF(GCP_2[[#This Row],[Column10]]="x","3","")))))))</f>
        <v>2</v>
      </c>
      <c r="AC227" s="454" t="str">
        <f>IF(GCP_2[[#This Row],[Column14]] = "-", GCP_2[[#This Row],[Column14]], LEFT(GCP_2[[#This Row],[Column14]], SEARCH(" ", GCP_2[[#This Row],[Column14]] &amp; " ") - 1))</f>
        <v>1.14</v>
      </c>
    </row>
    <row r="228" spans="1:29" ht="409.5">
      <c r="A22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8" s="137" t="str">
        <f>GCP_2[[#This Row],[Column30]]</f>
        <v>1.15</v>
      </c>
      <c r="C228" s="140">
        <v>16.100000000000001</v>
      </c>
      <c r="D228" s="138" t="s">
        <v>371</v>
      </c>
      <c r="E228" s="162" t="s">
        <v>156</v>
      </c>
      <c r="F228" s="489" t="s">
        <v>2228</v>
      </c>
      <c r="G228" s="138" t="s">
        <v>833</v>
      </c>
      <c r="H228" s="204"/>
      <c r="I228" s="164" t="s">
        <v>185</v>
      </c>
      <c r="J228" s="200" t="s">
        <v>185</v>
      </c>
      <c r="K228" s="176" t="s">
        <v>185</v>
      </c>
      <c r="L228" s="176" t="s">
        <v>185</v>
      </c>
      <c r="M228" s="176" t="s">
        <v>185</v>
      </c>
      <c r="N228" s="222" t="s">
        <v>1470</v>
      </c>
      <c r="O228" s="212">
        <v>2</v>
      </c>
      <c r="P228" s="214" t="s">
        <v>1471</v>
      </c>
      <c r="Q228" s="214" t="s">
        <v>1472</v>
      </c>
      <c r="R228" s="451" t="s">
        <v>1473</v>
      </c>
      <c r="S228" s="214" t="s">
        <v>1474</v>
      </c>
      <c r="T228" s="214" t="s">
        <v>1475</v>
      </c>
      <c r="U228" s="258" t="s">
        <v>162</v>
      </c>
      <c r="V228" s="168" t="s">
        <v>1570</v>
      </c>
      <c r="W228" s="158" t="s">
        <v>967</v>
      </c>
      <c r="X228" s="158" t="s">
        <v>185</v>
      </c>
      <c r="Y228" s="158" t="s">
        <v>185</v>
      </c>
      <c r="Z228" s="158"/>
      <c r="AA228" s="158" t="str">
        <f>IF(GCP_2[[#This Row],[Column14]]="-","", "v")</f>
        <v>v</v>
      </c>
      <c r="AB228" s="158" t="str">
        <f>IF(GCP_2[[#This Row],[Column8]]="x","1",(IF(OR(GCP_2[[#This Row],[Column25]]=2,GCP_2[[#This Row],[Column26]]=2,GCP_2[[#This Row],[Column27]]=2),"1",(IF(GCP_2[[#This Row],[Column9]]="x","2",(IF(GCP_2[[#This Row],[Column10]]="x","3","")))))))</f>
        <v>2</v>
      </c>
      <c r="AC228" s="454" t="str">
        <f>IF(GCP_2[[#This Row],[Column14]] = "-", GCP_2[[#This Row],[Column14]], LEFT(GCP_2[[#This Row],[Column14]], SEARCH(" ", GCP_2[[#This Row],[Column14]] &amp; " ") - 1))</f>
        <v>1.15</v>
      </c>
    </row>
    <row r="229" spans="1:29" ht="228">
      <c r="A22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NOT(ISBLANK(M229)),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29" s="137" t="str">
        <f>GCP_2[[#This Row],[Column30]]</f>
        <v>4.10</v>
      </c>
      <c r="C229" s="137">
        <v>16.11</v>
      </c>
      <c r="D229" s="138" t="s">
        <v>371</v>
      </c>
      <c r="E229" s="162" t="s">
        <v>156</v>
      </c>
      <c r="F229" s="489" t="s">
        <v>2229</v>
      </c>
      <c r="G229" s="138" t="s">
        <v>835</v>
      </c>
      <c r="H229" s="204"/>
      <c r="I229" s="164" t="s">
        <v>185</v>
      </c>
      <c r="J229" s="200" t="s">
        <v>185</v>
      </c>
      <c r="K229" s="176" t="s">
        <v>185</v>
      </c>
      <c r="L229" s="176" t="s">
        <v>185</v>
      </c>
      <c r="M229" s="176" t="s">
        <v>185</v>
      </c>
      <c r="N229" s="222" t="s">
        <v>1122</v>
      </c>
      <c r="O229" s="212">
        <v>2</v>
      </c>
      <c r="P229" s="214" t="s">
        <v>1123</v>
      </c>
      <c r="Q229" s="214" t="s">
        <v>1124</v>
      </c>
      <c r="R229" s="451" t="s">
        <v>1125</v>
      </c>
      <c r="S229" s="214" t="s">
        <v>1126</v>
      </c>
      <c r="T229" s="214" t="s">
        <v>1127</v>
      </c>
      <c r="U229" s="258" t="s">
        <v>162</v>
      </c>
      <c r="V229" s="168" t="s">
        <v>1539</v>
      </c>
      <c r="W229" s="158" t="s">
        <v>967</v>
      </c>
      <c r="X229" s="158" t="s">
        <v>185</v>
      </c>
      <c r="Y229" s="158" t="s">
        <v>185</v>
      </c>
      <c r="Z229" s="158"/>
      <c r="AA229" s="158" t="str">
        <f>IF(GCP_2[[#This Row],[Column14]]="-","", "v")</f>
        <v>v</v>
      </c>
      <c r="AB229" s="158" t="str">
        <f>IF(GCP_2[[#This Row],[Column8]]="x","1",(IF(OR(GCP_2[[#This Row],[Column25]]=2,GCP_2[[#This Row],[Column26]]=2,GCP_2[[#This Row],[Column27]]=2),"1",(IF(GCP_2[[#This Row],[Column9]]="x","2",(IF(GCP_2[[#This Row],[Column10]]="x","3","")))))))</f>
        <v>2</v>
      </c>
      <c r="AC229" s="454" t="str">
        <f>IF(GCP_2[[#This Row],[Column14]] = "-", GCP_2[[#This Row],[Column14]], LEFT(GCP_2[[#This Row],[Column14]], SEARCH(" ", GCP_2[[#This Row],[Column14]] &amp; " ") - 1))</f>
        <v>4.10</v>
      </c>
    </row>
    <row r="230" spans="1:29" ht="30">
      <c r="A23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230" s="137" t="str">
        <f>GCP_2[[#This Row],[Column30]]</f>
        <v>-</v>
      </c>
      <c r="C230" s="137">
        <v>16.12</v>
      </c>
      <c r="D230" s="138" t="s">
        <v>371</v>
      </c>
      <c r="E230" s="162" t="s">
        <v>156</v>
      </c>
      <c r="F230" s="489" t="s">
        <v>2230</v>
      </c>
      <c r="G230" s="139" t="s">
        <v>837</v>
      </c>
      <c r="H230" s="204"/>
      <c r="I230" s="204"/>
      <c r="J230" s="200" t="s">
        <v>185</v>
      </c>
      <c r="K230" s="176" t="s">
        <v>185</v>
      </c>
      <c r="L230" s="176" t="s">
        <v>185</v>
      </c>
      <c r="M230" s="176" t="s">
        <v>185</v>
      </c>
      <c r="N230" s="222" t="s">
        <v>162</v>
      </c>
      <c r="O230" s="222" t="s">
        <v>162</v>
      </c>
      <c r="P230" s="222" t="s">
        <v>162</v>
      </c>
      <c r="Q230" s="222" t="s">
        <v>162</v>
      </c>
      <c r="R230" s="451"/>
      <c r="S230" s="222" t="s">
        <v>162</v>
      </c>
      <c r="T230" s="222" t="s">
        <v>162</v>
      </c>
      <c r="U230" s="258" t="s">
        <v>162</v>
      </c>
      <c r="V230" s="168"/>
      <c r="W230" s="158" t="s">
        <v>966</v>
      </c>
      <c r="X230" s="158" t="s">
        <v>185</v>
      </c>
      <c r="Y230" s="158" t="s">
        <v>185</v>
      </c>
      <c r="Z230" s="158"/>
      <c r="AA230" s="158" t="str">
        <f>IF(GCP_2[[#This Row],[Column14]]="-","", "v")</f>
        <v/>
      </c>
      <c r="AB230" s="158" t="str">
        <f>IF(GCP_2[[#This Row],[Column8]]="x","1",(IF(OR(GCP_2[[#This Row],[Column25]]=2,GCP_2[[#This Row],[Column26]]=2,GCP_2[[#This Row],[Column27]]=2),"1",(IF(GCP_2[[#This Row],[Column9]]="x","2",(IF(GCP_2[[#This Row],[Column10]]="x","3","")))))))</f>
        <v>3</v>
      </c>
      <c r="AC230" s="454" t="str">
        <f>IF(GCP_2[[#This Row],[Column14]] = "-", GCP_2[[#This Row],[Column14]], LEFT(GCP_2[[#This Row],[Column14]], SEARCH(" ", GCP_2[[#This Row],[Column14]] &amp; " ") - 1))</f>
        <v>-</v>
      </c>
    </row>
    <row r="231" spans="1:29" ht="75">
      <c r="A23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231" s="137" t="str">
        <f>GCP_2[[#This Row],[Column30]]</f>
        <v>-</v>
      </c>
      <c r="C231" s="137">
        <v>16.13</v>
      </c>
      <c r="D231" s="138" t="s">
        <v>371</v>
      </c>
      <c r="E231" s="162" t="s">
        <v>156</v>
      </c>
      <c r="F231" s="489" t="s">
        <v>2231</v>
      </c>
      <c r="G231" s="138" t="s">
        <v>839</v>
      </c>
      <c r="H231" s="204"/>
      <c r="I231" s="204"/>
      <c r="J231" s="200" t="s">
        <v>185</v>
      </c>
      <c r="K231" s="176" t="s">
        <v>185</v>
      </c>
      <c r="L231" s="176" t="s">
        <v>185</v>
      </c>
      <c r="M231" s="176" t="s">
        <v>185</v>
      </c>
      <c r="N231" s="222" t="s">
        <v>162</v>
      </c>
      <c r="O231" s="222" t="s">
        <v>162</v>
      </c>
      <c r="P231" s="222" t="s">
        <v>162</v>
      </c>
      <c r="Q231" s="222" t="s">
        <v>162</v>
      </c>
      <c r="R231" s="451"/>
      <c r="S231" s="222" t="s">
        <v>162</v>
      </c>
      <c r="T231" s="222" t="s">
        <v>162</v>
      </c>
      <c r="U231" s="258" t="s">
        <v>162</v>
      </c>
      <c r="V231" s="168"/>
      <c r="W231" s="158" t="s">
        <v>966</v>
      </c>
      <c r="X231" s="158" t="s">
        <v>185</v>
      </c>
      <c r="Y231" s="158" t="s">
        <v>185</v>
      </c>
      <c r="Z231" s="158"/>
      <c r="AA231" s="158" t="str">
        <f>IF(GCP_2[[#This Row],[Column14]]="-","", "v")</f>
        <v/>
      </c>
      <c r="AB231" s="158" t="str">
        <f>IF(GCP_2[[#This Row],[Column8]]="x","1",(IF(OR(GCP_2[[#This Row],[Column25]]=2,GCP_2[[#This Row],[Column26]]=2,GCP_2[[#This Row],[Column27]]=2),"1",(IF(GCP_2[[#This Row],[Column9]]="x","2",(IF(GCP_2[[#This Row],[Column10]]="x","3","")))))))</f>
        <v>3</v>
      </c>
      <c r="AC231" s="454" t="str">
        <f>IF(GCP_2[[#This Row],[Column14]] = "-", GCP_2[[#This Row],[Column14]], LEFT(GCP_2[[#This Row],[Column14]], SEARCH(" ", GCP_2[[#This Row],[Column14]] &amp; " ") - 1))</f>
        <v>-</v>
      </c>
    </row>
    <row r="232" spans="1:29" ht="90">
      <c r="A23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232" s="137" t="str">
        <f>GCP_2[[#This Row],[Column30]]</f>
        <v>-</v>
      </c>
      <c r="C232" s="137">
        <v>16.14</v>
      </c>
      <c r="D232" s="138" t="s">
        <v>371</v>
      </c>
      <c r="E232" s="162" t="s">
        <v>156</v>
      </c>
      <c r="F232" s="489" t="s">
        <v>2232</v>
      </c>
      <c r="G232" s="138" t="s">
        <v>841</v>
      </c>
      <c r="H232" s="204"/>
      <c r="I232" s="204"/>
      <c r="J232" s="200" t="s">
        <v>185</v>
      </c>
      <c r="K232" s="176" t="s">
        <v>185</v>
      </c>
      <c r="L232" s="176" t="s">
        <v>185</v>
      </c>
      <c r="M232" s="176" t="s">
        <v>185</v>
      </c>
      <c r="N232" s="222" t="s">
        <v>162</v>
      </c>
      <c r="O232" s="222" t="s">
        <v>162</v>
      </c>
      <c r="P232" s="222" t="s">
        <v>162</v>
      </c>
      <c r="Q232" s="222" t="s">
        <v>162</v>
      </c>
      <c r="R232" s="451"/>
      <c r="S232" s="222" t="s">
        <v>162</v>
      </c>
      <c r="T232" s="222" t="s">
        <v>162</v>
      </c>
      <c r="U232" s="258" t="s">
        <v>162</v>
      </c>
      <c r="V232" s="168"/>
      <c r="W232" s="158" t="s">
        <v>966</v>
      </c>
      <c r="X232" s="158" t="s">
        <v>185</v>
      </c>
      <c r="Y232" s="158" t="s">
        <v>185</v>
      </c>
      <c r="Z232" s="158"/>
      <c r="AA232" s="158" t="str">
        <f>IF(GCP_2[[#This Row],[Column14]]="-","", "v")</f>
        <v/>
      </c>
      <c r="AB232" s="158" t="str">
        <f>IF(GCP_2[[#This Row],[Column8]]="x","1",(IF(OR(GCP_2[[#This Row],[Column25]]=2,GCP_2[[#This Row],[Column26]]=2,GCP_2[[#This Row],[Column27]]=2),"1",(IF(GCP_2[[#This Row],[Column9]]="x","2",(IF(GCP_2[[#This Row],[Column10]]="x","3","")))))))</f>
        <v>3</v>
      </c>
      <c r="AC232" s="454" t="str">
        <f>IF(GCP_2[[#This Row],[Column14]] = "-", GCP_2[[#This Row],[Column14]], LEFT(GCP_2[[#This Row],[Column14]], SEARCH(" ", GCP_2[[#This Row],[Column14]] &amp; " ") - 1))</f>
        <v>-</v>
      </c>
    </row>
    <row r="233" spans="1:29" ht="45">
      <c r="A233" s="221" t="s">
        <v>942</v>
      </c>
      <c r="B233" s="217" t="s">
        <v>162</v>
      </c>
      <c r="C233" s="217" t="s">
        <v>162</v>
      </c>
      <c r="D233" s="218" t="s">
        <v>162</v>
      </c>
      <c r="E233" s="218" t="s">
        <v>162</v>
      </c>
      <c r="F233" s="488" t="s">
        <v>2233</v>
      </c>
      <c r="G233" s="220" t="s">
        <v>843</v>
      </c>
      <c r="H233" s="218" t="s">
        <v>162</v>
      </c>
      <c r="I233" s="218" t="s">
        <v>162</v>
      </c>
      <c r="J233" s="218" t="s">
        <v>162</v>
      </c>
      <c r="K233" s="218" t="s">
        <v>162</v>
      </c>
      <c r="L233" s="218" t="s">
        <v>162</v>
      </c>
      <c r="M233" s="218" t="s">
        <v>162</v>
      </c>
      <c r="N233" s="260" t="s">
        <v>162</v>
      </c>
      <c r="O233" s="218" t="s">
        <v>162</v>
      </c>
      <c r="P233" s="218" t="s">
        <v>162</v>
      </c>
      <c r="Q233" s="218" t="s">
        <v>162</v>
      </c>
      <c r="R233" s="167"/>
      <c r="S233" s="218" t="s">
        <v>162</v>
      </c>
      <c r="T233" s="218" t="s">
        <v>162</v>
      </c>
      <c r="U233" s="217" t="s">
        <v>162</v>
      </c>
      <c r="V233" s="217" t="s">
        <v>162</v>
      </c>
      <c r="W233" s="217" t="s">
        <v>162</v>
      </c>
      <c r="X233" s="217" t="s">
        <v>162</v>
      </c>
      <c r="Y233" s="217" t="s">
        <v>162</v>
      </c>
      <c r="Z233" s="217" t="s">
        <v>162</v>
      </c>
      <c r="AA233" s="218" t="s">
        <v>162</v>
      </c>
      <c r="AB233" s="218" t="s">
        <v>162</v>
      </c>
      <c r="AC233" s="454" t="str">
        <f>IF(GCP_2[[#This Row],[Column14]] = "-", GCP_2[[#This Row],[Column14]], LEFT(GCP_2[[#This Row],[Column14]], SEARCH(" ", GCP_2[[#This Row],[Column14]] &amp; " ") - 1))</f>
        <v>-</v>
      </c>
    </row>
    <row r="234" spans="1:29" ht="105">
      <c r="A23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34" s="137" t="str">
        <f>GCP_2[[#This Row],[Column30]]</f>
        <v>-</v>
      </c>
      <c r="C234" s="137">
        <v>17.100000000000001</v>
      </c>
      <c r="D234" s="138" t="s">
        <v>781</v>
      </c>
      <c r="E234" s="162" t="s">
        <v>157</v>
      </c>
      <c r="F234" s="489" t="s">
        <v>2234</v>
      </c>
      <c r="G234" s="138" t="s">
        <v>845</v>
      </c>
      <c r="H234" s="163" t="s">
        <v>185</v>
      </c>
      <c r="I234" s="164" t="s">
        <v>185</v>
      </c>
      <c r="J234" s="200" t="s">
        <v>185</v>
      </c>
      <c r="K234" s="176" t="s">
        <v>185</v>
      </c>
      <c r="L234" s="176" t="s">
        <v>185</v>
      </c>
      <c r="M234" s="176" t="s">
        <v>185</v>
      </c>
      <c r="N234" s="222" t="s">
        <v>162</v>
      </c>
      <c r="O234" s="222" t="s">
        <v>162</v>
      </c>
      <c r="P234" s="222" t="s">
        <v>162</v>
      </c>
      <c r="Q234" s="222" t="s">
        <v>162</v>
      </c>
      <c r="R234" s="451"/>
      <c r="S234" s="222" t="s">
        <v>162</v>
      </c>
      <c r="T234" s="222" t="s">
        <v>162</v>
      </c>
      <c r="U234" s="258" t="s">
        <v>162</v>
      </c>
      <c r="V234" s="168"/>
      <c r="W234" s="158" t="s">
        <v>966</v>
      </c>
      <c r="X234" s="158" t="s">
        <v>185</v>
      </c>
      <c r="Y234" s="158"/>
      <c r="Z234" s="158" t="s">
        <v>185</v>
      </c>
      <c r="AA234" s="158" t="str">
        <f>IF(GCP_2[[#This Row],[Column14]]="-","", "v")</f>
        <v/>
      </c>
      <c r="AB234" s="158" t="str">
        <f>IF(GCP_2[[#This Row],[Column8]]="x","1",(IF(OR(GCP_2[[#This Row],[Column25]]=2,GCP_2[[#This Row],[Column26]]=2,GCP_2[[#This Row],[Column27]]=2),"1",(IF(GCP_2[[#This Row],[Column9]]="x","2",(IF(GCP_2[[#This Row],[Column10]]="x","3","")))))))</f>
        <v>1</v>
      </c>
      <c r="AC234" s="454" t="str">
        <f>IF(GCP_2[[#This Row],[Column14]] = "-", GCP_2[[#This Row],[Column14]], LEFT(GCP_2[[#This Row],[Column14]], SEARCH(" ", GCP_2[[#This Row],[Column14]] &amp; " ") - 1))</f>
        <v>-</v>
      </c>
    </row>
    <row r="235" spans="1:29" ht="409.5">
      <c r="A23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35" s="137" t="str">
        <f>GCP_2[[#This Row],[Column30]]</f>
        <v>1.16</v>
      </c>
      <c r="C235" s="137">
        <v>17.2</v>
      </c>
      <c r="D235" s="138" t="s">
        <v>781</v>
      </c>
      <c r="E235" s="162" t="s">
        <v>157</v>
      </c>
      <c r="F235" s="489" t="s">
        <v>2235</v>
      </c>
      <c r="G235" s="138" t="s">
        <v>847</v>
      </c>
      <c r="H235" s="163" t="s">
        <v>185</v>
      </c>
      <c r="I235" s="164" t="s">
        <v>185</v>
      </c>
      <c r="J235" s="200" t="s">
        <v>185</v>
      </c>
      <c r="K235" s="176" t="s">
        <v>185</v>
      </c>
      <c r="L235" s="176" t="s">
        <v>185</v>
      </c>
      <c r="M235" s="176" t="s">
        <v>185</v>
      </c>
      <c r="N235" s="222" t="s">
        <v>1476</v>
      </c>
      <c r="O235" s="212">
        <v>1</v>
      </c>
      <c r="P235" s="214" t="s">
        <v>1477</v>
      </c>
      <c r="Q235" s="214" t="s">
        <v>1478</v>
      </c>
      <c r="R235" s="451" t="s">
        <v>1479</v>
      </c>
      <c r="S235" s="214" t="s">
        <v>1480</v>
      </c>
      <c r="T235" s="214" t="s">
        <v>1481</v>
      </c>
      <c r="U235" s="158" t="s">
        <v>975</v>
      </c>
      <c r="V235" s="168" t="s">
        <v>1555</v>
      </c>
      <c r="W235" s="158" t="s">
        <v>966</v>
      </c>
      <c r="X235" s="158" t="s">
        <v>185</v>
      </c>
      <c r="Y235" s="158"/>
      <c r="Z235" s="158" t="s">
        <v>185</v>
      </c>
      <c r="AA235" s="158" t="str">
        <f>IF(GCP_2[[#This Row],[Column14]]="-","", "v")</f>
        <v>v</v>
      </c>
      <c r="AB235" s="158" t="str">
        <f>IF(GCP_2[[#This Row],[Column8]]="x","1",(IF(OR(GCP_2[[#This Row],[Column25]]=2,GCP_2[[#This Row],[Column26]]=2,GCP_2[[#This Row],[Column27]]=2),"1",(IF(GCP_2[[#This Row],[Column9]]="x","2",(IF(GCP_2[[#This Row],[Column10]]="x","3","")))))))</f>
        <v>1</v>
      </c>
      <c r="AC235" s="454" t="str">
        <f>IF(GCP_2[[#This Row],[Column14]] = "-", GCP_2[[#This Row],[Column14]], LEFT(GCP_2[[#This Row],[Column14]], SEARCH(" ", GCP_2[[#This Row],[Column14]] &amp; " ") - 1))</f>
        <v>1.16</v>
      </c>
    </row>
    <row r="236" spans="1:29" ht="75">
      <c r="A23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36" s="137" t="str">
        <f>GCP_2[[#This Row],[Column30]]</f>
        <v>-</v>
      </c>
      <c r="C236" s="137">
        <v>17.3</v>
      </c>
      <c r="D236" s="138" t="s">
        <v>781</v>
      </c>
      <c r="E236" s="162" t="s">
        <v>157</v>
      </c>
      <c r="F236" s="489" t="s">
        <v>2236</v>
      </c>
      <c r="G236" s="138" t="s">
        <v>865</v>
      </c>
      <c r="H236" s="163" t="s">
        <v>185</v>
      </c>
      <c r="I236" s="164" t="s">
        <v>185</v>
      </c>
      <c r="J236" s="200" t="s">
        <v>185</v>
      </c>
      <c r="K236" s="176" t="s">
        <v>185</v>
      </c>
      <c r="L236" s="176" t="s">
        <v>185</v>
      </c>
      <c r="M236" s="176" t="s">
        <v>185</v>
      </c>
      <c r="N236" s="222" t="s">
        <v>162</v>
      </c>
      <c r="O236" s="222" t="s">
        <v>162</v>
      </c>
      <c r="P236" s="222" t="s">
        <v>162</v>
      </c>
      <c r="Q236" s="222" t="s">
        <v>162</v>
      </c>
      <c r="R236" s="451"/>
      <c r="S236" s="222" t="s">
        <v>162</v>
      </c>
      <c r="T236" s="222" t="s">
        <v>162</v>
      </c>
      <c r="U236" s="258" t="s">
        <v>162</v>
      </c>
      <c r="V236" s="168"/>
      <c r="W236" s="158" t="s">
        <v>966</v>
      </c>
      <c r="X236" s="158" t="s">
        <v>185</v>
      </c>
      <c r="Y236" s="158"/>
      <c r="Z236" s="158" t="s">
        <v>185</v>
      </c>
      <c r="AA236" s="158" t="str">
        <f>IF(GCP_2[[#This Row],[Column14]]="-","", "v")</f>
        <v/>
      </c>
      <c r="AB236" s="158" t="str">
        <f>IF(GCP_2[[#This Row],[Column8]]="x","1",(IF(OR(GCP_2[[#This Row],[Column25]]=2,GCP_2[[#This Row],[Column26]]=2,GCP_2[[#This Row],[Column27]]=2),"1",(IF(GCP_2[[#This Row],[Column9]]="x","2",(IF(GCP_2[[#This Row],[Column10]]="x","3","")))))))</f>
        <v>1</v>
      </c>
      <c r="AC236" s="454" t="str">
        <f>IF(GCP_2[[#This Row],[Column14]] = "-", GCP_2[[#This Row],[Column14]], LEFT(GCP_2[[#This Row],[Column14]], SEARCH(" ", GCP_2[[#This Row],[Column14]] &amp; " ") - 1))</f>
        <v>-</v>
      </c>
    </row>
    <row r="237" spans="1:29" ht="60">
      <c r="A23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37" s="137" t="str">
        <f>GCP_2[[#This Row],[Column30]]</f>
        <v>-</v>
      </c>
      <c r="C237" s="137">
        <v>17.399999999999999</v>
      </c>
      <c r="D237" s="138" t="s">
        <v>781</v>
      </c>
      <c r="E237" s="162" t="s">
        <v>157</v>
      </c>
      <c r="F237" s="489" t="s">
        <v>2237</v>
      </c>
      <c r="G237" s="138" t="s">
        <v>867</v>
      </c>
      <c r="H237" s="204"/>
      <c r="I237" s="164" t="s">
        <v>185</v>
      </c>
      <c r="J237" s="200" t="s">
        <v>185</v>
      </c>
      <c r="K237" s="176" t="s">
        <v>185</v>
      </c>
      <c r="L237" s="176" t="s">
        <v>185</v>
      </c>
      <c r="M237" s="176" t="s">
        <v>185</v>
      </c>
      <c r="N237" s="222" t="s">
        <v>162</v>
      </c>
      <c r="O237" s="222" t="s">
        <v>162</v>
      </c>
      <c r="P237" s="222" t="s">
        <v>162</v>
      </c>
      <c r="Q237" s="222" t="s">
        <v>162</v>
      </c>
      <c r="R237" s="451"/>
      <c r="S237" s="222" t="s">
        <v>162</v>
      </c>
      <c r="T237" s="222" t="s">
        <v>162</v>
      </c>
      <c r="U237" s="258" t="s">
        <v>162</v>
      </c>
      <c r="V237" s="168"/>
      <c r="W237" s="158" t="s">
        <v>966</v>
      </c>
      <c r="X237" s="158" t="s">
        <v>185</v>
      </c>
      <c r="Y237" s="158"/>
      <c r="Z237" s="158" t="s">
        <v>185</v>
      </c>
      <c r="AA237" s="158" t="str">
        <f>IF(GCP_2[[#This Row],[Column14]]="-","", "v")</f>
        <v/>
      </c>
      <c r="AB237" s="158" t="str">
        <f>IF(GCP_2[[#This Row],[Column8]]="x","1",(IF(OR(GCP_2[[#This Row],[Column25]]=2,GCP_2[[#This Row],[Column26]]=2,GCP_2[[#This Row],[Column27]]=2),"1",(IF(GCP_2[[#This Row],[Column9]]="x","2",(IF(GCP_2[[#This Row],[Column10]]="x","3","")))))))</f>
        <v>2</v>
      </c>
      <c r="AC237" s="454" t="str">
        <f>IF(GCP_2[[#This Row],[Column14]] = "-", GCP_2[[#This Row],[Column14]], LEFT(GCP_2[[#This Row],[Column14]], SEARCH(" ", GCP_2[[#This Row],[Column14]] &amp; " ") - 1))</f>
        <v>-</v>
      </c>
    </row>
    <row r="238" spans="1:29" ht="60">
      <c r="A23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38" s="137" t="str">
        <f>GCP_2[[#This Row],[Column30]]</f>
        <v>-</v>
      </c>
      <c r="C238" s="137">
        <v>17.5</v>
      </c>
      <c r="D238" s="138" t="s">
        <v>781</v>
      </c>
      <c r="E238" s="162" t="s">
        <v>157</v>
      </c>
      <c r="F238" s="489" t="s">
        <v>2238</v>
      </c>
      <c r="G238" s="139" t="s">
        <v>869</v>
      </c>
      <c r="H238" s="204"/>
      <c r="I238" s="164" t="s">
        <v>185</v>
      </c>
      <c r="J238" s="200" t="s">
        <v>185</v>
      </c>
      <c r="K238" s="176" t="s">
        <v>185</v>
      </c>
      <c r="L238" s="176" t="s">
        <v>185</v>
      </c>
      <c r="M238" s="176" t="s">
        <v>185</v>
      </c>
      <c r="N238" s="222" t="s">
        <v>162</v>
      </c>
      <c r="O238" s="222" t="s">
        <v>162</v>
      </c>
      <c r="P238" s="222" t="s">
        <v>162</v>
      </c>
      <c r="Q238" s="222" t="s">
        <v>162</v>
      </c>
      <c r="R238" s="451"/>
      <c r="S238" s="222" t="s">
        <v>162</v>
      </c>
      <c r="T238" s="222" t="s">
        <v>162</v>
      </c>
      <c r="U238" s="258" t="s">
        <v>162</v>
      </c>
      <c r="V238" s="168"/>
      <c r="W238" s="158" t="s">
        <v>966</v>
      </c>
      <c r="X238" s="158" t="s">
        <v>185</v>
      </c>
      <c r="Y238" s="158"/>
      <c r="Z238" s="158" t="s">
        <v>185</v>
      </c>
      <c r="AA238" s="158" t="str">
        <f>IF(GCP_2[[#This Row],[Column14]]="-","", "v")</f>
        <v/>
      </c>
      <c r="AB238" s="158" t="str">
        <f>IF(GCP_2[[#This Row],[Column8]]="x","1",(IF(OR(GCP_2[[#This Row],[Column25]]=2,GCP_2[[#This Row],[Column26]]=2,GCP_2[[#This Row],[Column27]]=2),"1",(IF(GCP_2[[#This Row],[Column9]]="x","2",(IF(GCP_2[[#This Row],[Column10]]="x","3","")))))))</f>
        <v>2</v>
      </c>
      <c r="AC238" s="454" t="str">
        <f>IF(GCP_2[[#This Row],[Column14]] = "-", GCP_2[[#This Row],[Column14]], LEFT(GCP_2[[#This Row],[Column14]], SEARCH(" ", GCP_2[[#This Row],[Column14]] &amp; " ") - 1))</f>
        <v>-</v>
      </c>
    </row>
    <row r="239" spans="1:29" ht="75">
      <c r="A239"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NOT(ISBLANK(M239)),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39" s="137" t="str">
        <f>GCP_2[[#This Row],[Column30]]</f>
        <v>-</v>
      </c>
      <c r="C239" s="137">
        <v>17.600000000000001</v>
      </c>
      <c r="D239" s="138" t="s">
        <v>781</v>
      </c>
      <c r="E239" s="162" t="s">
        <v>157</v>
      </c>
      <c r="F239" s="489" t="s">
        <v>2239</v>
      </c>
      <c r="G239" s="138" t="s">
        <v>871</v>
      </c>
      <c r="H239" s="204"/>
      <c r="I239" s="164" t="s">
        <v>185</v>
      </c>
      <c r="J239" s="200" t="s">
        <v>185</v>
      </c>
      <c r="K239" s="176" t="s">
        <v>185</v>
      </c>
      <c r="L239" s="176" t="s">
        <v>185</v>
      </c>
      <c r="M239" s="176" t="s">
        <v>185</v>
      </c>
      <c r="N239" s="222" t="s">
        <v>162</v>
      </c>
      <c r="O239" s="222" t="s">
        <v>162</v>
      </c>
      <c r="P239" s="222" t="s">
        <v>162</v>
      </c>
      <c r="Q239" s="222" t="s">
        <v>162</v>
      </c>
      <c r="R239" s="451"/>
      <c r="S239" s="222" t="s">
        <v>162</v>
      </c>
      <c r="T239" s="222" t="s">
        <v>162</v>
      </c>
      <c r="U239" s="258" t="s">
        <v>162</v>
      </c>
      <c r="V239" s="168"/>
      <c r="W239" s="158" t="s">
        <v>967</v>
      </c>
      <c r="X239" s="158" t="s">
        <v>185</v>
      </c>
      <c r="Y239" s="158"/>
      <c r="Z239" s="158" t="s">
        <v>185</v>
      </c>
      <c r="AA239" s="158" t="str">
        <f>IF(GCP_2[[#This Row],[Column14]]="-","", "v")</f>
        <v/>
      </c>
      <c r="AB239" s="158" t="str">
        <f>IF(GCP_2[[#This Row],[Column8]]="x","1",(IF(OR(GCP_2[[#This Row],[Column25]]=2,GCP_2[[#This Row],[Column26]]=2,GCP_2[[#This Row],[Column27]]=2),"1",(IF(GCP_2[[#This Row],[Column9]]="x","2",(IF(GCP_2[[#This Row],[Column10]]="x","3","")))))))</f>
        <v>2</v>
      </c>
      <c r="AC239" s="454" t="str">
        <f>IF(GCP_2[[#This Row],[Column14]] = "-", GCP_2[[#This Row],[Column14]], LEFT(GCP_2[[#This Row],[Column14]], SEARCH(" ", GCP_2[[#This Row],[Column14]] &amp; " ") - 1))</f>
        <v>-</v>
      </c>
    </row>
    <row r="240" spans="1:29" ht="60">
      <c r="A240"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NOT(ISBLANK(M240)),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40" s="137" t="str">
        <f>GCP_2[[#This Row],[Column30]]</f>
        <v>-</v>
      </c>
      <c r="C240" s="137">
        <v>17.7</v>
      </c>
      <c r="D240" s="138" t="s">
        <v>781</v>
      </c>
      <c r="E240" s="169" t="s">
        <v>158</v>
      </c>
      <c r="F240" s="489" t="s">
        <v>2240</v>
      </c>
      <c r="G240" s="138" t="s">
        <v>873</v>
      </c>
      <c r="H240" s="204"/>
      <c r="I240" s="164" t="s">
        <v>185</v>
      </c>
      <c r="J240" s="200" t="s">
        <v>185</v>
      </c>
      <c r="K240" s="176" t="s">
        <v>185</v>
      </c>
      <c r="L240" s="176" t="s">
        <v>185</v>
      </c>
      <c r="M240" s="176" t="s">
        <v>185</v>
      </c>
      <c r="N240" s="222" t="s">
        <v>162</v>
      </c>
      <c r="O240" s="222" t="s">
        <v>162</v>
      </c>
      <c r="P240" s="222" t="s">
        <v>162</v>
      </c>
      <c r="Q240" s="222" t="s">
        <v>162</v>
      </c>
      <c r="R240" s="451"/>
      <c r="S240" s="222" t="s">
        <v>162</v>
      </c>
      <c r="T240" s="222" t="s">
        <v>162</v>
      </c>
      <c r="U240" s="258" t="s">
        <v>162</v>
      </c>
      <c r="V240" s="168"/>
      <c r="W240" s="158" t="s">
        <v>966</v>
      </c>
      <c r="X240" s="158" t="s">
        <v>185</v>
      </c>
      <c r="Y240" s="158"/>
      <c r="Z240" s="158" t="s">
        <v>185</v>
      </c>
      <c r="AA240" s="158" t="str">
        <f>IF(GCP_2[[#This Row],[Column14]]="-","", "v")</f>
        <v/>
      </c>
      <c r="AB240" s="158" t="str">
        <f>IF(GCP_2[[#This Row],[Column8]]="x","1",(IF(OR(GCP_2[[#This Row],[Column25]]=2,GCP_2[[#This Row],[Column26]]=2,GCP_2[[#This Row],[Column27]]=2),"1",(IF(GCP_2[[#This Row],[Column9]]="x","2",(IF(GCP_2[[#This Row],[Column10]]="x","3","")))))))</f>
        <v>2</v>
      </c>
      <c r="AC240" s="454" t="str">
        <f>IF(GCP_2[[#This Row],[Column14]] = "-", GCP_2[[#This Row],[Column14]], LEFT(GCP_2[[#This Row],[Column14]], SEARCH(" ", GCP_2[[#This Row],[Column14]] &amp; " ") - 1))</f>
        <v>-</v>
      </c>
    </row>
    <row r="241" spans="1:29" ht="30">
      <c r="A241"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NOT(ISBLANK(M241)),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41" s="137" t="str">
        <f>GCP_2[[#This Row],[Column30]]</f>
        <v>-</v>
      </c>
      <c r="C241" s="137">
        <v>17.8</v>
      </c>
      <c r="D241" s="138" t="s">
        <v>781</v>
      </c>
      <c r="E241" s="169" t="s">
        <v>158</v>
      </c>
      <c r="F241" s="489" t="s">
        <v>2241</v>
      </c>
      <c r="G241" s="138" t="s">
        <v>875</v>
      </c>
      <c r="H241" s="204"/>
      <c r="I241" s="164" t="s">
        <v>185</v>
      </c>
      <c r="J241" s="200" t="s">
        <v>185</v>
      </c>
      <c r="K241" s="176" t="s">
        <v>185</v>
      </c>
      <c r="L241" s="176" t="s">
        <v>185</v>
      </c>
      <c r="M241" s="176" t="s">
        <v>185</v>
      </c>
      <c r="N241" s="222" t="s">
        <v>162</v>
      </c>
      <c r="O241" s="222" t="s">
        <v>162</v>
      </c>
      <c r="P241" s="222" t="s">
        <v>162</v>
      </c>
      <c r="Q241" s="222" t="s">
        <v>162</v>
      </c>
      <c r="R241" s="451"/>
      <c r="S241" s="222" t="s">
        <v>162</v>
      </c>
      <c r="T241" s="222" t="s">
        <v>162</v>
      </c>
      <c r="U241" s="258" t="s">
        <v>162</v>
      </c>
      <c r="V241" s="168"/>
      <c r="W241" s="158" t="s">
        <v>966</v>
      </c>
      <c r="X241" s="158" t="s">
        <v>185</v>
      </c>
      <c r="Y241" s="158"/>
      <c r="Z241" s="158" t="s">
        <v>185</v>
      </c>
      <c r="AA241" s="158" t="str">
        <f>IF(GCP_2[[#This Row],[Column14]]="-","", "v")</f>
        <v/>
      </c>
      <c r="AB241" s="158" t="str">
        <f>IF(GCP_2[[#This Row],[Column8]]="x","1",(IF(OR(GCP_2[[#This Row],[Column25]]=2,GCP_2[[#This Row],[Column26]]=2,GCP_2[[#This Row],[Column27]]=2),"1",(IF(GCP_2[[#This Row],[Column9]]="x","2",(IF(GCP_2[[#This Row],[Column10]]="x","3","")))))))</f>
        <v>2</v>
      </c>
      <c r="AC241" s="454" t="str">
        <f>IF(GCP_2[[#This Row],[Column14]] = "-", GCP_2[[#This Row],[Column14]], LEFT(GCP_2[[#This Row],[Column14]], SEARCH(" ", GCP_2[[#This Row],[Column14]] &amp; " ") - 1))</f>
        <v>-</v>
      </c>
    </row>
    <row r="242" spans="1:29" ht="75">
      <c r="A242"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42" s="137" t="str">
        <f>GCP_2[[#This Row],[Column30]]</f>
        <v>-</v>
      </c>
      <c r="C242" s="137">
        <v>17.899999999999999</v>
      </c>
      <c r="D242" s="138" t="s">
        <v>781</v>
      </c>
      <c r="E242" s="169" t="s">
        <v>158</v>
      </c>
      <c r="F242" s="489" t="s">
        <v>2242</v>
      </c>
      <c r="G242" s="139" t="s">
        <v>877</v>
      </c>
      <c r="H242" s="204"/>
      <c r="I242" s="204"/>
      <c r="J242" s="200" t="s">
        <v>185</v>
      </c>
      <c r="K242" s="176" t="s">
        <v>185</v>
      </c>
      <c r="L242" s="176" t="s">
        <v>185</v>
      </c>
      <c r="M242" s="176" t="s">
        <v>185</v>
      </c>
      <c r="N242" s="222" t="s">
        <v>162</v>
      </c>
      <c r="O242" s="222" t="s">
        <v>162</v>
      </c>
      <c r="P242" s="222" t="s">
        <v>162</v>
      </c>
      <c r="Q242" s="222" t="s">
        <v>162</v>
      </c>
      <c r="R242" s="451"/>
      <c r="S242" s="222" t="s">
        <v>162</v>
      </c>
      <c r="T242" s="222" t="s">
        <v>162</v>
      </c>
      <c r="U242" s="258" t="s">
        <v>162</v>
      </c>
      <c r="V242" s="168"/>
      <c r="W242" s="158" t="s">
        <v>966</v>
      </c>
      <c r="X242" s="158" t="s">
        <v>185</v>
      </c>
      <c r="Y242" s="158"/>
      <c r="Z242" s="158" t="s">
        <v>185</v>
      </c>
      <c r="AA242" s="158" t="str">
        <f>IF(GCP_2[[#This Row],[Column14]]="-","", "v")</f>
        <v/>
      </c>
      <c r="AB242" s="158" t="str">
        <f>IF(GCP_2[[#This Row],[Column8]]="x","1",(IF(OR(GCP_2[[#This Row],[Column25]]=2,GCP_2[[#This Row],[Column26]]=2,GCP_2[[#This Row],[Column27]]=2),"1",(IF(GCP_2[[#This Row],[Column9]]="x","2",(IF(GCP_2[[#This Row],[Column10]]="x","3","")))))))</f>
        <v>3</v>
      </c>
      <c r="AC242" s="454" t="str">
        <f>IF(GCP_2[[#This Row],[Column14]] = "-", GCP_2[[#This Row],[Column14]], LEFT(GCP_2[[#This Row],[Column14]], SEARCH(" ", GCP_2[[#This Row],[Column14]] &amp; " ") - 1))</f>
        <v>-</v>
      </c>
    </row>
    <row r="243" spans="1:29" ht="45">
      <c r="A243" s="221" t="s">
        <v>942</v>
      </c>
      <c r="B243" s="217" t="s">
        <v>162</v>
      </c>
      <c r="C243" s="217" t="s">
        <v>162</v>
      </c>
      <c r="D243" s="218" t="s">
        <v>162</v>
      </c>
      <c r="E243" s="218" t="s">
        <v>162</v>
      </c>
      <c r="F243" s="488" t="s">
        <v>2243</v>
      </c>
      <c r="G243" s="220" t="s">
        <v>879</v>
      </c>
      <c r="H243" s="218" t="s">
        <v>162</v>
      </c>
      <c r="I243" s="218" t="s">
        <v>162</v>
      </c>
      <c r="J243" s="218" t="s">
        <v>162</v>
      </c>
      <c r="K243" s="218" t="s">
        <v>162</v>
      </c>
      <c r="L243" s="218" t="s">
        <v>162</v>
      </c>
      <c r="M243" s="218" t="s">
        <v>162</v>
      </c>
      <c r="N243" s="260" t="s">
        <v>162</v>
      </c>
      <c r="O243" s="218" t="s">
        <v>162</v>
      </c>
      <c r="P243" s="218" t="s">
        <v>162</v>
      </c>
      <c r="Q243" s="218" t="s">
        <v>162</v>
      </c>
      <c r="R243" s="167"/>
      <c r="S243" s="218" t="s">
        <v>162</v>
      </c>
      <c r="T243" s="218" t="s">
        <v>162</v>
      </c>
      <c r="U243" s="217" t="s">
        <v>162</v>
      </c>
      <c r="V243" s="217" t="s">
        <v>162</v>
      </c>
      <c r="W243" s="217" t="s">
        <v>162</v>
      </c>
      <c r="X243" s="217" t="s">
        <v>162</v>
      </c>
      <c r="Y243" s="217" t="s">
        <v>162</v>
      </c>
      <c r="Z243" s="217" t="s">
        <v>162</v>
      </c>
      <c r="AA243" s="218" t="s">
        <v>162</v>
      </c>
      <c r="AB243" s="218" t="s">
        <v>162</v>
      </c>
      <c r="AC243" s="454" t="str">
        <f>IF(GCP_2[[#This Row],[Column14]] = "-", GCP_2[[#This Row],[Column14]], LEFT(GCP_2[[#This Row],[Column14]], SEARCH(" ", GCP_2[[#This Row],[Column14]] &amp; " ") - 1))</f>
        <v>-</v>
      </c>
    </row>
    <row r="244" spans="1:29" ht="105">
      <c r="A244"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NOT(ISBLANK(M244)),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44" s="137" t="str">
        <f>GCP_2[[#This Row],[Column30]]</f>
        <v>-</v>
      </c>
      <c r="C244" s="137">
        <v>18.100000000000001</v>
      </c>
      <c r="D244" s="138" t="s">
        <v>781</v>
      </c>
      <c r="E244" s="162" t="s">
        <v>154</v>
      </c>
      <c r="F244" s="489" t="s">
        <v>2244</v>
      </c>
      <c r="G244" s="138" t="s">
        <v>881</v>
      </c>
      <c r="H244" s="137"/>
      <c r="I244" s="164" t="s">
        <v>185</v>
      </c>
      <c r="J244" s="200" t="s">
        <v>185</v>
      </c>
      <c r="K244" s="176" t="s">
        <v>185</v>
      </c>
      <c r="L244" s="176" t="s">
        <v>185</v>
      </c>
      <c r="M244" s="176" t="s">
        <v>185</v>
      </c>
      <c r="N244" s="222" t="s">
        <v>162</v>
      </c>
      <c r="O244" s="222" t="s">
        <v>162</v>
      </c>
      <c r="P244" s="222" t="s">
        <v>162</v>
      </c>
      <c r="Q244" s="222" t="s">
        <v>162</v>
      </c>
      <c r="S244" s="222" t="s">
        <v>162</v>
      </c>
      <c r="T244" s="222" t="s">
        <v>162</v>
      </c>
      <c r="U244" s="258" t="s">
        <v>162</v>
      </c>
      <c r="V244" s="168"/>
      <c r="W244" s="158" t="s">
        <v>966</v>
      </c>
      <c r="X244" s="158" t="s">
        <v>185</v>
      </c>
      <c r="Y244" s="158" t="s">
        <v>185</v>
      </c>
      <c r="Z244" s="158"/>
      <c r="AA244" s="158" t="str">
        <f>IF(GCP_2[[#This Row],[Column14]]="-","", "v")</f>
        <v/>
      </c>
      <c r="AB244" s="158" t="str">
        <f>IF(GCP_2[[#This Row],[Column8]]="x","1",(IF(OR(GCP_2[[#This Row],[Column25]]=2,GCP_2[[#This Row],[Column26]]=2,GCP_2[[#This Row],[Column27]]=2),"1",(IF(GCP_2[[#This Row],[Column9]]="x","2",(IF(GCP_2[[#This Row],[Column10]]="x","3","")))))))</f>
        <v>2</v>
      </c>
      <c r="AC244" s="454" t="str">
        <f>IF(GCP_2[[#This Row],[Column14]] = "-", GCP_2[[#This Row],[Column14]], LEFT(GCP_2[[#This Row],[Column14]], SEARCH(" ", GCP_2[[#This Row],[Column14]] &amp; " ") - 1))</f>
        <v>-</v>
      </c>
    </row>
    <row r="245" spans="1:29" ht="75">
      <c r="A245"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NOT(ISBLANK(M245)),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45" s="137" t="str">
        <f>GCP_2[[#This Row],[Column30]]</f>
        <v>-</v>
      </c>
      <c r="C245" s="137">
        <v>18.2</v>
      </c>
      <c r="D245" s="138" t="s">
        <v>390</v>
      </c>
      <c r="E245" s="162" t="s">
        <v>154</v>
      </c>
      <c r="F245" s="489" t="s">
        <v>2245</v>
      </c>
      <c r="G245" s="138" t="s">
        <v>883</v>
      </c>
      <c r="H245" s="137"/>
      <c r="I245" s="164" t="s">
        <v>185</v>
      </c>
      <c r="J245" s="200" t="s">
        <v>185</v>
      </c>
      <c r="K245" s="176" t="s">
        <v>185</v>
      </c>
      <c r="L245" s="176" t="s">
        <v>185</v>
      </c>
      <c r="M245" s="176" t="s">
        <v>185</v>
      </c>
      <c r="N245" s="222" t="s">
        <v>162</v>
      </c>
      <c r="O245" s="222" t="s">
        <v>162</v>
      </c>
      <c r="P245" s="222" t="s">
        <v>162</v>
      </c>
      <c r="Q245" s="222" t="s">
        <v>162</v>
      </c>
      <c r="S245" s="222" t="s">
        <v>162</v>
      </c>
      <c r="T245" s="222" t="s">
        <v>162</v>
      </c>
      <c r="U245" s="258" t="s">
        <v>162</v>
      </c>
      <c r="V245" s="168"/>
      <c r="W245" s="158" t="s">
        <v>966</v>
      </c>
      <c r="X245" s="158" t="s">
        <v>185</v>
      </c>
      <c r="Y245" s="158" t="s">
        <v>185</v>
      </c>
      <c r="Z245" s="158"/>
      <c r="AA245" s="158" t="str">
        <f>IF(GCP_2[[#This Row],[Column14]]="-","", "v")</f>
        <v/>
      </c>
      <c r="AB245" s="158" t="str">
        <f>IF(GCP_2[[#This Row],[Column8]]="x","1",(IF(OR(GCP_2[[#This Row],[Column25]]=2,GCP_2[[#This Row],[Column26]]=2,GCP_2[[#This Row],[Column27]]=2),"1",(IF(GCP_2[[#This Row],[Column9]]="x","2",(IF(GCP_2[[#This Row],[Column10]]="x","3","")))))))</f>
        <v>2</v>
      </c>
      <c r="AC245" s="454" t="str">
        <f>IF(GCP_2[[#This Row],[Column14]] = "-", GCP_2[[#This Row],[Column14]], LEFT(GCP_2[[#This Row],[Column14]], SEARCH(" ", GCP_2[[#This Row],[Column14]] &amp; " ") - 1))</f>
        <v>-</v>
      </c>
    </row>
    <row r="246" spans="1:29" ht="30">
      <c r="A246"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NOT(ISBLANK(M246)),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Yes</v>
      </c>
      <c r="B246" s="137" t="str">
        <f>GCP_2[[#This Row],[Column30]]</f>
        <v>-</v>
      </c>
      <c r="C246" s="137">
        <v>18.3</v>
      </c>
      <c r="D246" s="138" t="s">
        <v>390</v>
      </c>
      <c r="E246" s="162" t="s">
        <v>156</v>
      </c>
      <c r="F246" s="489" t="s">
        <v>2246</v>
      </c>
      <c r="G246" s="138" t="s">
        <v>885</v>
      </c>
      <c r="H246" s="137"/>
      <c r="I246" s="164" t="s">
        <v>185</v>
      </c>
      <c r="J246" s="200" t="s">
        <v>185</v>
      </c>
      <c r="K246" s="176" t="s">
        <v>185</v>
      </c>
      <c r="L246" s="176" t="s">
        <v>185</v>
      </c>
      <c r="M246" s="176" t="s">
        <v>185</v>
      </c>
      <c r="N246" s="222" t="s">
        <v>162</v>
      </c>
      <c r="O246" s="222" t="s">
        <v>162</v>
      </c>
      <c r="P246" s="222" t="s">
        <v>162</v>
      </c>
      <c r="Q246" s="222" t="s">
        <v>162</v>
      </c>
      <c r="S246" s="222" t="s">
        <v>162</v>
      </c>
      <c r="T246" s="222" t="s">
        <v>162</v>
      </c>
      <c r="U246" s="258" t="s">
        <v>162</v>
      </c>
      <c r="V246" s="168"/>
      <c r="W246" s="158" t="s">
        <v>966</v>
      </c>
      <c r="X246" s="158" t="s">
        <v>185</v>
      </c>
      <c r="Y246" s="158" t="s">
        <v>185</v>
      </c>
      <c r="Z246" s="158"/>
      <c r="AA246" s="158" t="str">
        <f>IF(GCP_2[[#This Row],[Column14]]="-","", "v")</f>
        <v/>
      </c>
      <c r="AB246" s="158" t="str">
        <f>IF(GCP_2[[#This Row],[Column8]]="x","1",(IF(OR(GCP_2[[#This Row],[Column25]]=2,GCP_2[[#This Row],[Column26]]=2,GCP_2[[#This Row],[Column27]]=2),"1",(IF(GCP_2[[#This Row],[Column9]]="x","2",(IF(GCP_2[[#This Row],[Column10]]="x","3","")))))))</f>
        <v>2</v>
      </c>
      <c r="AC246" s="454" t="str">
        <f>IF(GCP_2[[#This Row],[Column14]] = "-", GCP_2[[#This Row],[Column14]], LEFT(GCP_2[[#This Row],[Column14]], SEARCH(" ", GCP_2[[#This Row],[Column14]] &amp; " ") - 1))</f>
        <v>-</v>
      </c>
    </row>
    <row r="247" spans="1:29" ht="30">
      <c r="A247"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NOT(ISBLANK(M247)),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247" s="137" t="str">
        <f>GCP_2[[#This Row],[Column30]]</f>
        <v>-</v>
      </c>
      <c r="C247" s="137">
        <v>18.399999999999999</v>
      </c>
      <c r="D247" s="138" t="s">
        <v>390</v>
      </c>
      <c r="E247" s="162" t="s">
        <v>156</v>
      </c>
      <c r="F247" s="489" t="s">
        <v>2247</v>
      </c>
      <c r="G247" s="138" t="s">
        <v>887</v>
      </c>
      <c r="H247" s="204"/>
      <c r="I247" s="204"/>
      <c r="J247" s="200" t="s">
        <v>185</v>
      </c>
      <c r="K247" s="176" t="s">
        <v>185</v>
      </c>
      <c r="L247" s="176" t="s">
        <v>185</v>
      </c>
      <c r="M247" s="176" t="s">
        <v>185</v>
      </c>
      <c r="N247" s="222" t="s">
        <v>162</v>
      </c>
      <c r="O247" s="222" t="s">
        <v>162</v>
      </c>
      <c r="P247" s="222" t="s">
        <v>162</v>
      </c>
      <c r="Q247" s="222" t="s">
        <v>162</v>
      </c>
      <c r="S247" s="222" t="s">
        <v>162</v>
      </c>
      <c r="T247" s="222" t="s">
        <v>162</v>
      </c>
      <c r="U247" s="258" t="s">
        <v>162</v>
      </c>
      <c r="V247" s="168"/>
      <c r="W247" s="158" t="s">
        <v>966</v>
      </c>
      <c r="X247" s="158" t="s">
        <v>185</v>
      </c>
      <c r="Y247" s="158" t="s">
        <v>185</v>
      </c>
      <c r="Z247" s="158"/>
      <c r="AA247" s="158" t="str">
        <f>IF(GCP_2[[#This Row],[Column14]]="-","", "v")</f>
        <v/>
      </c>
      <c r="AB247" s="158" t="str">
        <f>IF(GCP_2[[#This Row],[Column8]]="x","1",(IF(OR(GCP_2[[#This Row],[Column25]]=2,GCP_2[[#This Row],[Column26]]=2,GCP_2[[#This Row],[Column27]]=2),"1",(IF(GCP_2[[#This Row],[Column9]]="x","2",(IF(GCP_2[[#This Row],[Column10]]="x","3","")))))))</f>
        <v>3</v>
      </c>
      <c r="AC247" s="454" t="str">
        <f>IF(GCP_2[[#This Row],[Column14]] = "-", GCP_2[[#This Row],[Column14]], LEFT(GCP_2[[#This Row],[Column14]], SEARCH(" ", GCP_2[[#This Row],[Column14]] &amp; " ") - 1))</f>
        <v>-</v>
      </c>
    </row>
    <row r="248" spans="1:29" ht="30">
      <c r="A248" s="168" t="str">
        <f>IF(
    AND(
        חישובים!$C$2 = חישובים!$A$2,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$K$2 = חישובים!$C$2, NOT(ISBLANK(K248)),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$L$2 = חישובים!$C$2, NOT(ISBLANK(L248)),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IF(
                AND(
                    $M$2 = חישובים!$C$2, NOT(ISBLANK(M248)),
                    OR(
                        AND(NOT(ISBLANK(GCP_2[[#This Row],[Column25]])), ('חישובים ונתונים'!$R$42 &gt;= _xlfn.NUMBERVALUE(GCP_2[[#This Row],[Column29]]))),
                        AND(NOT(ISBLANK(GCP_2[[#This Row],[Column26]])), ('חישובים ונתונים'!$R$43 &gt;= _xlfn.NUMBERVALUE(GCP_2[[#This Row],[Column29]]))),
                        AND(NOT(ISBLANK(GCP_2[[#This Row],[Column27]])), ('חישובים ונתונים'!$R$44 &gt;= _xlfn.NUMBERVALUE(GCP_2[[#This Row],[Column29]])))
                    )
                ),
                "Yes",
                "No"
            )
        )
    )
)</f>
        <v>No</v>
      </c>
      <c r="B248" s="137" t="str">
        <f>GCP_2[[#This Row],[Column30]]</f>
        <v>-</v>
      </c>
      <c r="C248" s="137">
        <v>18.5</v>
      </c>
      <c r="D248" s="138" t="s">
        <v>781</v>
      </c>
      <c r="E248" s="162" t="s">
        <v>154</v>
      </c>
      <c r="F248" s="490" t="s">
        <v>2248</v>
      </c>
      <c r="G248" s="138" t="s">
        <v>889</v>
      </c>
      <c r="H248" s="137"/>
      <c r="I248" s="137"/>
      <c r="J248" s="200" t="s">
        <v>185</v>
      </c>
      <c r="K248" s="176" t="s">
        <v>185</v>
      </c>
      <c r="L248" s="176" t="s">
        <v>185</v>
      </c>
      <c r="M248" s="176" t="s">
        <v>185</v>
      </c>
      <c r="N248" s="222" t="s">
        <v>162</v>
      </c>
      <c r="O248" s="222" t="s">
        <v>162</v>
      </c>
      <c r="P248" s="222" t="s">
        <v>162</v>
      </c>
      <c r="Q248" s="222" t="s">
        <v>162</v>
      </c>
      <c r="S248" s="222" t="s">
        <v>162</v>
      </c>
      <c r="T248" s="222" t="s">
        <v>162</v>
      </c>
      <c r="U248" s="258" t="s">
        <v>162</v>
      </c>
      <c r="V248" s="168"/>
      <c r="W248" s="158" t="s">
        <v>966</v>
      </c>
      <c r="X248" s="158" t="s">
        <v>185</v>
      </c>
      <c r="Y248" s="158" t="s">
        <v>185</v>
      </c>
      <c r="Z248" s="158"/>
      <c r="AA248" s="158" t="str">
        <f>IF(GCP_2[[#This Row],[Column14]]="-","", "v")</f>
        <v/>
      </c>
      <c r="AB248" s="158" t="str">
        <f>IF(GCP_2[[#This Row],[Column8]]="x","1",(IF(OR(GCP_2[[#This Row],[Column25]]=2,GCP_2[[#This Row],[Column26]]=2,GCP_2[[#This Row],[Column27]]=2),"1",(IF(GCP_2[[#This Row],[Column9]]="x","2",(IF(GCP_2[[#This Row],[Column10]]="x","3","")))))))</f>
        <v>3</v>
      </c>
      <c r="AC248" s="454" t="str">
        <f>IF(GCP_2[[#This Row],[Column14]] = "-", GCP_2[[#This Row],[Column14]], LEFT(GCP_2[[#This Row],[Column14]], SEARCH(" ", GCP_2[[#This Row],[Column14]] &amp; " ") - 1))</f>
        <v>-</v>
      </c>
    </row>
  </sheetData>
  <conditionalFormatting sqref="E4:E8 E10:E16 E103:E109">
    <cfRule type="containsText" dxfId="83" priority="165" operator="containsText" text="Identity">
      <formula>NOT(ISERROR(SEARCH("Identity",E4)))</formula>
    </cfRule>
    <cfRule type="containsText" dxfId="82" priority="164" operator="containsText" text="Identify">
      <formula>NOT(ISERROR(SEARCH("Identify",E4)))</formula>
    </cfRule>
    <cfRule type="containsText" dxfId="81" priority="163" operator="containsText" text="Detect">
      <formula>NOT(ISERROR(SEARCH("Detect",E4)))</formula>
    </cfRule>
    <cfRule type="containsText" dxfId="80" priority="162" operator="containsText" text="Respond">
      <formula>NOT(ISERROR(SEARCH("Respond",E4)))</formula>
    </cfRule>
    <cfRule type="containsText" dxfId="79" priority="161" operator="containsText" text="Protect">
      <formula>NOT(ISERROR(SEARCH("Protect",E4)))</formula>
    </cfRule>
  </conditionalFormatting>
  <conditionalFormatting sqref="E18:E55">
    <cfRule type="containsText" dxfId="78" priority="16" operator="containsText" text="Protect">
      <formula>NOT(ISERROR(SEARCH("Protect",E18)))</formula>
    </cfRule>
    <cfRule type="containsText" dxfId="77" priority="17" operator="containsText" text="Respond">
      <formula>NOT(ISERROR(SEARCH("Respond",E18)))</formula>
    </cfRule>
    <cfRule type="containsText" dxfId="76" priority="18" operator="containsText" text="Detect">
      <formula>NOT(ISERROR(SEARCH("Detect",E18)))</formula>
    </cfRule>
    <cfRule type="containsText" dxfId="75" priority="19" operator="containsText" text="Identify">
      <formula>NOT(ISERROR(SEARCH("Identify",E18)))</formula>
    </cfRule>
    <cfRule type="containsText" dxfId="74" priority="20" operator="containsText" text="Identity">
      <formula>NOT(ISERROR(SEARCH("Identity",E18)))</formula>
    </cfRule>
  </conditionalFormatting>
  <conditionalFormatting sqref="E57:E81">
    <cfRule type="containsText" dxfId="73" priority="52" operator="containsText" text="Respond">
      <formula>NOT(ISERROR(SEARCH("Respond",E57)))</formula>
    </cfRule>
    <cfRule type="containsText" dxfId="72" priority="51" operator="containsText" text="Protect">
      <formula>NOT(ISERROR(SEARCH("Protect",E57)))</formula>
    </cfRule>
    <cfRule type="containsText" dxfId="71" priority="53" operator="containsText" text="Detect">
      <formula>NOT(ISERROR(SEARCH("Detect",E57)))</formula>
    </cfRule>
    <cfRule type="containsText" dxfId="70" priority="54" operator="containsText" text="Identify">
      <formula>NOT(ISERROR(SEARCH("Identify",E57)))</formula>
    </cfRule>
    <cfRule type="containsText" dxfId="69" priority="55" operator="containsText" text="Identity">
      <formula>NOT(ISERROR(SEARCH("Identity",E57)))</formula>
    </cfRule>
  </conditionalFormatting>
  <conditionalFormatting sqref="E83:E91">
    <cfRule type="containsText" dxfId="68" priority="24" operator="containsText" text="Identify">
      <formula>NOT(ISERROR(SEARCH("Identify",E83)))</formula>
    </cfRule>
    <cfRule type="containsText" dxfId="67" priority="21" operator="containsText" text="Protect">
      <formula>NOT(ISERROR(SEARCH("Protect",E83)))</formula>
    </cfRule>
    <cfRule type="containsText" dxfId="66" priority="22" operator="containsText" text="Respond">
      <formula>NOT(ISERROR(SEARCH("Respond",E83)))</formula>
    </cfRule>
    <cfRule type="containsText" dxfId="65" priority="23" operator="containsText" text="Detect">
      <formula>NOT(ISERROR(SEARCH("Detect",E83)))</formula>
    </cfRule>
    <cfRule type="containsText" dxfId="64" priority="25" operator="containsText" text="Identity">
      <formula>NOT(ISERROR(SEARCH("Identity",E83)))</formula>
    </cfRule>
  </conditionalFormatting>
  <conditionalFormatting sqref="E93:E101">
    <cfRule type="containsText" dxfId="63" priority="36" operator="containsText" text="Protect">
      <formula>NOT(ISERROR(SEARCH("Protect",E93)))</formula>
    </cfRule>
    <cfRule type="containsText" dxfId="62" priority="37" operator="containsText" text="Respond">
      <formula>NOT(ISERROR(SEARCH("Respond",E93)))</formula>
    </cfRule>
    <cfRule type="containsText" dxfId="61" priority="38" operator="containsText" text="Detect">
      <formula>NOT(ISERROR(SEARCH("Detect",E93)))</formula>
    </cfRule>
    <cfRule type="containsText" dxfId="60" priority="39" operator="containsText" text="Identify">
      <formula>NOT(ISERROR(SEARCH("Identify",E93)))</formula>
    </cfRule>
    <cfRule type="containsText" dxfId="59" priority="40" operator="containsText" text="Identity">
      <formula>NOT(ISERROR(SEARCH("Identity",E93)))</formula>
    </cfRule>
  </conditionalFormatting>
  <conditionalFormatting sqref="E111:E151">
    <cfRule type="containsText" dxfId="58" priority="26" operator="containsText" text="Protect">
      <formula>NOT(ISERROR(SEARCH("Protect",E111)))</formula>
    </cfRule>
    <cfRule type="containsText" dxfId="57" priority="27" operator="containsText" text="Respond">
      <formula>NOT(ISERROR(SEARCH("Respond",E111)))</formula>
    </cfRule>
    <cfRule type="containsText" dxfId="56" priority="28" operator="containsText" text="Detect">
      <formula>NOT(ISERROR(SEARCH("Detect",E111)))</formula>
    </cfRule>
    <cfRule type="containsText" dxfId="55" priority="29" operator="containsText" text="Identify">
      <formula>NOT(ISERROR(SEARCH("Identify",E111)))</formula>
    </cfRule>
    <cfRule type="containsText" dxfId="54" priority="30" operator="containsText" text="Identity">
      <formula>NOT(ISERROR(SEARCH("Identity",E111)))</formula>
    </cfRule>
  </conditionalFormatting>
  <conditionalFormatting sqref="E153:E159 E161:E167 E175:E182 E184:E196 E198:E206 E208:E214 E244:E248">
    <cfRule type="containsText" dxfId="53" priority="175" operator="containsText" text="Identity">
      <formula>NOT(ISERROR(SEARCH("Identity",E153)))</formula>
    </cfRule>
    <cfRule type="containsText" dxfId="52" priority="171" operator="containsText" text="Protect">
      <formula>NOT(ISERROR(SEARCH("Protect",E153)))</formula>
    </cfRule>
    <cfRule type="containsText" dxfId="51" priority="172" operator="containsText" text="Respond">
      <formula>NOT(ISERROR(SEARCH("Respond",E153)))</formula>
    </cfRule>
    <cfRule type="containsText" dxfId="50" priority="173" operator="containsText" text="Detect">
      <formula>NOT(ISERROR(SEARCH("Detect",E153)))</formula>
    </cfRule>
    <cfRule type="containsText" dxfId="49" priority="174" operator="containsText" text="Identify">
      <formula>NOT(ISERROR(SEARCH("Identify",E153)))</formula>
    </cfRule>
  </conditionalFormatting>
  <conditionalFormatting sqref="E169:E173">
    <cfRule type="containsText" dxfId="48" priority="167" operator="containsText" text="Respond">
      <formula>NOT(ISERROR(SEARCH("Respond",E169)))</formula>
    </cfRule>
    <cfRule type="containsText" dxfId="47" priority="166" operator="containsText" text="Protect">
      <formula>NOT(ISERROR(SEARCH("Protect",E169)))</formula>
    </cfRule>
    <cfRule type="containsText" dxfId="46" priority="168" operator="containsText" text="Detect">
      <formula>NOT(ISERROR(SEARCH("Detect",E169)))</formula>
    </cfRule>
    <cfRule type="containsText" dxfId="45" priority="170" operator="containsText" text="Identity">
      <formula>NOT(ISERROR(SEARCH("Identity",E169)))</formula>
    </cfRule>
    <cfRule type="containsText" dxfId="44" priority="169" operator="containsText" text="Identify">
      <formula>NOT(ISERROR(SEARCH("Identify",E169)))</formula>
    </cfRule>
  </conditionalFormatting>
  <conditionalFormatting sqref="E216:E232">
    <cfRule type="containsText" dxfId="43" priority="1" operator="containsText" text="Protect">
      <formula>NOT(ISERROR(SEARCH("Protect",E216)))</formula>
    </cfRule>
    <cfRule type="containsText" dxfId="42" priority="5" operator="containsText" text="Identity">
      <formula>NOT(ISERROR(SEARCH("Identity",E216)))</formula>
    </cfRule>
    <cfRule type="containsText" dxfId="41" priority="4" operator="containsText" text="Identify">
      <formula>NOT(ISERROR(SEARCH("Identify",E216)))</formula>
    </cfRule>
    <cfRule type="containsText" dxfId="40" priority="3" operator="containsText" text="Detect">
      <formula>NOT(ISERROR(SEARCH("Detect",E216)))</formula>
    </cfRule>
    <cfRule type="containsText" dxfId="39" priority="2" operator="containsText" text="Respond">
      <formula>NOT(ISERROR(SEARCH("Respond",E216)))</formula>
    </cfRule>
  </conditionalFormatting>
  <conditionalFormatting sqref="E234:E242">
    <cfRule type="containsText" dxfId="38" priority="156" operator="containsText" text="Protect">
      <formula>NOT(ISERROR(SEARCH("Protect",E234)))</formula>
    </cfRule>
    <cfRule type="containsText" dxfId="37" priority="157" operator="containsText" text="Respond">
      <formula>NOT(ISERROR(SEARCH("Respond",E234)))</formula>
    </cfRule>
    <cfRule type="containsText" dxfId="36" priority="158" operator="containsText" text="Detect">
      <formula>NOT(ISERROR(SEARCH("Detect",E234)))</formula>
    </cfRule>
    <cfRule type="containsText" dxfId="35" priority="159" operator="containsText" text="Identify">
      <formula>NOT(ISERROR(SEARCH("Identify",E234)))</formula>
    </cfRule>
    <cfRule type="containsText" dxfId="34" priority="160" operator="containsText" text="Identity">
      <formula>NOT(ISERROR(SEARCH("Identity",E234)))</formula>
    </cfRule>
  </conditionalFormatting>
  <pageMargins left="0.7" right="0.7" top="0.75" bottom="0.75" header="0.3" footer="0.3"/>
  <pageSetup paperSize="9" orientation="portrait"/>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06594-6CCD-4389-BD18-35B32D84ECC1}">
  <sheetPr codeName="Sheet21"/>
  <dimension ref="A1:A106"/>
  <sheetViews>
    <sheetView rightToLeft="1" workbookViewId="0">
      <selection activeCell="A4" sqref="A4"/>
    </sheetView>
  </sheetViews>
  <sheetFormatPr defaultColWidth="84" defaultRowHeight="14.25"/>
  <sheetData>
    <row r="1" spans="1:1">
      <c r="A1" s="150" t="s">
        <v>2018</v>
      </c>
    </row>
    <row r="2" spans="1:1">
      <c r="A2" s="150" t="s">
        <v>2019</v>
      </c>
    </row>
    <row r="3" spans="1:1">
      <c r="A3" s="150" t="s">
        <v>2020</v>
      </c>
    </row>
    <row r="4" spans="1:1">
      <c r="A4" s="430" t="s">
        <v>1923</v>
      </c>
    </row>
    <row r="5" spans="1:1">
      <c r="A5" s="431" t="s">
        <v>1924</v>
      </c>
    </row>
    <row r="6" spans="1:1">
      <c r="A6" s="431" t="s">
        <v>1925</v>
      </c>
    </row>
    <row r="7" spans="1:1">
      <c r="A7" s="431" t="s">
        <v>1926</v>
      </c>
    </row>
    <row r="8" spans="1:1">
      <c r="A8" s="431" t="s">
        <v>1927</v>
      </c>
    </row>
    <row r="9" spans="1:1">
      <c r="A9" s="431" t="s">
        <v>1928</v>
      </c>
    </row>
    <row r="10" spans="1:1">
      <c r="A10" s="431" t="s">
        <v>1929</v>
      </c>
    </row>
    <row r="11" spans="1:1">
      <c r="A11" s="431" t="s">
        <v>1930</v>
      </c>
    </row>
    <row r="12" spans="1:1">
      <c r="A12" s="431" t="s">
        <v>1931</v>
      </c>
    </row>
    <row r="13" spans="1:1">
      <c r="A13" s="431" t="s">
        <v>1932</v>
      </c>
    </row>
    <row r="14" spans="1:1">
      <c r="A14" s="431" t="s">
        <v>1933</v>
      </c>
    </row>
    <row r="15" spans="1:1">
      <c r="A15" s="431" t="s">
        <v>1934</v>
      </c>
    </row>
    <row r="16" spans="1:1">
      <c r="A16" s="431" t="s">
        <v>1935</v>
      </c>
    </row>
    <row r="17" spans="1:1" ht="28.5">
      <c r="A17" s="431" t="s">
        <v>1936</v>
      </c>
    </row>
    <row r="18" spans="1:1">
      <c r="A18" s="431" t="s">
        <v>1937</v>
      </c>
    </row>
    <row r="19" spans="1:1">
      <c r="A19" s="431" t="s">
        <v>1938</v>
      </c>
    </row>
    <row r="20" spans="1:1">
      <c r="A20" s="431" t="s">
        <v>1939</v>
      </c>
    </row>
    <row r="21" spans="1:1">
      <c r="A21" s="431" t="s">
        <v>1940</v>
      </c>
    </row>
    <row r="22" spans="1:1">
      <c r="A22" s="431" t="s">
        <v>1941</v>
      </c>
    </row>
    <row r="23" spans="1:1">
      <c r="A23" s="431" t="s">
        <v>1942</v>
      </c>
    </row>
    <row r="24" spans="1:1">
      <c r="A24" s="431" t="s">
        <v>1943</v>
      </c>
    </row>
    <row r="25" spans="1:1">
      <c r="A25" s="431" t="s">
        <v>1944</v>
      </c>
    </row>
    <row r="26" spans="1:1">
      <c r="A26" s="431" t="s">
        <v>1945</v>
      </c>
    </row>
    <row r="27" spans="1:1">
      <c r="A27" s="431" t="s">
        <v>1946</v>
      </c>
    </row>
    <row r="28" spans="1:1">
      <c r="A28" s="431" t="s">
        <v>1947</v>
      </c>
    </row>
    <row r="29" spans="1:1">
      <c r="A29" s="431" t="s">
        <v>1948</v>
      </c>
    </row>
    <row r="30" spans="1:1">
      <c r="A30" s="431" t="s">
        <v>1949</v>
      </c>
    </row>
    <row r="31" spans="1:1">
      <c r="A31" s="431" t="s">
        <v>1950</v>
      </c>
    </row>
    <row r="32" spans="1:1">
      <c r="A32" s="431" t="s">
        <v>1951</v>
      </c>
    </row>
    <row r="33" spans="1:1">
      <c r="A33" s="431" t="s">
        <v>1952</v>
      </c>
    </row>
    <row r="34" spans="1:1">
      <c r="A34" s="431" t="s">
        <v>1953</v>
      </c>
    </row>
    <row r="35" spans="1:1">
      <c r="A35" s="431" t="s">
        <v>1954</v>
      </c>
    </row>
    <row r="36" spans="1:1">
      <c r="A36" s="431" t="s">
        <v>1955</v>
      </c>
    </row>
    <row r="37" spans="1:1">
      <c r="A37" s="431" t="s">
        <v>1956</v>
      </c>
    </row>
    <row r="38" spans="1:1">
      <c r="A38" s="431" t="s">
        <v>1957</v>
      </c>
    </row>
    <row r="39" spans="1:1">
      <c r="A39" s="431" t="s">
        <v>1958</v>
      </c>
    </row>
    <row r="40" spans="1:1">
      <c r="A40" s="431" t="s">
        <v>1959</v>
      </c>
    </row>
    <row r="41" spans="1:1">
      <c r="A41" s="431" t="s">
        <v>1960</v>
      </c>
    </row>
    <row r="42" spans="1:1">
      <c r="A42" s="431" t="s">
        <v>1961</v>
      </c>
    </row>
    <row r="43" spans="1:1">
      <c r="A43" s="431" t="s">
        <v>1962</v>
      </c>
    </row>
    <row r="44" spans="1:1">
      <c r="A44" s="431" t="s">
        <v>1963</v>
      </c>
    </row>
    <row r="45" spans="1:1">
      <c r="A45" s="431" t="s">
        <v>1964</v>
      </c>
    </row>
    <row r="46" spans="1:1">
      <c r="A46" s="431" t="s">
        <v>1965</v>
      </c>
    </row>
    <row r="47" spans="1:1">
      <c r="A47" s="431" t="s">
        <v>1966</v>
      </c>
    </row>
    <row r="48" spans="1:1">
      <c r="A48" s="431" t="s">
        <v>1967</v>
      </c>
    </row>
    <row r="49" spans="1:1">
      <c r="A49" s="431" t="s">
        <v>1968</v>
      </c>
    </row>
    <row r="50" spans="1:1">
      <c r="A50" s="431" t="s">
        <v>1969</v>
      </c>
    </row>
    <row r="51" spans="1:1">
      <c r="A51" s="431" t="s">
        <v>1970</v>
      </c>
    </row>
    <row r="52" spans="1:1">
      <c r="A52" s="431" t="s">
        <v>1971</v>
      </c>
    </row>
    <row r="53" spans="1:1">
      <c r="A53" s="431" t="s">
        <v>1972</v>
      </c>
    </row>
    <row r="54" spans="1:1">
      <c r="A54" s="431" t="s">
        <v>1973</v>
      </c>
    </row>
    <row r="55" spans="1:1">
      <c r="A55" s="431" t="s">
        <v>1974</v>
      </c>
    </row>
    <row r="56" spans="1:1">
      <c r="A56" s="69" t="s">
        <v>1975</v>
      </c>
    </row>
    <row r="57" spans="1:1">
      <c r="A57" s="71" t="s">
        <v>1976</v>
      </c>
    </row>
    <row r="58" spans="1:1">
      <c r="A58" s="433" t="s">
        <v>1977</v>
      </c>
    </row>
    <row r="59" spans="1:1">
      <c r="A59" s="432" t="s">
        <v>1978</v>
      </c>
    </row>
    <row r="60" spans="1:1">
      <c r="A60" s="69" t="s">
        <v>1979</v>
      </c>
    </row>
    <row r="61" spans="1:1">
      <c r="A61" s="69" t="s">
        <v>1980</v>
      </c>
    </row>
    <row r="62" spans="1:1">
      <c r="A62" s="71" t="s">
        <v>1981</v>
      </c>
    </row>
    <row r="63" spans="1:1">
      <c r="A63" s="69" t="s">
        <v>1982</v>
      </c>
    </row>
    <row r="64" spans="1:1">
      <c r="A64" s="69" t="s">
        <v>1983</v>
      </c>
    </row>
    <row r="65" spans="1:1">
      <c r="A65" s="71" t="s">
        <v>1984</v>
      </c>
    </row>
    <row r="66" spans="1:1">
      <c r="A66" s="71" t="s">
        <v>1985</v>
      </c>
    </row>
    <row r="67" spans="1:1">
      <c r="A67" s="71" t="s">
        <v>1986</v>
      </c>
    </row>
    <row r="68" spans="1:1">
      <c r="A68" s="71" t="s">
        <v>1987</v>
      </c>
    </row>
    <row r="69" spans="1:1">
      <c r="A69" s="71" t="s">
        <v>1988</v>
      </c>
    </row>
    <row r="70" spans="1:1">
      <c r="A70" s="71" t="s">
        <v>1989</v>
      </c>
    </row>
    <row r="71" spans="1:1">
      <c r="A71" s="71" t="s">
        <v>1990</v>
      </c>
    </row>
    <row r="72" spans="1:1">
      <c r="A72" s="71" t="s">
        <v>1991</v>
      </c>
    </row>
    <row r="73" spans="1:1">
      <c r="A73" s="71" t="s">
        <v>1992</v>
      </c>
    </row>
    <row r="74" spans="1:1">
      <c r="A74" s="71" t="s">
        <v>1993</v>
      </c>
    </row>
    <row r="75" spans="1:1">
      <c r="A75" s="71" t="s">
        <v>1994</v>
      </c>
    </row>
    <row r="76" spans="1:1">
      <c r="A76" s="69" t="s">
        <v>1995</v>
      </c>
    </row>
    <row r="77" spans="1:1">
      <c r="A77" s="69" t="s">
        <v>1996</v>
      </c>
    </row>
    <row r="78" spans="1:1">
      <c r="A78" s="434" t="s">
        <v>1997</v>
      </c>
    </row>
    <row r="79" spans="1:1">
      <c r="A79" s="70" t="s">
        <v>1998</v>
      </c>
    </row>
    <row r="80" spans="1:1">
      <c r="A80" s="70" t="s">
        <v>1999</v>
      </c>
    </row>
    <row r="81" spans="1:1">
      <c r="A81" s="70" t="s">
        <v>2000</v>
      </c>
    </row>
    <row r="82" spans="1:1">
      <c r="A82" s="70" t="s">
        <v>2001</v>
      </c>
    </row>
    <row r="83" spans="1:1">
      <c r="A83" s="70" t="s">
        <v>2002</v>
      </c>
    </row>
    <row r="84" spans="1:1">
      <c r="A84" s="70" t="s">
        <v>2003</v>
      </c>
    </row>
    <row r="85" spans="1:1">
      <c r="A85" s="70" t="s">
        <v>2004</v>
      </c>
    </row>
    <row r="86" spans="1:1">
      <c r="A86" s="70" t="s">
        <v>2005</v>
      </c>
    </row>
    <row r="87" spans="1:1">
      <c r="A87" s="430" t="s">
        <v>1944</v>
      </c>
    </row>
    <row r="88" spans="1:1">
      <c r="A88" s="430" t="s">
        <v>1948</v>
      </c>
    </row>
    <row r="89" spans="1:1">
      <c r="A89" s="430" t="s">
        <v>2006</v>
      </c>
    </row>
    <row r="90" spans="1:1">
      <c r="A90" s="435" t="s">
        <v>1949</v>
      </c>
    </row>
    <row r="91" spans="1:1">
      <c r="A91" s="430" t="s">
        <v>2007</v>
      </c>
    </row>
    <row r="92" spans="1:1">
      <c r="A92" s="430" t="s">
        <v>2008</v>
      </c>
    </row>
    <row r="93" spans="1:1">
      <c r="A93" s="430" t="s">
        <v>2009</v>
      </c>
    </row>
    <row r="94" spans="1:1">
      <c r="A94" s="431" t="s">
        <v>1970</v>
      </c>
    </row>
    <row r="95" spans="1:1">
      <c r="A95" s="436" t="s">
        <v>1977</v>
      </c>
    </row>
    <row r="96" spans="1:1">
      <c r="A96" s="71" t="s">
        <v>1979</v>
      </c>
    </row>
    <row r="97" spans="1:1">
      <c r="A97" s="430" t="s">
        <v>2010</v>
      </c>
    </row>
    <row r="98" spans="1:1">
      <c r="A98" s="430" t="s">
        <v>2011</v>
      </c>
    </row>
    <row r="99" spans="1:1">
      <c r="A99" s="71" t="s">
        <v>2012</v>
      </c>
    </row>
    <row r="100" spans="1:1">
      <c r="A100" s="436" t="s">
        <v>2013</v>
      </c>
    </row>
    <row r="101" spans="1:1">
      <c r="A101" s="71" t="s">
        <v>1991</v>
      </c>
    </row>
    <row r="102" spans="1:1">
      <c r="A102" s="71" t="s">
        <v>2014</v>
      </c>
    </row>
    <row r="103" spans="1:1">
      <c r="A103" s="71" t="s">
        <v>2015</v>
      </c>
    </row>
    <row r="104" spans="1:1">
      <c r="A104" s="71" t="s">
        <v>2016</v>
      </c>
    </row>
    <row r="105" spans="1:1">
      <c r="A105" s="71" t="s">
        <v>1995</v>
      </c>
    </row>
    <row r="106" spans="1:1">
      <c r="A106" s="71" t="s">
        <v>2017</v>
      </c>
    </row>
  </sheetData>
  <pageMargins left="0.7" right="0.7" top="0.75" bottom="0.75" header="0.3" footer="0.3"/>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21</vt:i4>
      </vt:variant>
    </vt:vector>
  </HeadingPairs>
  <TitlesOfParts>
    <vt:vector size="21" baseType="lpstr">
      <vt:lpstr>כללי (0)</vt:lpstr>
      <vt:lpstr>כשירות ארגונית (1)</vt:lpstr>
      <vt:lpstr>פרופיל מערכת (2)</vt:lpstr>
      <vt:lpstr>חישובים</vt:lpstr>
      <vt:lpstr>חישוב תמק</vt:lpstr>
      <vt:lpstr>שרשרת אספקה (3)</vt:lpstr>
      <vt:lpstr>סיווג אופי מידע במערכת (4)</vt:lpstr>
      <vt:lpstr>הערכת נזק פוטנציאלי למערכת (5)</vt:lpstr>
      <vt:lpstr>מערכות הגנה (6)</vt:lpstr>
      <vt:lpstr>ארכיטקטורה מלאה (7)</vt:lpstr>
      <vt:lpstr>פרופיל בקרות דרוש (8)</vt:lpstr>
      <vt:lpstr>חישובים ונתונים</vt:lpstr>
      <vt:lpstr>תמצ המערכת</vt:lpstr>
      <vt:lpstr>פרופיל בקרות טכני</vt:lpstr>
      <vt:lpstr>הערות הארגון</vt:lpstr>
      <vt:lpstr>מושגים</vt:lpstr>
      <vt:lpstr>בקרות להפחתת סיכון AWS (EN)</vt:lpstr>
      <vt:lpstr>בקרות להפחתת סיכון AWS (HEB)</vt:lpstr>
      <vt:lpstr>בקרות להפחתת סיכון GCP (EN)</vt:lpstr>
      <vt:lpstr>בקרות להפחתת סיכון GCP (HEB)</vt:lpstr>
      <vt:lpstr>שרותי רובד 5</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Akilov, Aba</dc:creator>
  <cp:keywords>Aba Akilov</cp:keywords>
  <cp:lastModifiedBy>רויטל יגודה</cp:lastModifiedBy>
  <dcterms:created xsi:type="dcterms:W3CDTF">2023-07-23T07:23:15Z</dcterms:created>
  <dcterms:modified xsi:type="dcterms:W3CDTF">2025-01-06T09:00:06Z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0x010100E56F00B0DE9B1B45856F854BDB8F9D3A</vt:lpwstr>
  </property>
  <property fmtid="{D5CDD505-2E9C-101B-9397-08002B2CF9AE}" pid="3" name="MediaServiceImageTags">
    <vt:lpwstr/>
  </property>
</Properties>
</file>